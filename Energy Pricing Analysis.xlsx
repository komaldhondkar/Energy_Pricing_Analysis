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data" ContentType="application/vnd.openxmlformats-officedocument.model+data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pivotCache/pivotCacheDefinition3.xml" ContentType="application/vnd.openxmlformats-officedocument.spreadsheetml.pivotCacheDefinition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pivotTables/pivotTable1.xml" ContentType="application/vnd.openxmlformats-officedocument.spreadsheetml.pivotTable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ivotTables/pivotTable2.xml" ContentType="application/vnd.openxmlformats-officedocument.spreadsheetml.pivotTable+xml"/>
  <Override PartName="/xl/drawings/drawing3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tables/table2.xml" ContentType="application/vnd.openxmlformats-officedocument.spreadsheetml.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drawings/drawing4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pivotTables/pivotTable7.xml" ContentType="application/vnd.openxmlformats-officedocument.spreadsheetml.pivotTable+xml"/>
  <Override PartName="/xl/drawings/drawing5.xml" ContentType="application/vnd.openxmlformats-officedocument.drawing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pivotTables/pivotTable8.xml" ContentType="application/vnd.openxmlformats-officedocument.spreadsheetml.pivotTable+xml"/>
  <Override PartName="/xl/pivotTables/pivotTable9.xml" ContentType="application/vnd.openxmlformats-officedocument.spreadsheetml.pivotTable+xml"/>
  <Override PartName="/xl/pivotTables/pivotTable10.xml" ContentType="application/vnd.openxmlformats-officedocument.spreadsheetml.pivotTable+xml"/>
  <Override PartName="/xl/drawings/drawing6.xml" ContentType="application/vnd.openxmlformats-officedocument.drawing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tables/table3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customXml/itemProps5.xml" ContentType="application/vnd.openxmlformats-officedocument.customXmlProperties+xml"/>
  <Override PartName="/customXml/itemProps6.xml" ContentType="application/vnd.openxmlformats-officedocument.customXmlProperties+xml"/>
  <Override PartName="/customXml/itemProps7.xml" ContentType="application/vnd.openxmlformats-officedocument.customXmlProperties+xml"/>
  <Override PartName="/customXml/itemProps8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hidePivotFieldList="1"/>
  <mc:AlternateContent xmlns:mc="http://schemas.openxmlformats.org/markup-compatibility/2006">
    <mc:Choice Requires="x15">
      <x15ac:absPath xmlns:x15ac="http://schemas.microsoft.com/office/spreadsheetml/2010/11/ac" url="https://d.docs.live.net/0eedc6a5eb573f21/Desktop/"/>
    </mc:Choice>
  </mc:AlternateContent>
  <xr:revisionPtr revIDLastSave="4" documentId="8_{1F0463AA-921E-4FF0-957F-61A163A70207}" xr6:coauthVersionLast="47" xr6:coauthVersionMax="47" xr10:uidLastSave="{F5777BE1-8241-43DE-8870-1B5EFE7F457C}"/>
  <bookViews>
    <workbookView xWindow="-108" yWindow="-108" windowWidth="23256" windowHeight="12456" xr2:uid="{00000000-000D-0000-FFFF-FFFF00000000}"/>
  </bookViews>
  <sheets>
    <sheet name="Assignment" sheetId="1" r:id="rId1"/>
    <sheet name="Data" sheetId="2" r:id="rId2"/>
    <sheet name="Q3 Pivot_1" sheetId="7" state="hidden" r:id="rId3"/>
    <sheet name="Q3 Pivot_2" sheetId="8" state="hidden" r:id="rId4"/>
    <sheet name="Q1_Prepare_Data" sheetId="3" r:id="rId5"/>
    <sheet name="Q2_Customer_Profitability" sheetId="5" r:id="rId6"/>
    <sheet name="Q3_Summary" sheetId="6" r:id="rId7"/>
    <sheet name="Q4_Contract_Start_Month" sheetId="12" r:id="rId8"/>
    <sheet name="Q5_Customer_Groups" sheetId="15" r:id="rId9"/>
    <sheet name="Data_Q4_Q5" sheetId="4" r:id="rId10"/>
  </sheets>
  <definedNames>
    <definedName name="_xlcn.WorksheetConnection_RabotEnergyPricingAssociatecase.xlsxQ4_Q5_Table1" hidden="1">Q4_Q5_Table[]</definedName>
  </definedNames>
  <calcPr calcId="191028"/>
  <pivotCaches>
    <pivotCache cacheId="3" r:id="rId11"/>
    <pivotCache cacheId="4" r:id="rId12"/>
    <pivotCache cacheId="5" r:id="rId13"/>
  </pivotCaches>
  <fileRecoveryPr repairLoad="1"/>
  <extLst>
    <ext xmlns:x15="http://schemas.microsoft.com/office/spreadsheetml/2010/11/main" uri="{140A7094-0E35-4892-8432-C4D2E57EDEB5}">
      <x15:workbookPr chartTrackingRefBase="1"/>
    </ext>
    <ext xmlns:x15="http://schemas.microsoft.com/office/spreadsheetml/2010/11/main" uri="{FCE2AD5D-F65C-4FA6-A056-5C36A1767C68}">
      <x15:dataModel>
        <x15:modelTables>
          <x15:modelTable id="Q4_Q5_Table" name="Q4_Q5_Table" connection="WorksheetConnection_Rabot Energy - Pricing Associate case.xlsx!Q4_Q5_Table"/>
        </x15:modelTables>
      </x15:dataModel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L2" i="2" l="1"/>
  <c r="J2" i="2"/>
  <c r="N2" i="2"/>
  <c r="N3" i="2"/>
  <c r="N4" i="2"/>
  <c r="N5" i="2"/>
  <c r="N6" i="2"/>
  <c r="N7" i="2"/>
  <c r="N8" i="2"/>
  <c r="N9" i="2"/>
  <c r="N10" i="2"/>
  <c r="N11" i="2"/>
  <c r="N12" i="2"/>
  <c r="N13" i="2"/>
  <c r="N14" i="2"/>
  <c r="N15" i="2"/>
  <c r="N16" i="2"/>
  <c r="N17" i="2"/>
  <c r="N18" i="2"/>
  <c r="N19" i="2"/>
  <c r="N20" i="2"/>
  <c r="N21" i="2"/>
  <c r="N22" i="2"/>
  <c r="N23" i="2"/>
  <c r="N24" i="2"/>
  <c r="N25" i="2"/>
  <c r="N26" i="2"/>
  <c r="N27" i="2"/>
  <c r="N28" i="2"/>
  <c r="N29" i="2"/>
  <c r="N30" i="2"/>
  <c r="N31" i="2"/>
  <c r="N32" i="2"/>
  <c r="N33" i="2"/>
  <c r="N34" i="2"/>
  <c r="N35" i="2"/>
  <c r="N36" i="2"/>
  <c r="N37" i="2"/>
  <c r="N38" i="2"/>
  <c r="N39" i="2"/>
  <c r="N40" i="2"/>
  <c r="N41" i="2"/>
  <c r="N42" i="2"/>
  <c r="N43" i="2"/>
  <c r="N44" i="2"/>
  <c r="N45" i="2"/>
  <c r="N46" i="2"/>
  <c r="N47" i="2"/>
  <c r="N48" i="2"/>
  <c r="N49" i="2"/>
  <c r="N50" i="2"/>
  <c r="N51" i="2"/>
  <c r="N52" i="2"/>
  <c r="N53" i="2"/>
  <c r="N54" i="2"/>
  <c r="N55" i="2"/>
  <c r="N56" i="2"/>
  <c r="N57" i="2"/>
  <c r="N58" i="2"/>
  <c r="N59" i="2"/>
  <c r="N60" i="2"/>
  <c r="N61" i="2"/>
  <c r="N62" i="2"/>
  <c r="N63" i="2"/>
  <c r="N64" i="2"/>
  <c r="N65" i="2"/>
  <c r="N66" i="2"/>
  <c r="N67" i="2"/>
  <c r="N68" i="2"/>
  <c r="N69" i="2"/>
  <c r="N70" i="2"/>
  <c r="N71" i="2"/>
  <c r="N72" i="2"/>
  <c r="N73" i="2"/>
  <c r="N74" i="2"/>
  <c r="N75" i="2"/>
  <c r="N76" i="2"/>
  <c r="N77" i="2"/>
  <c r="N78" i="2"/>
  <c r="N79" i="2"/>
  <c r="N80" i="2"/>
  <c r="N81" i="2"/>
  <c r="N82" i="2"/>
  <c r="N83" i="2"/>
  <c r="N84" i="2"/>
  <c r="N85" i="2"/>
  <c r="N86" i="2"/>
  <c r="N87" i="2"/>
  <c r="N88" i="2"/>
  <c r="N89" i="2"/>
  <c r="N90" i="2"/>
  <c r="N91" i="2"/>
  <c r="N92" i="2"/>
  <c r="N93" i="2"/>
  <c r="N94" i="2"/>
  <c r="N95" i="2"/>
  <c r="N96" i="2"/>
  <c r="N97" i="2"/>
  <c r="N98" i="2"/>
  <c r="N99" i="2"/>
  <c r="N100" i="2"/>
  <c r="N101" i="2"/>
  <c r="N102" i="2"/>
  <c r="N103" i="2"/>
  <c r="N104" i="2"/>
  <c r="N105" i="2"/>
  <c r="N106" i="2"/>
  <c r="N107" i="2"/>
  <c r="N108" i="2"/>
  <c r="N109" i="2"/>
  <c r="N110" i="2"/>
  <c r="N111" i="2"/>
  <c r="N112" i="2"/>
  <c r="N113" i="2"/>
  <c r="N114" i="2"/>
  <c r="N115" i="2"/>
  <c r="N116" i="2"/>
  <c r="N117" i="2"/>
  <c r="N118" i="2"/>
  <c r="N119" i="2"/>
  <c r="N120" i="2"/>
  <c r="N121" i="2"/>
  <c r="N122" i="2"/>
  <c r="N123" i="2"/>
  <c r="N124" i="2"/>
  <c r="N125" i="2"/>
  <c r="N126" i="2"/>
  <c r="N127" i="2"/>
  <c r="N128" i="2"/>
  <c r="N129" i="2"/>
  <c r="N130" i="2"/>
  <c r="N131" i="2"/>
  <c r="N132" i="2"/>
  <c r="N133" i="2"/>
  <c r="N134" i="2"/>
  <c r="N135" i="2"/>
  <c r="N136" i="2"/>
  <c r="N137" i="2"/>
  <c r="N138" i="2"/>
  <c r="N139" i="2"/>
  <c r="N140" i="2"/>
  <c r="N141" i="2"/>
  <c r="N142" i="2"/>
  <c r="N143" i="2"/>
  <c r="N144" i="2"/>
  <c r="N145" i="2"/>
  <c r="N146" i="2"/>
  <c r="N147" i="2"/>
  <c r="N148" i="2"/>
  <c r="N149" i="2"/>
  <c r="N150" i="2"/>
  <c r="N151" i="2"/>
  <c r="N152" i="2"/>
  <c r="N153" i="2"/>
  <c r="N154" i="2"/>
  <c r="N155" i="2"/>
  <c r="N156" i="2"/>
  <c r="N157" i="2"/>
  <c r="N158" i="2"/>
  <c r="N159" i="2"/>
  <c r="N160" i="2"/>
  <c r="N161" i="2"/>
  <c r="N162" i="2"/>
  <c r="N163" i="2"/>
  <c r="N164" i="2"/>
  <c r="N165" i="2"/>
  <c r="N166" i="2"/>
  <c r="N167" i="2"/>
  <c r="N168" i="2"/>
  <c r="N169" i="2"/>
  <c r="N170" i="2"/>
  <c r="N171" i="2"/>
  <c r="N172" i="2"/>
  <c r="N173" i="2"/>
  <c r="N174" i="2"/>
  <c r="N175" i="2"/>
  <c r="N176" i="2"/>
  <c r="N177" i="2"/>
  <c r="N178" i="2"/>
  <c r="N179" i="2"/>
  <c r="N180" i="2"/>
  <c r="N181" i="2"/>
  <c r="N182" i="2"/>
  <c r="N183" i="2"/>
  <c r="N184" i="2"/>
  <c r="N185" i="2"/>
  <c r="N186" i="2"/>
  <c r="N187" i="2"/>
  <c r="N188" i="2"/>
  <c r="N189" i="2"/>
  <c r="N190" i="2"/>
  <c r="N191" i="2"/>
  <c r="N192" i="2"/>
  <c r="N193" i="2"/>
  <c r="N194" i="2"/>
  <c r="N195" i="2"/>
  <c r="N196" i="2"/>
  <c r="N197" i="2"/>
  <c r="N198" i="2"/>
  <c r="N199" i="2"/>
  <c r="N200" i="2"/>
  <c r="N201" i="2"/>
  <c r="N202" i="2"/>
  <c r="N203" i="2"/>
  <c r="N204" i="2"/>
  <c r="N205" i="2"/>
  <c r="N206" i="2"/>
  <c r="N207" i="2"/>
  <c r="N208" i="2"/>
  <c r="N209" i="2"/>
  <c r="N210" i="2"/>
  <c r="N211" i="2"/>
  <c r="N212" i="2"/>
  <c r="N213" i="2"/>
  <c r="N214" i="2"/>
  <c r="N215" i="2"/>
  <c r="N216" i="2"/>
  <c r="N217" i="2"/>
  <c r="N218" i="2"/>
  <c r="N219" i="2"/>
  <c r="N220" i="2"/>
  <c r="N221" i="2"/>
  <c r="N222" i="2"/>
  <c r="N223" i="2"/>
  <c r="N224" i="2"/>
  <c r="N225" i="2"/>
  <c r="N226" i="2"/>
  <c r="N227" i="2"/>
  <c r="N228" i="2"/>
  <c r="N229" i="2"/>
  <c r="N230" i="2"/>
  <c r="N231" i="2"/>
  <c r="N232" i="2"/>
  <c r="N233" i="2"/>
  <c r="N234" i="2"/>
  <c r="N235" i="2"/>
  <c r="N236" i="2"/>
  <c r="N237" i="2"/>
  <c r="N238" i="2"/>
  <c r="N239" i="2"/>
  <c r="N240" i="2"/>
  <c r="N241" i="2"/>
  <c r="N242" i="2"/>
  <c r="N243" i="2"/>
  <c r="N244" i="2"/>
  <c r="N245" i="2"/>
  <c r="N246" i="2"/>
  <c r="N247" i="2"/>
  <c r="N248" i="2"/>
  <c r="N249" i="2"/>
  <c r="N250" i="2"/>
  <c r="N251" i="2"/>
  <c r="N252" i="2"/>
  <c r="N253" i="2"/>
  <c r="N254" i="2"/>
  <c r="N255" i="2"/>
  <c r="N256" i="2"/>
  <c r="N257" i="2"/>
  <c r="N258" i="2"/>
  <c r="N259" i="2"/>
  <c r="N260" i="2"/>
  <c r="N261" i="2"/>
  <c r="N262" i="2"/>
  <c r="N263" i="2"/>
  <c r="N264" i="2"/>
  <c r="N265" i="2"/>
  <c r="N266" i="2"/>
  <c r="N267" i="2"/>
  <c r="N268" i="2"/>
  <c r="N269" i="2"/>
  <c r="N270" i="2"/>
  <c r="N271" i="2"/>
  <c r="N272" i="2"/>
  <c r="N273" i="2"/>
  <c r="N274" i="2"/>
  <c r="N275" i="2"/>
  <c r="N276" i="2"/>
  <c r="N277" i="2"/>
  <c r="N278" i="2"/>
  <c r="N279" i="2"/>
  <c r="N280" i="2"/>
  <c r="N281" i="2"/>
  <c r="N282" i="2"/>
  <c r="N283" i="2"/>
  <c r="N284" i="2"/>
  <c r="N285" i="2"/>
  <c r="N286" i="2"/>
  <c r="N287" i="2"/>
  <c r="N288" i="2"/>
  <c r="N289" i="2"/>
  <c r="N290" i="2"/>
  <c r="N291" i="2"/>
  <c r="N292" i="2"/>
  <c r="N293" i="2"/>
  <c r="N294" i="2"/>
  <c r="N295" i="2"/>
  <c r="N296" i="2"/>
  <c r="N297" i="2"/>
  <c r="N298" i="2"/>
  <c r="N299" i="2"/>
  <c r="N300" i="2"/>
  <c r="N301" i="2"/>
  <c r="N302" i="2"/>
  <c r="N303" i="2"/>
  <c r="N304" i="2"/>
  <c r="N305" i="2"/>
  <c r="N306" i="2"/>
  <c r="N307" i="2"/>
  <c r="N308" i="2"/>
  <c r="N309" i="2"/>
  <c r="N310" i="2"/>
  <c r="N311" i="2"/>
  <c r="N312" i="2"/>
  <c r="N313" i="2"/>
  <c r="N314" i="2"/>
  <c r="N315" i="2"/>
  <c r="N316" i="2"/>
  <c r="N317" i="2"/>
  <c r="N318" i="2"/>
  <c r="N319" i="2"/>
  <c r="N320" i="2"/>
  <c r="N321" i="2"/>
  <c r="N322" i="2"/>
  <c r="N323" i="2"/>
  <c r="N324" i="2"/>
  <c r="N325" i="2"/>
  <c r="N326" i="2"/>
  <c r="N327" i="2"/>
  <c r="N328" i="2"/>
  <c r="N329" i="2"/>
  <c r="N330" i="2"/>
  <c r="N331" i="2"/>
  <c r="N332" i="2"/>
  <c r="N333" i="2"/>
  <c r="N334" i="2"/>
  <c r="N335" i="2"/>
  <c r="N336" i="2"/>
  <c r="N337" i="2"/>
  <c r="N338" i="2"/>
  <c r="N339" i="2"/>
  <c r="N340" i="2"/>
  <c r="N341" i="2"/>
  <c r="N342" i="2"/>
  <c r="N343" i="2"/>
  <c r="N344" i="2"/>
  <c r="N345" i="2"/>
  <c r="N346" i="2"/>
  <c r="N347" i="2"/>
  <c r="N348" i="2"/>
  <c r="N349" i="2"/>
  <c r="N350" i="2"/>
  <c r="N351" i="2"/>
  <c r="N352" i="2"/>
  <c r="N353" i="2"/>
  <c r="N354" i="2"/>
  <c r="N355" i="2"/>
  <c r="N356" i="2"/>
  <c r="N357" i="2"/>
  <c r="N358" i="2"/>
  <c r="N359" i="2"/>
  <c r="N360" i="2"/>
  <c r="N361" i="2"/>
  <c r="N362" i="2"/>
  <c r="N363" i="2"/>
  <c r="N364" i="2"/>
  <c r="N365" i="2"/>
  <c r="N366" i="2"/>
  <c r="N367" i="2"/>
  <c r="N368" i="2"/>
  <c r="N369" i="2"/>
  <c r="N370" i="2"/>
  <c r="N371" i="2"/>
  <c r="N372" i="2"/>
  <c r="N373" i="2"/>
  <c r="N374" i="2"/>
  <c r="N375" i="2"/>
  <c r="N376" i="2"/>
  <c r="N377" i="2"/>
  <c r="N378" i="2"/>
  <c r="N379" i="2"/>
  <c r="N380" i="2"/>
  <c r="N381" i="2"/>
  <c r="N382" i="2"/>
  <c r="N383" i="2"/>
  <c r="N384" i="2"/>
  <c r="N385" i="2"/>
  <c r="N386" i="2"/>
  <c r="N387" i="2"/>
  <c r="N388" i="2"/>
  <c r="N389" i="2"/>
  <c r="N390" i="2"/>
  <c r="N391" i="2"/>
  <c r="N392" i="2"/>
  <c r="N393" i="2"/>
  <c r="N394" i="2"/>
  <c r="N395" i="2"/>
  <c r="N396" i="2"/>
  <c r="N397" i="2"/>
  <c r="N398" i="2"/>
  <c r="N399" i="2"/>
  <c r="N400" i="2"/>
  <c r="N401" i="2"/>
  <c r="N402" i="2"/>
  <c r="N403" i="2"/>
  <c r="N404" i="2"/>
  <c r="N405" i="2"/>
  <c r="N406" i="2"/>
  <c r="N407" i="2"/>
  <c r="N408" i="2"/>
  <c r="N409" i="2"/>
  <c r="N410" i="2"/>
  <c r="N411" i="2"/>
  <c r="N412" i="2"/>
  <c r="N413" i="2"/>
  <c r="N414" i="2"/>
  <c r="N415" i="2"/>
  <c r="N416" i="2"/>
  <c r="N417" i="2"/>
  <c r="N418" i="2"/>
  <c r="N419" i="2"/>
  <c r="N420" i="2"/>
  <c r="N421" i="2"/>
  <c r="N422" i="2"/>
  <c r="N423" i="2"/>
  <c r="N424" i="2"/>
  <c r="N425" i="2"/>
  <c r="N426" i="2"/>
  <c r="N427" i="2"/>
  <c r="N428" i="2"/>
  <c r="N429" i="2"/>
  <c r="N430" i="2"/>
  <c r="N431" i="2"/>
  <c r="N432" i="2"/>
  <c r="N433" i="2"/>
  <c r="N434" i="2"/>
  <c r="N435" i="2"/>
  <c r="N436" i="2"/>
  <c r="N437" i="2"/>
  <c r="N438" i="2"/>
  <c r="N439" i="2"/>
  <c r="N440" i="2"/>
  <c r="N441" i="2"/>
  <c r="N442" i="2"/>
  <c r="N443" i="2"/>
  <c r="N444" i="2"/>
  <c r="N445" i="2"/>
  <c r="N446" i="2"/>
  <c r="N447" i="2"/>
  <c r="N448" i="2"/>
  <c r="N449" i="2"/>
  <c r="N450" i="2"/>
  <c r="N451" i="2"/>
  <c r="N452" i="2"/>
  <c r="N453" i="2"/>
  <c r="N454" i="2"/>
  <c r="N455" i="2"/>
  <c r="N456" i="2"/>
  <c r="N457" i="2"/>
  <c r="N458" i="2"/>
  <c r="N459" i="2"/>
  <c r="N460" i="2"/>
  <c r="N461" i="2"/>
  <c r="N462" i="2"/>
  <c r="N463" i="2"/>
  <c r="N464" i="2"/>
  <c r="N465" i="2"/>
  <c r="N466" i="2"/>
  <c r="N467" i="2"/>
  <c r="N468" i="2"/>
  <c r="N469" i="2"/>
  <c r="N470" i="2"/>
  <c r="N471" i="2"/>
  <c r="N472" i="2"/>
  <c r="N473" i="2"/>
  <c r="N474" i="2"/>
  <c r="N475" i="2"/>
  <c r="N476" i="2"/>
  <c r="N477" i="2"/>
  <c r="N478" i="2"/>
  <c r="N479" i="2"/>
  <c r="N480" i="2"/>
  <c r="N481" i="2"/>
  <c r="N482" i="2"/>
  <c r="N483" i="2"/>
  <c r="N484" i="2"/>
  <c r="N485" i="2"/>
  <c r="N486" i="2"/>
  <c r="N487" i="2"/>
  <c r="N488" i="2"/>
  <c r="N489" i="2"/>
  <c r="N490" i="2"/>
  <c r="N491" i="2"/>
  <c r="N492" i="2"/>
  <c r="N493" i="2"/>
  <c r="N494" i="2"/>
  <c r="N495" i="2"/>
  <c r="N496" i="2"/>
  <c r="N497" i="2"/>
  <c r="N498" i="2"/>
  <c r="N499" i="2"/>
  <c r="N500" i="2"/>
  <c r="N501" i="2"/>
  <c r="N502" i="2"/>
  <c r="N503" i="2"/>
  <c r="N504" i="2"/>
  <c r="N505" i="2"/>
  <c r="N506" i="2"/>
  <c r="N507" i="2"/>
  <c r="N508" i="2"/>
  <c r="N509" i="2"/>
  <c r="N510" i="2"/>
  <c r="N511" i="2"/>
  <c r="N512" i="2"/>
  <c r="N513" i="2"/>
  <c r="N514" i="2"/>
  <c r="N515" i="2"/>
  <c r="N516" i="2"/>
  <c r="N517" i="2"/>
  <c r="N518" i="2"/>
  <c r="N519" i="2"/>
  <c r="N520" i="2"/>
  <c r="N521" i="2"/>
  <c r="N522" i="2"/>
  <c r="N523" i="2"/>
  <c r="N524" i="2"/>
  <c r="N525" i="2"/>
  <c r="N526" i="2"/>
  <c r="N527" i="2"/>
  <c r="N528" i="2"/>
  <c r="N529" i="2"/>
  <c r="N530" i="2"/>
  <c r="N531" i="2"/>
  <c r="N532" i="2"/>
  <c r="N533" i="2"/>
  <c r="N534" i="2"/>
  <c r="N535" i="2"/>
  <c r="N536" i="2"/>
  <c r="N537" i="2"/>
  <c r="N538" i="2"/>
  <c r="N539" i="2"/>
  <c r="N540" i="2"/>
  <c r="N541" i="2"/>
  <c r="N542" i="2"/>
  <c r="N543" i="2"/>
  <c r="N544" i="2"/>
  <c r="N545" i="2"/>
  <c r="N546" i="2"/>
  <c r="N547" i="2"/>
  <c r="N548" i="2"/>
  <c r="N549" i="2"/>
  <c r="N550" i="2"/>
  <c r="N551" i="2"/>
  <c r="N552" i="2"/>
  <c r="N553" i="2"/>
  <c r="N554" i="2"/>
  <c r="N555" i="2"/>
  <c r="N556" i="2"/>
  <c r="N557" i="2"/>
  <c r="N558" i="2"/>
  <c r="N559" i="2"/>
  <c r="N560" i="2"/>
  <c r="N561" i="2"/>
  <c r="N562" i="2"/>
  <c r="N563" i="2"/>
  <c r="N564" i="2"/>
  <c r="N565" i="2"/>
  <c r="N566" i="2"/>
  <c r="N567" i="2"/>
  <c r="N568" i="2"/>
  <c r="N569" i="2"/>
  <c r="N570" i="2"/>
  <c r="N571" i="2"/>
  <c r="N572" i="2"/>
  <c r="N573" i="2"/>
  <c r="N574" i="2"/>
  <c r="N575" i="2"/>
  <c r="N576" i="2"/>
  <c r="N577" i="2"/>
  <c r="N578" i="2"/>
  <c r="N579" i="2"/>
  <c r="N580" i="2"/>
  <c r="N581" i="2"/>
  <c r="N582" i="2"/>
  <c r="N583" i="2"/>
  <c r="N584" i="2"/>
  <c r="N585" i="2"/>
  <c r="N586" i="2"/>
  <c r="N587" i="2"/>
  <c r="N588" i="2"/>
  <c r="N589" i="2"/>
  <c r="N590" i="2"/>
  <c r="N591" i="2"/>
  <c r="N592" i="2"/>
  <c r="N593" i="2"/>
  <c r="N594" i="2"/>
  <c r="N595" i="2"/>
  <c r="N596" i="2"/>
  <c r="N597" i="2"/>
  <c r="N598" i="2"/>
  <c r="N599" i="2"/>
  <c r="N600" i="2"/>
  <c r="N601" i="2"/>
  <c r="N602" i="2"/>
  <c r="N603" i="2"/>
  <c r="N604" i="2"/>
  <c r="N605" i="2"/>
  <c r="N606" i="2"/>
  <c r="N607" i="2"/>
  <c r="N608" i="2"/>
  <c r="N609" i="2"/>
  <c r="N610" i="2"/>
  <c r="N611" i="2"/>
  <c r="N612" i="2"/>
  <c r="N613" i="2"/>
  <c r="N614" i="2"/>
  <c r="N615" i="2"/>
  <c r="N616" i="2"/>
  <c r="N617" i="2"/>
  <c r="N618" i="2"/>
  <c r="N619" i="2"/>
  <c r="N620" i="2"/>
  <c r="N621" i="2"/>
  <c r="N622" i="2"/>
  <c r="N623" i="2"/>
  <c r="N624" i="2"/>
  <c r="N625" i="2"/>
  <c r="N626" i="2"/>
  <c r="N627" i="2"/>
  <c r="N628" i="2"/>
  <c r="N629" i="2"/>
  <c r="N630" i="2"/>
  <c r="N631" i="2"/>
  <c r="N632" i="2"/>
  <c r="N633" i="2"/>
  <c r="N634" i="2"/>
  <c r="N635" i="2"/>
  <c r="N636" i="2"/>
  <c r="N637" i="2"/>
  <c r="N638" i="2"/>
  <c r="N639" i="2"/>
  <c r="N640" i="2"/>
  <c r="N641" i="2"/>
  <c r="N642" i="2"/>
  <c r="N643" i="2"/>
  <c r="N644" i="2"/>
  <c r="N645" i="2"/>
  <c r="N646" i="2"/>
  <c r="N647" i="2"/>
  <c r="N648" i="2"/>
  <c r="N649" i="2"/>
  <c r="N650" i="2"/>
  <c r="N651" i="2"/>
  <c r="N652" i="2"/>
  <c r="N653" i="2"/>
  <c r="N654" i="2"/>
  <c r="N655" i="2"/>
  <c r="N656" i="2"/>
  <c r="N657" i="2"/>
  <c r="N658" i="2"/>
  <c r="N659" i="2"/>
  <c r="N660" i="2"/>
  <c r="N661" i="2"/>
  <c r="N662" i="2"/>
  <c r="N663" i="2"/>
  <c r="N664" i="2"/>
  <c r="N665" i="2"/>
  <c r="N666" i="2"/>
  <c r="N667" i="2"/>
  <c r="N668" i="2"/>
  <c r="N669" i="2"/>
  <c r="N670" i="2"/>
  <c r="N671" i="2"/>
  <c r="N672" i="2"/>
  <c r="N673" i="2"/>
  <c r="N674" i="2"/>
  <c r="N675" i="2"/>
  <c r="N676" i="2"/>
  <c r="N677" i="2"/>
  <c r="N678" i="2"/>
  <c r="N679" i="2"/>
  <c r="N680" i="2"/>
  <c r="N681" i="2"/>
  <c r="N682" i="2"/>
  <c r="N683" i="2"/>
  <c r="N684" i="2"/>
  <c r="N685" i="2"/>
  <c r="N686" i="2"/>
  <c r="N687" i="2"/>
  <c r="N688" i="2"/>
  <c r="N689" i="2"/>
  <c r="N690" i="2"/>
  <c r="N691" i="2"/>
  <c r="N692" i="2"/>
  <c r="N693" i="2"/>
  <c r="N694" i="2"/>
  <c r="N695" i="2"/>
  <c r="N696" i="2"/>
  <c r="N697" i="2"/>
  <c r="N698" i="2"/>
  <c r="N699" i="2"/>
  <c r="N700" i="2"/>
  <c r="N701" i="2"/>
  <c r="N702" i="2"/>
  <c r="N703" i="2"/>
  <c r="N704" i="2"/>
  <c r="N705" i="2"/>
  <c r="N706" i="2"/>
  <c r="N707" i="2"/>
  <c r="N708" i="2"/>
  <c r="N709" i="2"/>
  <c r="N710" i="2"/>
  <c r="N711" i="2"/>
  <c r="N712" i="2"/>
  <c r="N713" i="2"/>
  <c r="N714" i="2"/>
  <c r="N715" i="2"/>
  <c r="N716" i="2"/>
  <c r="N717" i="2"/>
  <c r="N718" i="2"/>
  <c r="N719" i="2"/>
  <c r="N720" i="2"/>
  <c r="N721" i="2"/>
  <c r="N722" i="2"/>
  <c r="N723" i="2"/>
  <c r="N724" i="2"/>
  <c r="N725" i="2"/>
  <c r="N726" i="2"/>
  <c r="N727" i="2"/>
  <c r="N728" i="2"/>
  <c r="N729" i="2"/>
  <c r="N730" i="2"/>
  <c r="N731" i="2"/>
  <c r="N732" i="2"/>
  <c r="N733" i="2"/>
  <c r="N734" i="2"/>
  <c r="N735" i="2"/>
  <c r="N736" i="2"/>
  <c r="N737" i="2"/>
  <c r="N738" i="2"/>
  <c r="N739" i="2"/>
  <c r="N740" i="2"/>
  <c r="N741" i="2"/>
  <c r="N742" i="2"/>
  <c r="N743" i="2"/>
  <c r="N744" i="2"/>
  <c r="N745" i="2"/>
  <c r="N746" i="2"/>
  <c r="N747" i="2"/>
  <c r="N748" i="2"/>
  <c r="N749" i="2"/>
  <c r="N750" i="2"/>
  <c r="N751" i="2"/>
  <c r="N752" i="2"/>
  <c r="N753" i="2"/>
  <c r="N754" i="2"/>
  <c r="N755" i="2"/>
  <c r="N756" i="2"/>
  <c r="N757" i="2"/>
  <c r="N758" i="2"/>
  <c r="N759" i="2"/>
  <c r="N760" i="2"/>
  <c r="N761" i="2"/>
  <c r="N762" i="2"/>
  <c r="N763" i="2"/>
  <c r="N764" i="2"/>
  <c r="N765" i="2"/>
  <c r="N766" i="2"/>
  <c r="N767" i="2"/>
  <c r="N768" i="2"/>
  <c r="N769" i="2"/>
  <c r="N770" i="2"/>
  <c r="N771" i="2"/>
  <c r="N772" i="2"/>
  <c r="N773" i="2"/>
  <c r="N774" i="2"/>
  <c r="N775" i="2"/>
  <c r="N776" i="2"/>
  <c r="N777" i="2"/>
  <c r="N778" i="2"/>
  <c r="N779" i="2"/>
  <c r="N780" i="2"/>
  <c r="N781" i="2"/>
  <c r="N782" i="2"/>
  <c r="N783" i="2"/>
  <c r="N784" i="2"/>
  <c r="N785" i="2"/>
  <c r="N786" i="2"/>
  <c r="N787" i="2"/>
  <c r="N788" i="2"/>
  <c r="N789" i="2"/>
  <c r="N790" i="2"/>
  <c r="N791" i="2"/>
  <c r="N792" i="2"/>
  <c r="N793" i="2"/>
  <c r="N794" i="2"/>
  <c r="N795" i="2"/>
  <c r="N796" i="2"/>
  <c r="N797" i="2"/>
  <c r="N798" i="2"/>
  <c r="N799" i="2"/>
  <c r="N800" i="2"/>
  <c r="N801" i="2"/>
  <c r="I2" i="2"/>
  <c r="M2" i="2"/>
  <c r="K2" i="2" l="1"/>
  <c r="M18" i="4" l="1"/>
  <c r="M2" i="4"/>
  <c r="M3" i="4"/>
  <c r="M4" i="4"/>
  <c r="M5" i="4"/>
  <c r="M6" i="4"/>
  <c r="M7" i="4"/>
  <c r="M8" i="4"/>
  <c r="M9" i="4"/>
  <c r="M10" i="4"/>
  <c r="M11" i="4"/>
  <c r="M12" i="4"/>
  <c r="M13" i="4"/>
  <c r="M14" i="4"/>
  <c r="M15" i="4"/>
  <c r="M16" i="4"/>
  <c r="M17" i="4"/>
  <c r="M19" i="4"/>
  <c r="M20" i="4"/>
  <c r="M21" i="4"/>
  <c r="M22" i="4"/>
  <c r="M23" i="4"/>
  <c r="M24" i="4"/>
  <c r="M25" i="4"/>
  <c r="M26" i="4"/>
  <c r="M27" i="4"/>
  <c r="M28" i="4"/>
  <c r="M29" i="4"/>
  <c r="M30" i="4"/>
  <c r="M31" i="4"/>
  <c r="M32" i="4"/>
  <c r="M33" i="4"/>
  <c r="M34" i="4"/>
  <c r="M35" i="4"/>
  <c r="M36" i="4"/>
  <c r="M37" i="4"/>
  <c r="M38" i="4"/>
  <c r="M39" i="4"/>
  <c r="M40" i="4"/>
  <c r="M41" i="4"/>
  <c r="M42" i="4"/>
  <c r="M43" i="4"/>
  <c r="M44" i="4"/>
  <c r="M45" i="4"/>
  <c r="M46" i="4"/>
  <c r="M47" i="4"/>
  <c r="M48" i="4"/>
  <c r="M49" i="4"/>
  <c r="M50" i="4"/>
  <c r="M51" i="4"/>
  <c r="M52" i="4"/>
  <c r="M53" i="4"/>
  <c r="M54" i="4"/>
  <c r="M55" i="4"/>
  <c r="M56" i="4"/>
  <c r="M57" i="4"/>
  <c r="M58" i="4"/>
  <c r="M59" i="4"/>
  <c r="M60" i="4"/>
  <c r="M61" i="4"/>
  <c r="M62" i="4"/>
  <c r="M63" i="4"/>
  <c r="M64" i="4"/>
  <c r="M65" i="4"/>
  <c r="M66" i="4"/>
  <c r="M67" i="4"/>
  <c r="M68" i="4"/>
  <c r="M69" i="4"/>
  <c r="M70" i="4"/>
  <c r="M71" i="4"/>
  <c r="M72" i="4"/>
  <c r="M73" i="4"/>
  <c r="M74" i="4"/>
  <c r="M75" i="4"/>
  <c r="M76" i="4"/>
  <c r="M77" i="4"/>
  <c r="M78" i="4"/>
  <c r="M79" i="4"/>
  <c r="M80" i="4"/>
  <c r="M81" i="4"/>
  <c r="M82" i="4"/>
  <c r="M83" i="4"/>
  <c r="M84" i="4"/>
  <c r="M85" i="4"/>
  <c r="M86" i="4"/>
  <c r="M87" i="4"/>
  <c r="M88" i="4"/>
  <c r="M89" i="4"/>
  <c r="M90" i="4"/>
  <c r="M91" i="4"/>
  <c r="M92" i="4"/>
  <c r="M93" i="4"/>
  <c r="M94" i="4"/>
  <c r="M95" i="4"/>
  <c r="M96" i="4"/>
  <c r="M97" i="4"/>
  <c r="M98" i="4"/>
  <c r="M99" i="4"/>
  <c r="M100" i="4"/>
  <c r="M101" i="4"/>
  <c r="M102" i="4"/>
  <c r="M103" i="4"/>
  <c r="M104" i="4"/>
  <c r="M105" i="4"/>
  <c r="M106" i="4"/>
  <c r="M107" i="4"/>
  <c r="M108" i="4"/>
  <c r="M109" i="4"/>
  <c r="M110" i="4"/>
  <c r="M111" i="4"/>
  <c r="M112" i="4"/>
  <c r="M113" i="4"/>
  <c r="M114" i="4"/>
  <c r="M115" i="4"/>
  <c r="M116" i="4"/>
  <c r="M117" i="4"/>
  <c r="M118" i="4"/>
  <c r="M119" i="4"/>
  <c r="M120" i="4"/>
  <c r="M121" i="4"/>
  <c r="M122" i="4"/>
  <c r="M123" i="4"/>
  <c r="M124" i="4"/>
  <c r="M125" i="4"/>
  <c r="M126" i="4"/>
  <c r="M127" i="4"/>
  <c r="M128" i="4"/>
  <c r="M129" i="4"/>
  <c r="M130" i="4"/>
  <c r="M131" i="4"/>
  <c r="M132" i="4"/>
  <c r="M133" i="4"/>
  <c r="M134" i="4"/>
  <c r="M135" i="4"/>
  <c r="M136" i="4"/>
  <c r="M137" i="4"/>
  <c r="M138" i="4"/>
  <c r="M139" i="4"/>
  <c r="M140" i="4"/>
  <c r="M141" i="4"/>
  <c r="M142" i="4"/>
  <c r="M143" i="4"/>
  <c r="M144" i="4"/>
  <c r="M145" i="4"/>
  <c r="M146" i="4"/>
  <c r="M147" i="4"/>
  <c r="M148" i="4"/>
  <c r="M149" i="4"/>
  <c r="M150" i="4"/>
  <c r="M151" i="4"/>
  <c r="M152" i="4"/>
  <c r="M153" i="4"/>
  <c r="M154" i="4"/>
  <c r="M155" i="4"/>
  <c r="M156" i="4"/>
  <c r="M157" i="4"/>
  <c r="M158" i="4"/>
  <c r="M159" i="4"/>
  <c r="M160" i="4"/>
  <c r="M161" i="4"/>
  <c r="M162" i="4"/>
  <c r="M163" i="4"/>
  <c r="M164" i="4"/>
  <c r="M165" i="4"/>
  <c r="M166" i="4"/>
  <c r="M167" i="4"/>
  <c r="M168" i="4"/>
  <c r="M169" i="4"/>
  <c r="M170" i="4"/>
  <c r="M171" i="4"/>
  <c r="M172" i="4"/>
  <c r="M173" i="4"/>
  <c r="M174" i="4"/>
  <c r="M175" i="4"/>
  <c r="M176" i="4"/>
  <c r="M177" i="4"/>
  <c r="M178" i="4"/>
  <c r="M179" i="4"/>
  <c r="M180" i="4"/>
  <c r="M181" i="4"/>
  <c r="M182" i="4"/>
  <c r="M183" i="4"/>
  <c r="M184" i="4"/>
  <c r="M185" i="4"/>
  <c r="M186" i="4"/>
  <c r="M187" i="4"/>
  <c r="M188" i="4"/>
  <c r="M189" i="4"/>
  <c r="M190" i="4"/>
  <c r="M191" i="4"/>
  <c r="M192" i="4"/>
  <c r="M193" i="4"/>
  <c r="M194" i="4"/>
  <c r="M195" i="4"/>
  <c r="M196" i="4"/>
  <c r="M197" i="4"/>
  <c r="M198" i="4"/>
  <c r="M199" i="4"/>
  <c r="M200" i="4"/>
  <c r="M201" i="4"/>
  <c r="M202" i="4"/>
  <c r="M203" i="4"/>
  <c r="M204" i="4"/>
  <c r="M205" i="4"/>
  <c r="M206" i="4"/>
  <c r="M207" i="4"/>
  <c r="M208" i="4"/>
  <c r="M209" i="4"/>
  <c r="M210" i="4"/>
  <c r="M211" i="4"/>
  <c r="M212" i="4"/>
  <c r="M213" i="4"/>
  <c r="M214" i="4"/>
  <c r="M215" i="4"/>
  <c r="M216" i="4"/>
  <c r="M217" i="4"/>
  <c r="M218" i="4"/>
  <c r="M219" i="4"/>
  <c r="M220" i="4"/>
  <c r="M221" i="4"/>
  <c r="M222" i="4"/>
  <c r="M223" i="4"/>
  <c r="M224" i="4"/>
  <c r="M225" i="4"/>
  <c r="M226" i="4"/>
  <c r="M227" i="4"/>
  <c r="M228" i="4"/>
  <c r="M229" i="4"/>
  <c r="M230" i="4"/>
  <c r="M231" i="4"/>
  <c r="M232" i="4"/>
  <c r="M233" i="4"/>
  <c r="M234" i="4"/>
  <c r="M235" i="4"/>
  <c r="M236" i="4"/>
  <c r="M237" i="4"/>
  <c r="M238" i="4"/>
  <c r="M239" i="4"/>
  <c r="M240" i="4"/>
  <c r="M241" i="4"/>
  <c r="M242" i="4"/>
  <c r="M243" i="4"/>
  <c r="M244" i="4"/>
  <c r="M245" i="4"/>
  <c r="M246" i="4"/>
  <c r="M247" i="4"/>
  <c r="M248" i="4"/>
  <c r="M249" i="4"/>
  <c r="M250" i="4"/>
  <c r="M251" i="4"/>
  <c r="M252" i="4"/>
  <c r="M253" i="4"/>
  <c r="M254" i="4"/>
  <c r="M255" i="4"/>
  <c r="M256" i="4"/>
  <c r="M257" i="4"/>
  <c r="M258" i="4"/>
  <c r="M259" i="4"/>
  <c r="M260" i="4"/>
  <c r="M261" i="4"/>
  <c r="M262" i="4"/>
  <c r="M263" i="4"/>
  <c r="M264" i="4"/>
  <c r="M265" i="4"/>
  <c r="M266" i="4"/>
  <c r="M267" i="4"/>
  <c r="M268" i="4"/>
  <c r="M269" i="4"/>
  <c r="M270" i="4"/>
  <c r="M271" i="4"/>
  <c r="M272" i="4"/>
  <c r="M273" i="4"/>
  <c r="M274" i="4"/>
  <c r="M275" i="4"/>
  <c r="M276" i="4"/>
  <c r="M277" i="4"/>
  <c r="M278" i="4"/>
  <c r="M279" i="4"/>
  <c r="M280" i="4"/>
  <c r="M281" i="4"/>
  <c r="M282" i="4"/>
  <c r="M283" i="4"/>
  <c r="M284" i="4"/>
  <c r="M285" i="4"/>
  <c r="M286" i="4"/>
  <c r="M287" i="4"/>
  <c r="M288" i="4"/>
  <c r="M289" i="4"/>
  <c r="M290" i="4"/>
  <c r="M291" i="4"/>
  <c r="M292" i="4"/>
  <c r="M293" i="4"/>
  <c r="M294" i="4"/>
  <c r="M295" i="4"/>
  <c r="M296" i="4"/>
  <c r="M297" i="4"/>
  <c r="M298" i="4"/>
  <c r="M299" i="4"/>
  <c r="M300" i="4"/>
  <c r="M301" i="4"/>
  <c r="M302" i="4"/>
  <c r="M303" i="4"/>
  <c r="M304" i="4"/>
  <c r="M305" i="4"/>
  <c r="M306" i="4"/>
  <c r="M307" i="4"/>
  <c r="M308" i="4"/>
  <c r="M309" i="4"/>
  <c r="M310" i="4"/>
  <c r="M311" i="4"/>
  <c r="M312" i="4"/>
  <c r="M313" i="4"/>
  <c r="M314" i="4"/>
  <c r="M315" i="4"/>
  <c r="M316" i="4"/>
  <c r="M317" i="4"/>
  <c r="M318" i="4"/>
  <c r="M319" i="4"/>
  <c r="M320" i="4"/>
  <c r="M321" i="4"/>
  <c r="M322" i="4"/>
  <c r="M323" i="4"/>
  <c r="M324" i="4"/>
  <c r="M325" i="4"/>
  <c r="M326" i="4"/>
  <c r="M327" i="4"/>
  <c r="M328" i="4"/>
  <c r="M329" i="4"/>
  <c r="M330" i="4"/>
  <c r="M331" i="4"/>
  <c r="M332" i="4"/>
  <c r="M333" i="4"/>
  <c r="M334" i="4"/>
  <c r="M335" i="4"/>
  <c r="M336" i="4"/>
  <c r="M337" i="4"/>
  <c r="M338" i="4"/>
  <c r="M339" i="4"/>
  <c r="M340" i="4"/>
  <c r="M341" i="4"/>
  <c r="M342" i="4"/>
  <c r="M343" i="4"/>
  <c r="M344" i="4"/>
  <c r="M345" i="4"/>
  <c r="M346" i="4"/>
  <c r="M347" i="4"/>
  <c r="M348" i="4"/>
  <c r="M349" i="4"/>
  <c r="M350" i="4"/>
  <c r="M351" i="4"/>
  <c r="M352" i="4"/>
  <c r="M353" i="4"/>
  <c r="M354" i="4"/>
  <c r="M355" i="4"/>
  <c r="M356" i="4"/>
  <c r="M357" i="4"/>
  <c r="M358" i="4"/>
  <c r="M359" i="4"/>
  <c r="M360" i="4"/>
  <c r="M361" i="4"/>
  <c r="M362" i="4"/>
  <c r="M363" i="4"/>
  <c r="M364" i="4"/>
  <c r="M365" i="4"/>
  <c r="M366" i="4"/>
  <c r="M367" i="4"/>
  <c r="M368" i="4"/>
  <c r="M369" i="4"/>
  <c r="M370" i="4"/>
  <c r="M371" i="4"/>
  <c r="M372" i="4"/>
  <c r="M373" i="4"/>
  <c r="M374" i="4"/>
  <c r="M375" i="4"/>
  <c r="M376" i="4"/>
  <c r="M377" i="4"/>
  <c r="M378" i="4"/>
  <c r="M379" i="4"/>
  <c r="M380" i="4"/>
  <c r="M381" i="4"/>
  <c r="M382" i="4"/>
  <c r="M383" i="4"/>
  <c r="M384" i="4"/>
  <c r="M385" i="4"/>
  <c r="M386" i="4"/>
  <c r="M387" i="4"/>
  <c r="M388" i="4"/>
  <c r="M389" i="4"/>
  <c r="M390" i="4"/>
  <c r="M391" i="4"/>
  <c r="M392" i="4"/>
  <c r="M393" i="4"/>
  <c r="M394" i="4"/>
  <c r="M395" i="4"/>
  <c r="M396" i="4"/>
  <c r="M397" i="4"/>
  <c r="M398" i="4"/>
  <c r="M399" i="4"/>
  <c r="M400" i="4"/>
  <c r="M401" i="4"/>
  <c r="M402" i="4"/>
  <c r="M403" i="4"/>
  <c r="M404" i="4"/>
  <c r="M405" i="4"/>
  <c r="M406" i="4"/>
  <c r="M407" i="4"/>
  <c r="M408" i="4"/>
  <c r="M409" i="4"/>
  <c r="M410" i="4"/>
  <c r="M411" i="4"/>
  <c r="M412" i="4"/>
  <c r="M413" i="4"/>
  <c r="M414" i="4"/>
  <c r="M415" i="4"/>
  <c r="M416" i="4"/>
  <c r="M417" i="4"/>
  <c r="M418" i="4"/>
  <c r="M419" i="4"/>
  <c r="M420" i="4"/>
  <c r="M421" i="4"/>
  <c r="M422" i="4"/>
  <c r="M423" i="4"/>
  <c r="M424" i="4"/>
  <c r="M425" i="4"/>
  <c r="M426" i="4"/>
  <c r="M427" i="4"/>
  <c r="M428" i="4"/>
  <c r="M429" i="4"/>
  <c r="M430" i="4"/>
  <c r="M431" i="4"/>
  <c r="M432" i="4"/>
  <c r="M433" i="4"/>
  <c r="M434" i="4"/>
  <c r="M435" i="4"/>
  <c r="M436" i="4"/>
  <c r="M437" i="4"/>
  <c r="M438" i="4"/>
  <c r="M439" i="4"/>
  <c r="M440" i="4"/>
  <c r="M441" i="4"/>
  <c r="M442" i="4"/>
  <c r="M443" i="4"/>
  <c r="M444" i="4"/>
  <c r="M445" i="4"/>
  <c r="M446" i="4"/>
  <c r="M447" i="4"/>
  <c r="M448" i="4"/>
  <c r="M449" i="4"/>
  <c r="M450" i="4"/>
  <c r="M451" i="4"/>
  <c r="M452" i="4"/>
  <c r="M453" i="4"/>
  <c r="M454" i="4"/>
  <c r="M455" i="4"/>
  <c r="M456" i="4"/>
  <c r="M457" i="4"/>
  <c r="M458" i="4"/>
  <c r="M459" i="4"/>
  <c r="M460" i="4"/>
  <c r="M461" i="4"/>
  <c r="M462" i="4"/>
  <c r="M463" i="4"/>
  <c r="M464" i="4"/>
  <c r="M465" i="4"/>
  <c r="M466" i="4"/>
  <c r="M467" i="4"/>
  <c r="M468" i="4"/>
  <c r="M469" i="4"/>
  <c r="M470" i="4"/>
  <c r="M471" i="4"/>
  <c r="M472" i="4"/>
  <c r="M473" i="4"/>
  <c r="M474" i="4"/>
  <c r="M475" i="4"/>
  <c r="M476" i="4"/>
  <c r="M477" i="4"/>
  <c r="M478" i="4"/>
  <c r="M479" i="4"/>
  <c r="M480" i="4"/>
  <c r="M481" i="4"/>
  <c r="M482" i="4"/>
  <c r="M483" i="4"/>
  <c r="M484" i="4"/>
  <c r="M485" i="4"/>
  <c r="M486" i="4"/>
  <c r="M487" i="4"/>
  <c r="M488" i="4"/>
  <c r="M489" i="4"/>
  <c r="M490" i="4"/>
  <c r="M491" i="4"/>
  <c r="M492" i="4"/>
  <c r="M493" i="4"/>
  <c r="M494" i="4"/>
  <c r="M495" i="4"/>
  <c r="M496" i="4"/>
  <c r="M497" i="4"/>
  <c r="M498" i="4"/>
  <c r="M499" i="4"/>
  <c r="M500" i="4"/>
  <c r="M501" i="4"/>
  <c r="M502" i="4"/>
  <c r="M503" i="4"/>
  <c r="M504" i="4"/>
  <c r="M505" i="4"/>
  <c r="M506" i="4"/>
  <c r="M507" i="4"/>
  <c r="M508" i="4"/>
  <c r="M509" i="4"/>
  <c r="M510" i="4"/>
  <c r="M511" i="4"/>
  <c r="M512" i="4"/>
  <c r="M513" i="4"/>
  <c r="M514" i="4"/>
  <c r="M515" i="4"/>
  <c r="M516" i="4"/>
  <c r="M517" i="4"/>
  <c r="M518" i="4"/>
  <c r="M519" i="4"/>
  <c r="M520" i="4"/>
  <c r="M521" i="4"/>
  <c r="M522" i="4"/>
  <c r="M523" i="4"/>
  <c r="M524" i="4"/>
  <c r="M525" i="4"/>
  <c r="M526" i="4"/>
  <c r="M527" i="4"/>
  <c r="M528" i="4"/>
  <c r="M529" i="4"/>
  <c r="M530" i="4"/>
  <c r="M531" i="4"/>
  <c r="M532" i="4"/>
  <c r="M533" i="4"/>
  <c r="M534" i="4"/>
  <c r="M535" i="4"/>
  <c r="M536" i="4"/>
  <c r="M537" i="4"/>
  <c r="M538" i="4"/>
  <c r="M539" i="4"/>
  <c r="M540" i="4"/>
  <c r="M541" i="4"/>
  <c r="M542" i="4"/>
  <c r="M543" i="4"/>
  <c r="M544" i="4"/>
  <c r="M545" i="4"/>
  <c r="M546" i="4"/>
  <c r="M547" i="4"/>
  <c r="M548" i="4"/>
  <c r="M549" i="4"/>
  <c r="M550" i="4"/>
  <c r="M551" i="4"/>
  <c r="M552" i="4"/>
  <c r="M553" i="4"/>
  <c r="M554" i="4"/>
  <c r="M555" i="4"/>
  <c r="M556" i="4"/>
  <c r="M557" i="4"/>
  <c r="M558" i="4"/>
  <c r="M559" i="4"/>
  <c r="M560" i="4"/>
  <c r="M561" i="4"/>
  <c r="M562" i="4"/>
  <c r="M563" i="4"/>
  <c r="M564" i="4"/>
  <c r="M565" i="4"/>
  <c r="M566" i="4"/>
  <c r="M567" i="4"/>
  <c r="M568" i="4"/>
  <c r="M569" i="4"/>
  <c r="M570" i="4"/>
  <c r="M571" i="4"/>
  <c r="M572" i="4"/>
  <c r="M573" i="4"/>
  <c r="M574" i="4"/>
  <c r="M575" i="4"/>
  <c r="M576" i="4"/>
  <c r="M577" i="4"/>
  <c r="M578" i="4"/>
  <c r="M579" i="4"/>
  <c r="M580" i="4"/>
  <c r="M581" i="4"/>
  <c r="M582" i="4"/>
  <c r="M583" i="4"/>
  <c r="M584" i="4"/>
  <c r="M585" i="4"/>
  <c r="M586" i="4"/>
  <c r="M587" i="4"/>
  <c r="M588" i="4"/>
  <c r="M589" i="4"/>
  <c r="M590" i="4"/>
  <c r="M591" i="4"/>
  <c r="M592" i="4"/>
  <c r="M593" i="4"/>
  <c r="M594" i="4"/>
  <c r="M595" i="4"/>
  <c r="M596" i="4"/>
  <c r="M597" i="4"/>
  <c r="M598" i="4"/>
  <c r="M599" i="4"/>
  <c r="M600" i="4"/>
  <c r="M601" i="4"/>
  <c r="M602" i="4"/>
  <c r="M603" i="4"/>
  <c r="M604" i="4"/>
  <c r="M605" i="4"/>
  <c r="M606" i="4"/>
  <c r="M607" i="4"/>
  <c r="M608" i="4"/>
  <c r="M609" i="4"/>
  <c r="M610" i="4"/>
  <c r="M611" i="4"/>
  <c r="M612" i="4"/>
  <c r="M613" i="4"/>
  <c r="M614" i="4"/>
  <c r="M615" i="4"/>
  <c r="M616" i="4"/>
  <c r="M617" i="4"/>
  <c r="M618" i="4"/>
  <c r="M619" i="4"/>
  <c r="M620" i="4"/>
  <c r="M621" i="4"/>
  <c r="M622" i="4"/>
  <c r="M623" i="4"/>
  <c r="M624" i="4"/>
  <c r="M625" i="4"/>
  <c r="M626" i="4"/>
  <c r="M627" i="4"/>
  <c r="M628" i="4"/>
  <c r="M629" i="4"/>
  <c r="M630" i="4"/>
  <c r="M631" i="4"/>
  <c r="M632" i="4"/>
  <c r="M633" i="4"/>
  <c r="M634" i="4"/>
  <c r="M635" i="4"/>
  <c r="M636" i="4"/>
  <c r="M637" i="4"/>
  <c r="M638" i="4"/>
  <c r="M639" i="4"/>
  <c r="M640" i="4"/>
  <c r="M641" i="4"/>
  <c r="M642" i="4"/>
  <c r="M643" i="4"/>
  <c r="M644" i="4"/>
  <c r="M645" i="4"/>
  <c r="M646" i="4"/>
  <c r="M647" i="4"/>
  <c r="M648" i="4"/>
  <c r="M649" i="4"/>
  <c r="M650" i="4"/>
  <c r="M651" i="4"/>
  <c r="M652" i="4"/>
  <c r="M653" i="4"/>
  <c r="M654" i="4"/>
  <c r="M655" i="4"/>
  <c r="M656" i="4"/>
  <c r="M657" i="4"/>
  <c r="M658" i="4"/>
  <c r="M659" i="4"/>
  <c r="M660" i="4"/>
  <c r="M661" i="4"/>
  <c r="M662" i="4"/>
  <c r="M663" i="4"/>
  <c r="M664" i="4"/>
  <c r="M665" i="4"/>
  <c r="M666" i="4"/>
  <c r="M667" i="4"/>
  <c r="M668" i="4"/>
  <c r="M669" i="4"/>
  <c r="M670" i="4"/>
  <c r="M671" i="4"/>
  <c r="M672" i="4"/>
  <c r="M673" i="4"/>
  <c r="M674" i="4"/>
  <c r="M675" i="4"/>
  <c r="M676" i="4"/>
  <c r="M677" i="4"/>
  <c r="M678" i="4"/>
  <c r="M679" i="4"/>
  <c r="M680" i="4"/>
  <c r="M681" i="4"/>
  <c r="M682" i="4"/>
  <c r="M683" i="4"/>
  <c r="M684" i="4"/>
  <c r="M685" i="4"/>
  <c r="M686" i="4"/>
  <c r="M687" i="4"/>
  <c r="M688" i="4"/>
  <c r="M689" i="4"/>
  <c r="M690" i="4"/>
  <c r="M691" i="4"/>
  <c r="M692" i="4"/>
  <c r="M693" i="4"/>
  <c r="M694" i="4"/>
  <c r="M695" i="4"/>
  <c r="M696" i="4"/>
  <c r="M697" i="4"/>
  <c r="M698" i="4"/>
  <c r="M699" i="4"/>
  <c r="M700" i="4"/>
  <c r="M701" i="4"/>
  <c r="M702" i="4"/>
  <c r="M703" i="4"/>
  <c r="M704" i="4"/>
  <c r="M705" i="4"/>
  <c r="M706" i="4"/>
  <c r="M707" i="4"/>
  <c r="M708" i="4"/>
  <c r="M709" i="4"/>
  <c r="M710" i="4"/>
  <c r="M711" i="4"/>
  <c r="M712" i="4"/>
  <c r="M713" i="4"/>
  <c r="M714" i="4"/>
  <c r="M715" i="4"/>
  <c r="M716" i="4"/>
  <c r="M717" i="4"/>
  <c r="M718" i="4"/>
  <c r="M719" i="4"/>
  <c r="M720" i="4"/>
  <c r="M721" i="4"/>
  <c r="M722" i="4"/>
  <c r="M723" i="4"/>
  <c r="M724" i="4"/>
  <c r="M725" i="4"/>
  <c r="M726" i="4"/>
  <c r="M727" i="4"/>
  <c r="M728" i="4"/>
  <c r="M729" i="4"/>
  <c r="M730" i="4"/>
  <c r="M731" i="4"/>
  <c r="M732" i="4"/>
  <c r="M733" i="4"/>
  <c r="M734" i="4"/>
  <c r="M735" i="4"/>
  <c r="M736" i="4"/>
  <c r="M737" i="4"/>
  <c r="M738" i="4"/>
  <c r="M739" i="4"/>
  <c r="M740" i="4"/>
  <c r="M741" i="4"/>
  <c r="M742" i="4"/>
  <c r="M743" i="4"/>
  <c r="M744" i="4"/>
  <c r="M745" i="4"/>
  <c r="M746" i="4"/>
  <c r="M747" i="4"/>
  <c r="M748" i="4"/>
  <c r="M749" i="4"/>
  <c r="M750" i="4"/>
  <c r="M751" i="4"/>
  <c r="M752" i="4"/>
  <c r="M753" i="4"/>
  <c r="M754" i="4"/>
  <c r="M755" i="4"/>
  <c r="M756" i="4"/>
  <c r="M757" i="4"/>
  <c r="M758" i="4"/>
  <c r="M759" i="4"/>
  <c r="M760" i="4"/>
  <c r="M761" i="4"/>
  <c r="M762" i="4"/>
  <c r="M763" i="4"/>
  <c r="M764" i="4"/>
  <c r="M765" i="4"/>
  <c r="M766" i="4"/>
  <c r="M767" i="4"/>
  <c r="M768" i="4"/>
  <c r="M769" i="4"/>
  <c r="M770" i="4"/>
  <c r="M771" i="4"/>
  <c r="M772" i="4"/>
  <c r="M773" i="4"/>
  <c r="M774" i="4"/>
  <c r="M775" i="4"/>
  <c r="M776" i="4"/>
  <c r="M777" i="4"/>
  <c r="M778" i="4"/>
  <c r="M779" i="4"/>
  <c r="M780" i="4"/>
  <c r="M781" i="4"/>
  <c r="M782" i="4"/>
  <c r="M783" i="4"/>
  <c r="M784" i="4"/>
  <c r="M785" i="4"/>
  <c r="M786" i="4"/>
  <c r="M787" i="4"/>
  <c r="M788" i="4"/>
  <c r="M789" i="4"/>
  <c r="M790" i="4"/>
  <c r="M791" i="4"/>
  <c r="M792" i="4"/>
  <c r="M793" i="4"/>
  <c r="M794" i="4"/>
  <c r="M795" i="4"/>
  <c r="M796" i="4"/>
  <c r="M797" i="4"/>
  <c r="M798" i="4"/>
  <c r="M799" i="4"/>
  <c r="M800" i="4"/>
  <c r="M801" i="4"/>
  <c r="D6" i="6"/>
  <c r="D5" i="6"/>
  <c r="D4" i="6"/>
  <c r="D3" i="6"/>
  <c r="D2" i="6"/>
  <c r="J2" i="4"/>
  <c r="I2" i="4"/>
  <c r="I3" i="4"/>
  <c r="I4" i="4"/>
  <c r="I5" i="4"/>
  <c r="I6" i="4"/>
  <c r="I7" i="4"/>
  <c r="I8" i="4"/>
  <c r="I9" i="4"/>
  <c r="I10" i="4"/>
  <c r="I11" i="4"/>
  <c r="I12" i="4"/>
  <c r="I13" i="4"/>
  <c r="I14" i="4"/>
  <c r="I15" i="4"/>
  <c r="I16" i="4"/>
  <c r="I17" i="4"/>
  <c r="I18" i="4"/>
  <c r="I19" i="4"/>
  <c r="I20" i="4"/>
  <c r="I21" i="4"/>
  <c r="I22" i="4"/>
  <c r="I23" i="4"/>
  <c r="I24" i="4"/>
  <c r="I25" i="4"/>
  <c r="I26" i="4"/>
  <c r="I27" i="4"/>
  <c r="I28" i="4"/>
  <c r="I29" i="4"/>
  <c r="I30" i="4"/>
  <c r="I31" i="4"/>
  <c r="I32" i="4"/>
  <c r="I33" i="4"/>
  <c r="I34" i="4"/>
  <c r="I35" i="4"/>
  <c r="I36" i="4"/>
  <c r="I37" i="4"/>
  <c r="I38" i="4"/>
  <c r="I39" i="4"/>
  <c r="I40" i="4"/>
  <c r="I41" i="4"/>
  <c r="I42" i="4"/>
  <c r="I43" i="4"/>
  <c r="I44" i="4"/>
  <c r="I45" i="4"/>
  <c r="I46" i="4"/>
  <c r="I47" i="4"/>
  <c r="I48" i="4"/>
  <c r="I49" i="4"/>
  <c r="I50" i="4"/>
  <c r="I51" i="4"/>
  <c r="I52" i="4"/>
  <c r="I53" i="4"/>
  <c r="I54" i="4"/>
  <c r="I55" i="4"/>
  <c r="I56" i="4"/>
  <c r="I57" i="4"/>
  <c r="I58" i="4"/>
  <c r="I59" i="4"/>
  <c r="I60" i="4"/>
  <c r="I61" i="4"/>
  <c r="I62" i="4"/>
  <c r="I63" i="4"/>
  <c r="I64" i="4"/>
  <c r="I65" i="4"/>
  <c r="I66" i="4"/>
  <c r="I67" i="4"/>
  <c r="I68" i="4"/>
  <c r="I69" i="4"/>
  <c r="I70" i="4"/>
  <c r="I71" i="4"/>
  <c r="I72" i="4"/>
  <c r="I73" i="4"/>
  <c r="I74" i="4"/>
  <c r="I75" i="4"/>
  <c r="I76" i="4"/>
  <c r="I77" i="4"/>
  <c r="I78" i="4"/>
  <c r="I79" i="4"/>
  <c r="I80" i="4"/>
  <c r="I81" i="4"/>
  <c r="I82" i="4"/>
  <c r="I83" i="4"/>
  <c r="I84" i="4"/>
  <c r="I85" i="4"/>
  <c r="I86" i="4"/>
  <c r="I87" i="4"/>
  <c r="I88" i="4"/>
  <c r="I89" i="4"/>
  <c r="I90" i="4"/>
  <c r="I91" i="4"/>
  <c r="I92" i="4"/>
  <c r="I93" i="4"/>
  <c r="I94" i="4"/>
  <c r="I95" i="4"/>
  <c r="I96" i="4"/>
  <c r="I97" i="4"/>
  <c r="I98" i="4"/>
  <c r="I99" i="4"/>
  <c r="I100" i="4"/>
  <c r="I101" i="4"/>
  <c r="I102" i="4"/>
  <c r="I103" i="4"/>
  <c r="I104" i="4"/>
  <c r="I105" i="4"/>
  <c r="I106" i="4"/>
  <c r="I107" i="4"/>
  <c r="I108" i="4"/>
  <c r="I109" i="4"/>
  <c r="I110" i="4"/>
  <c r="I111" i="4"/>
  <c r="I112" i="4"/>
  <c r="I113" i="4"/>
  <c r="I114" i="4"/>
  <c r="I115" i="4"/>
  <c r="I116" i="4"/>
  <c r="I117" i="4"/>
  <c r="I118" i="4"/>
  <c r="I119" i="4"/>
  <c r="I120" i="4"/>
  <c r="I121" i="4"/>
  <c r="I122" i="4"/>
  <c r="I123" i="4"/>
  <c r="I124" i="4"/>
  <c r="I125" i="4"/>
  <c r="I126" i="4"/>
  <c r="I127" i="4"/>
  <c r="I128" i="4"/>
  <c r="I129" i="4"/>
  <c r="I130" i="4"/>
  <c r="I131" i="4"/>
  <c r="I132" i="4"/>
  <c r="I133" i="4"/>
  <c r="I134" i="4"/>
  <c r="I135" i="4"/>
  <c r="I136" i="4"/>
  <c r="I137" i="4"/>
  <c r="I138" i="4"/>
  <c r="I139" i="4"/>
  <c r="I140" i="4"/>
  <c r="I141" i="4"/>
  <c r="I142" i="4"/>
  <c r="I143" i="4"/>
  <c r="I144" i="4"/>
  <c r="I145" i="4"/>
  <c r="I146" i="4"/>
  <c r="I147" i="4"/>
  <c r="I148" i="4"/>
  <c r="I149" i="4"/>
  <c r="I150" i="4"/>
  <c r="I151" i="4"/>
  <c r="I152" i="4"/>
  <c r="I153" i="4"/>
  <c r="I154" i="4"/>
  <c r="I155" i="4"/>
  <c r="I156" i="4"/>
  <c r="I157" i="4"/>
  <c r="I158" i="4"/>
  <c r="I159" i="4"/>
  <c r="I160" i="4"/>
  <c r="I161" i="4"/>
  <c r="I162" i="4"/>
  <c r="I163" i="4"/>
  <c r="I164" i="4"/>
  <c r="I165" i="4"/>
  <c r="I166" i="4"/>
  <c r="I167" i="4"/>
  <c r="I168" i="4"/>
  <c r="I169" i="4"/>
  <c r="I170" i="4"/>
  <c r="I171" i="4"/>
  <c r="I172" i="4"/>
  <c r="I173" i="4"/>
  <c r="I174" i="4"/>
  <c r="I175" i="4"/>
  <c r="I176" i="4"/>
  <c r="I177" i="4"/>
  <c r="I178" i="4"/>
  <c r="I179" i="4"/>
  <c r="I180" i="4"/>
  <c r="I181" i="4"/>
  <c r="I182" i="4"/>
  <c r="I183" i="4"/>
  <c r="I184" i="4"/>
  <c r="I185" i="4"/>
  <c r="I186" i="4"/>
  <c r="I187" i="4"/>
  <c r="I188" i="4"/>
  <c r="I189" i="4"/>
  <c r="I190" i="4"/>
  <c r="I191" i="4"/>
  <c r="I192" i="4"/>
  <c r="I193" i="4"/>
  <c r="I194" i="4"/>
  <c r="I195" i="4"/>
  <c r="I196" i="4"/>
  <c r="I197" i="4"/>
  <c r="I198" i="4"/>
  <c r="I199" i="4"/>
  <c r="I200" i="4"/>
  <c r="I201" i="4"/>
  <c r="I202" i="4"/>
  <c r="I203" i="4"/>
  <c r="I204" i="4"/>
  <c r="I205" i="4"/>
  <c r="I206" i="4"/>
  <c r="I207" i="4"/>
  <c r="I208" i="4"/>
  <c r="I209" i="4"/>
  <c r="I210" i="4"/>
  <c r="I211" i="4"/>
  <c r="I212" i="4"/>
  <c r="I213" i="4"/>
  <c r="I214" i="4"/>
  <c r="I215" i="4"/>
  <c r="I216" i="4"/>
  <c r="I217" i="4"/>
  <c r="I218" i="4"/>
  <c r="I219" i="4"/>
  <c r="I220" i="4"/>
  <c r="I221" i="4"/>
  <c r="I222" i="4"/>
  <c r="I223" i="4"/>
  <c r="I224" i="4"/>
  <c r="I225" i="4"/>
  <c r="I226" i="4"/>
  <c r="I227" i="4"/>
  <c r="I228" i="4"/>
  <c r="I229" i="4"/>
  <c r="I230" i="4"/>
  <c r="I231" i="4"/>
  <c r="I232" i="4"/>
  <c r="I233" i="4"/>
  <c r="I234" i="4"/>
  <c r="I235" i="4"/>
  <c r="I236" i="4"/>
  <c r="I237" i="4"/>
  <c r="I238" i="4"/>
  <c r="I239" i="4"/>
  <c r="I240" i="4"/>
  <c r="I241" i="4"/>
  <c r="I242" i="4"/>
  <c r="I243" i="4"/>
  <c r="I244" i="4"/>
  <c r="I245" i="4"/>
  <c r="I246" i="4"/>
  <c r="I247" i="4"/>
  <c r="I248" i="4"/>
  <c r="I249" i="4"/>
  <c r="I250" i="4"/>
  <c r="I251" i="4"/>
  <c r="I252" i="4"/>
  <c r="I253" i="4"/>
  <c r="I254" i="4"/>
  <c r="I255" i="4"/>
  <c r="I256" i="4"/>
  <c r="I257" i="4"/>
  <c r="I258" i="4"/>
  <c r="I259" i="4"/>
  <c r="I260" i="4"/>
  <c r="I261" i="4"/>
  <c r="I262" i="4"/>
  <c r="I263" i="4"/>
  <c r="I264" i="4"/>
  <c r="I265" i="4"/>
  <c r="I266" i="4"/>
  <c r="I267" i="4"/>
  <c r="I268" i="4"/>
  <c r="I269" i="4"/>
  <c r="I270" i="4"/>
  <c r="I271" i="4"/>
  <c r="I272" i="4"/>
  <c r="I273" i="4"/>
  <c r="I274" i="4"/>
  <c r="I275" i="4"/>
  <c r="I276" i="4"/>
  <c r="I277" i="4"/>
  <c r="I278" i="4"/>
  <c r="I279" i="4"/>
  <c r="I280" i="4"/>
  <c r="I281" i="4"/>
  <c r="I282" i="4"/>
  <c r="I283" i="4"/>
  <c r="I284" i="4"/>
  <c r="I285" i="4"/>
  <c r="I286" i="4"/>
  <c r="I287" i="4"/>
  <c r="I288" i="4"/>
  <c r="I289" i="4"/>
  <c r="I290" i="4"/>
  <c r="I291" i="4"/>
  <c r="I292" i="4"/>
  <c r="I293" i="4"/>
  <c r="I294" i="4"/>
  <c r="I295" i="4"/>
  <c r="I296" i="4"/>
  <c r="I297" i="4"/>
  <c r="I298" i="4"/>
  <c r="I299" i="4"/>
  <c r="I300" i="4"/>
  <c r="I301" i="4"/>
  <c r="I302" i="4"/>
  <c r="I303" i="4"/>
  <c r="I304" i="4"/>
  <c r="I305" i="4"/>
  <c r="I306" i="4"/>
  <c r="I307" i="4"/>
  <c r="I308" i="4"/>
  <c r="I309" i="4"/>
  <c r="I310" i="4"/>
  <c r="I311" i="4"/>
  <c r="I312" i="4"/>
  <c r="I313" i="4"/>
  <c r="I314" i="4"/>
  <c r="I315" i="4"/>
  <c r="I316" i="4"/>
  <c r="I317" i="4"/>
  <c r="I318" i="4"/>
  <c r="I319" i="4"/>
  <c r="I320" i="4"/>
  <c r="I321" i="4"/>
  <c r="I322" i="4"/>
  <c r="I323" i="4"/>
  <c r="I324" i="4"/>
  <c r="I325" i="4"/>
  <c r="I326" i="4"/>
  <c r="I327" i="4"/>
  <c r="I328" i="4"/>
  <c r="I329" i="4"/>
  <c r="I330" i="4"/>
  <c r="I331" i="4"/>
  <c r="I332" i="4"/>
  <c r="I333" i="4"/>
  <c r="I334" i="4"/>
  <c r="I335" i="4"/>
  <c r="I336" i="4"/>
  <c r="I337" i="4"/>
  <c r="I338" i="4"/>
  <c r="I339" i="4"/>
  <c r="I340" i="4"/>
  <c r="I341" i="4"/>
  <c r="I342" i="4"/>
  <c r="I343" i="4"/>
  <c r="I344" i="4"/>
  <c r="I345" i="4"/>
  <c r="I346" i="4"/>
  <c r="I347" i="4"/>
  <c r="I348" i="4"/>
  <c r="I349" i="4"/>
  <c r="I350" i="4"/>
  <c r="I351" i="4"/>
  <c r="I352" i="4"/>
  <c r="I353" i="4"/>
  <c r="I354" i="4"/>
  <c r="I355" i="4"/>
  <c r="I356" i="4"/>
  <c r="I357" i="4"/>
  <c r="I358" i="4"/>
  <c r="I359" i="4"/>
  <c r="I360" i="4"/>
  <c r="I361" i="4"/>
  <c r="I362" i="4"/>
  <c r="I363" i="4"/>
  <c r="I364" i="4"/>
  <c r="I365" i="4"/>
  <c r="I366" i="4"/>
  <c r="I367" i="4"/>
  <c r="I368" i="4"/>
  <c r="I369" i="4"/>
  <c r="I370" i="4"/>
  <c r="I371" i="4"/>
  <c r="I372" i="4"/>
  <c r="I373" i="4"/>
  <c r="I374" i="4"/>
  <c r="I375" i="4"/>
  <c r="I376" i="4"/>
  <c r="I377" i="4"/>
  <c r="I378" i="4"/>
  <c r="I379" i="4"/>
  <c r="I380" i="4"/>
  <c r="I381" i="4"/>
  <c r="I382" i="4"/>
  <c r="I383" i="4"/>
  <c r="I384" i="4"/>
  <c r="I385" i="4"/>
  <c r="I386" i="4"/>
  <c r="I387" i="4"/>
  <c r="I388" i="4"/>
  <c r="I389" i="4"/>
  <c r="I390" i="4"/>
  <c r="I391" i="4"/>
  <c r="I392" i="4"/>
  <c r="I393" i="4"/>
  <c r="I394" i="4"/>
  <c r="I395" i="4"/>
  <c r="I396" i="4"/>
  <c r="I397" i="4"/>
  <c r="I398" i="4"/>
  <c r="I399" i="4"/>
  <c r="I400" i="4"/>
  <c r="I401" i="4"/>
  <c r="I402" i="4"/>
  <c r="I403" i="4"/>
  <c r="I404" i="4"/>
  <c r="I405" i="4"/>
  <c r="I406" i="4"/>
  <c r="I407" i="4"/>
  <c r="I408" i="4"/>
  <c r="I409" i="4"/>
  <c r="I410" i="4"/>
  <c r="I411" i="4"/>
  <c r="I412" i="4"/>
  <c r="I413" i="4"/>
  <c r="I414" i="4"/>
  <c r="I415" i="4"/>
  <c r="I416" i="4"/>
  <c r="I417" i="4"/>
  <c r="I418" i="4"/>
  <c r="I419" i="4"/>
  <c r="I420" i="4"/>
  <c r="I421" i="4"/>
  <c r="I422" i="4"/>
  <c r="I423" i="4"/>
  <c r="I424" i="4"/>
  <c r="I425" i="4"/>
  <c r="I426" i="4"/>
  <c r="I427" i="4"/>
  <c r="I428" i="4"/>
  <c r="I429" i="4"/>
  <c r="I430" i="4"/>
  <c r="I431" i="4"/>
  <c r="I432" i="4"/>
  <c r="I433" i="4"/>
  <c r="I434" i="4"/>
  <c r="I435" i="4"/>
  <c r="I436" i="4"/>
  <c r="I437" i="4"/>
  <c r="I438" i="4"/>
  <c r="I439" i="4"/>
  <c r="I440" i="4"/>
  <c r="I441" i="4"/>
  <c r="I442" i="4"/>
  <c r="I443" i="4"/>
  <c r="I444" i="4"/>
  <c r="I445" i="4"/>
  <c r="I446" i="4"/>
  <c r="I447" i="4"/>
  <c r="I448" i="4"/>
  <c r="I449" i="4"/>
  <c r="I450" i="4"/>
  <c r="I451" i="4"/>
  <c r="I452" i="4"/>
  <c r="I453" i="4"/>
  <c r="I454" i="4"/>
  <c r="I455" i="4"/>
  <c r="I456" i="4"/>
  <c r="I457" i="4"/>
  <c r="I458" i="4"/>
  <c r="I459" i="4"/>
  <c r="I460" i="4"/>
  <c r="I461" i="4"/>
  <c r="I462" i="4"/>
  <c r="I463" i="4"/>
  <c r="I464" i="4"/>
  <c r="I465" i="4"/>
  <c r="I466" i="4"/>
  <c r="I467" i="4"/>
  <c r="I468" i="4"/>
  <c r="I469" i="4"/>
  <c r="I470" i="4"/>
  <c r="I471" i="4"/>
  <c r="I472" i="4"/>
  <c r="I473" i="4"/>
  <c r="I474" i="4"/>
  <c r="I475" i="4"/>
  <c r="I476" i="4"/>
  <c r="I477" i="4"/>
  <c r="I478" i="4"/>
  <c r="I479" i="4"/>
  <c r="I480" i="4"/>
  <c r="I481" i="4"/>
  <c r="I482" i="4"/>
  <c r="I483" i="4"/>
  <c r="I484" i="4"/>
  <c r="I485" i="4"/>
  <c r="I486" i="4"/>
  <c r="I487" i="4"/>
  <c r="I488" i="4"/>
  <c r="I489" i="4"/>
  <c r="I490" i="4"/>
  <c r="I491" i="4"/>
  <c r="I492" i="4"/>
  <c r="I493" i="4"/>
  <c r="I494" i="4"/>
  <c r="I495" i="4"/>
  <c r="I496" i="4"/>
  <c r="I497" i="4"/>
  <c r="I498" i="4"/>
  <c r="I499" i="4"/>
  <c r="I500" i="4"/>
  <c r="I501" i="4"/>
  <c r="I502" i="4"/>
  <c r="I503" i="4"/>
  <c r="I504" i="4"/>
  <c r="I505" i="4"/>
  <c r="I506" i="4"/>
  <c r="I507" i="4"/>
  <c r="I508" i="4"/>
  <c r="I509" i="4"/>
  <c r="I510" i="4"/>
  <c r="I511" i="4"/>
  <c r="I512" i="4"/>
  <c r="I513" i="4"/>
  <c r="I514" i="4"/>
  <c r="I515" i="4"/>
  <c r="I516" i="4"/>
  <c r="I517" i="4"/>
  <c r="I518" i="4"/>
  <c r="I519" i="4"/>
  <c r="I520" i="4"/>
  <c r="I521" i="4"/>
  <c r="I522" i="4"/>
  <c r="I523" i="4"/>
  <c r="I524" i="4"/>
  <c r="I525" i="4"/>
  <c r="I526" i="4"/>
  <c r="I527" i="4"/>
  <c r="I528" i="4"/>
  <c r="I529" i="4"/>
  <c r="I530" i="4"/>
  <c r="I531" i="4"/>
  <c r="I532" i="4"/>
  <c r="I533" i="4"/>
  <c r="I534" i="4"/>
  <c r="I535" i="4"/>
  <c r="I536" i="4"/>
  <c r="I537" i="4"/>
  <c r="I538" i="4"/>
  <c r="I539" i="4"/>
  <c r="I540" i="4"/>
  <c r="I541" i="4"/>
  <c r="I542" i="4"/>
  <c r="I543" i="4"/>
  <c r="I544" i="4"/>
  <c r="I545" i="4"/>
  <c r="I546" i="4"/>
  <c r="I547" i="4"/>
  <c r="I548" i="4"/>
  <c r="I549" i="4"/>
  <c r="I550" i="4"/>
  <c r="I551" i="4"/>
  <c r="I552" i="4"/>
  <c r="I553" i="4"/>
  <c r="I554" i="4"/>
  <c r="I555" i="4"/>
  <c r="I556" i="4"/>
  <c r="I557" i="4"/>
  <c r="I558" i="4"/>
  <c r="I559" i="4"/>
  <c r="I560" i="4"/>
  <c r="I561" i="4"/>
  <c r="I562" i="4"/>
  <c r="I563" i="4"/>
  <c r="I564" i="4"/>
  <c r="I565" i="4"/>
  <c r="I566" i="4"/>
  <c r="I567" i="4"/>
  <c r="I568" i="4"/>
  <c r="I569" i="4"/>
  <c r="I570" i="4"/>
  <c r="I571" i="4"/>
  <c r="I572" i="4"/>
  <c r="I573" i="4"/>
  <c r="I574" i="4"/>
  <c r="I575" i="4"/>
  <c r="I576" i="4"/>
  <c r="I577" i="4"/>
  <c r="I578" i="4"/>
  <c r="I579" i="4"/>
  <c r="I580" i="4"/>
  <c r="I581" i="4"/>
  <c r="I582" i="4"/>
  <c r="I583" i="4"/>
  <c r="I584" i="4"/>
  <c r="I585" i="4"/>
  <c r="I586" i="4"/>
  <c r="I587" i="4"/>
  <c r="I588" i="4"/>
  <c r="I589" i="4"/>
  <c r="I590" i="4"/>
  <c r="I591" i="4"/>
  <c r="I592" i="4"/>
  <c r="I593" i="4"/>
  <c r="I594" i="4"/>
  <c r="I595" i="4"/>
  <c r="I596" i="4"/>
  <c r="I597" i="4"/>
  <c r="I598" i="4"/>
  <c r="I599" i="4"/>
  <c r="I600" i="4"/>
  <c r="I601" i="4"/>
  <c r="I602" i="4"/>
  <c r="I603" i="4"/>
  <c r="I604" i="4"/>
  <c r="I605" i="4"/>
  <c r="I606" i="4"/>
  <c r="I607" i="4"/>
  <c r="I608" i="4"/>
  <c r="I609" i="4"/>
  <c r="I610" i="4"/>
  <c r="I611" i="4"/>
  <c r="I612" i="4"/>
  <c r="I613" i="4"/>
  <c r="I614" i="4"/>
  <c r="I615" i="4"/>
  <c r="I616" i="4"/>
  <c r="I617" i="4"/>
  <c r="I618" i="4"/>
  <c r="I619" i="4"/>
  <c r="I620" i="4"/>
  <c r="I621" i="4"/>
  <c r="I622" i="4"/>
  <c r="I623" i="4"/>
  <c r="I624" i="4"/>
  <c r="I625" i="4"/>
  <c r="I626" i="4"/>
  <c r="I627" i="4"/>
  <c r="I628" i="4"/>
  <c r="I629" i="4"/>
  <c r="I630" i="4"/>
  <c r="I631" i="4"/>
  <c r="I632" i="4"/>
  <c r="I633" i="4"/>
  <c r="I634" i="4"/>
  <c r="I635" i="4"/>
  <c r="I636" i="4"/>
  <c r="I637" i="4"/>
  <c r="I638" i="4"/>
  <c r="I639" i="4"/>
  <c r="I640" i="4"/>
  <c r="I641" i="4"/>
  <c r="I642" i="4"/>
  <c r="I643" i="4"/>
  <c r="I644" i="4"/>
  <c r="I645" i="4"/>
  <c r="I646" i="4"/>
  <c r="I647" i="4"/>
  <c r="I648" i="4"/>
  <c r="I649" i="4"/>
  <c r="I650" i="4"/>
  <c r="I651" i="4"/>
  <c r="I652" i="4"/>
  <c r="I653" i="4"/>
  <c r="I654" i="4"/>
  <c r="I655" i="4"/>
  <c r="I656" i="4"/>
  <c r="I657" i="4"/>
  <c r="I658" i="4"/>
  <c r="I659" i="4"/>
  <c r="I660" i="4"/>
  <c r="I661" i="4"/>
  <c r="I662" i="4"/>
  <c r="I663" i="4"/>
  <c r="I664" i="4"/>
  <c r="I665" i="4"/>
  <c r="I666" i="4"/>
  <c r="I667" i="4"/>
  <c r="I668" i="4"/>
  <c r="I669" i="4"/>
  <c r="I670" i="4"/>
  <c r="I671" i="4"/>
  <c r="I672" i="4"/>
  <c r="I673" i="4"/>
  <c r="I674" i="4"/>
  <c r="I675" i="4"/>
  <c r="I676" i="4"/>
  <c r="I677" i="4"/>
  <c r="I678" i="4"/>
  <c r="I679" i="4"/>
  <c r="I680" i="4"/>
  <c r="I681" i="4"/>
  <c r="I682" i="4"/>
  <c r="I683" i="4"/>
  <c r="I684" i="4"/>
  <c r="I685" i="4"/>
  <c r="I686" i="4"/>
  <c r="I687" i="4"/>
  <c r="I688" i="4"/>
  <c r="I689" i="4"/>
  <c r="I690" i="4"/>
  <c r="I691" i="4"/>
  <c r="I692" i="4"/>
  <c r="I693" i="4"/>
  <c r="I694" i="4"/>
  <c r="I695" i="4"/>
  <c r="I696" i="4"/>
  <c r="I697" i="4"/>
  <c r="I698" i="4"/>
  <c r="I699" i="4"/>
  <c r="I700" i="4"/>
  <c r="I701" i="4"/>
  <c r="I702" i="4"/>
  <c r="I703" i="4"/>
  <c r="I704" i="4"/>
  <c r="I705" i="4"/>
  <c r="I706" i="4"/>
  <c r="I707" i="4"/>
  <c r="I708" i="4"/>
  <c r="I709" i="4"/>
  <c r="I710" i="4"/>
  <c r="I711" i="4"/>
  <c r="I712" i="4"/>
  <c r="I713" i="4"/>
  <c r="I714" i="4"/>
  <c r="I715" i="4"/>
  <c r="I716" i="4"/>
  <c r="I717" i="4"/>
  <c r="I718" i="4"/>
  <c r="I719" i="4"/>
  <c r="I720" i="4"/>
  <c r="I721" i="4"/>
  <c r="I722" i="4"/>
  <c r="I723" i="4"/>
  <c r="I724" i="4"/>
  <c r="I725" i="4"/>
  <c r="I726" i="4"/>
  <c r="I727" i="4"/>
  <c r="I728" i="4"/>
  <c r="I729" i="4"/>
  <c r="I730" i="4"/>
  <c r="I731" i="4"/>
  <c r="I732" i="4"/>
  <c r="I733" i="4"/>
  <c r="I734" i="4"/>
  <c r="I735" i="4"/>
  <c r="I736" i="4"/>
  <c r="I737" i="4"/>
  <c r="I738" i="4"/>
  <c r="I739" i="4"/>
  <c r="I740" i="4"/>
  <c r="I741" i="4"/>
  <c r="I742" i="4"/>
  <c r="I743" i="4"/>
  <c r="I744" i="4"/>
  <c r="I745" i="4"/>
  <c r="I746" i="4"/>
  <c r="I747" i="4"/>
  <c r="I748" i="4"/>
  <c r="I749" i="4"/>
  <c r="I750" i="4"/>
  <c r="I751" i="4"/>
  <c r="I752" i="4"/>
  <c r="I753" i="4"/>
  <c r="I754" i="4"/>
  <c r="I755" i="4"/>
  <c r="I756" i="4"/>
  <c r="I757" i="4"/>
  <c r="I758" i="4"/>
  <c r="I759" i="4"/>
  <c r="I760" i="4"/>
  <c r="I761" i="4"/>
  <c r="I762" i="4"/>
  <c r="I763" i="4"/>
  <c r="I764" i="4"/>
  <c r="I765" i="4"/>
  <c r="I766" i="4"/>
  <c r="I767" i="4"/>
  <c r="I768" i="4"/>
  <c r="I769" i="4"/>
  <c r="I770" i="4"/>
  <c r="I771" i="4"/>
  <c r="I772" i="4"/>
  <c r="I773" i="4"/>
  <c r="I774" i="4"/>
  <c r="I775" i="4"/>
  <c r="I776" i="4"/>
  <c r="I777" i="4"/>
  <c r="I778" i="4"/>
  <c r="I779" i="4"/>
  <c r="I780" i="4"/>
  <c r="I781" i="4"/>
  <c r="I782" i="4"/>
  <c r="I783" i="4"/>
  <c r="I784" i="4"/>
  <c r="I785" i="4"/>
  <c r="I786" i="4"/>
  <c r="I787" i="4"/>
  <c r="I788" i="4"/>
  <c r="I789" i="4"/>
  <c r="I790" i="4"/>
  <c r="I791" i="4"/>
  <c r="I792" i="4"/>
  <c r="I793" i="4"/>
  <c r="I794" i="4"/>
  <c r="I795" i="4"/>
  <c r="I796" i="4"/>
  <c r="I797" i="4"/>
  <c r="I798" i="4"/>
  <c r="I799" i="4"/>
  <c r="I800" i="4"/>
  <c r="I801" i="4"/>
  <c r="L338" i="4"/>
  <c r="L428" i="4"/>
  <c r="K371" i="4"/>
  <c r="L371" i="4" s="1"/>
  <c r="J3" i="4"/>
  <c r="J4" i="4"/>
  <c r="J5" i="4"/>
  <c r="K5" i="4" s="1"/>
  <c r="L5" i="4" s="1"/>
  <c r="J6" i="4"/>
  <c r="J7" i="4"/>
  <c r="J8" i="4"/>
  <c r="J9" i="4"/>
  <c r="J10" i="4"/>
  <c r="K10" i="4" s="1"/>
  <c r="L10" i="4" s="1"/>
  <c r="J11" i="4"/>
  <c r="J12" i="4"/>
  <c r="J13" i="4"/>
  <c r="K13" i="4" s="1"/>
  <c r="L13" i="4" s="1"/>
  <c r="J14" i="4"/>
  <c r="J15" i="4"/>
  <c r="J16" i="4"/>
  <c r="J17" i="4"/>
  <c r="J18" i="4"/>
  <c r="K18" i="4" s="1"/>
  <c r="L18" i="4" s="1"/>
  <c r="J19" i="4"/>
  <c r="J20" i="4"/>
  <c r="J21" i="4"/>
  <c r="K21" i="4" s="1"/>
  <c r="L21" i="4" s="1"/>
  <c r="J22" i="4"/>
  <c r="J23" i="4"/>
  <c r="J24" i="4"/>
  <c r="J25" i="4"/>
  <c r="J26" i="4"/>
  <c r="K26" i="4" s="1"/>
  <c r="L26" i="4" s="1"/>
  <c r="J27" i="4"/>
  <c r="J28" i="4"/>
  <c r="J29" i="4"/>
  <c r="K29" i="4" s="1"/>
  <c r="L29" i="4" s="1"/>
  <c r="J30" i="4"/>
  <c r="J31" i="4"/>
  <c r="J32" i="4"/>
  <c r="J33" i="4"/>
  <c r="J34" i="4"/>
  <c r="K34" i="4" s="1"/>
  <c r="L34" i="4" s="1"/>
  <c r="J35" i="4"/>
  <c r="J36" i="4"/>
  <c r="J37" i="4"/>
  <c r="K37" i="4" s="1"/>
  <c r="L37" i="4" s="1"/>
  <c r="J38" i="4"/>
  <c r="J39" i="4"/>
  <c r="J40" i="4"/>
  <c r="J41" i="4"/>
  <c r="J42" i="4"/>
  <c r="K42" i="4" s="1"/>
  <c r="L42" i="4" s="1"/>
  <c r="J43" i="4"/>
  <c r="J44" i="4"/>
  <c r="J45" i="4"/>
  <c r="K45" i="4" s="1"/>
  <c r="L45" i="4" s="1"/>
  <c r="J46" i="4"/>
  <c r="J47" i="4"/>
  <c r="J48" i="4"/>
  <c r="J49" i="4"/>
  <c r="J50" i="4"/>
  <c r="K50" i="4" s="1"/>
  <c r="L50" i="4" s="1"/>
  <c r="J51" i="4"/>
  <c r="J52" i="4"/>
  <c r="J53" i="4"/>
  <c r="K53" i="4" s="1"/>
  <c r="L53" i="4" s="1"/>
  <c r="J54" i="4"/>
  <c r="J55" i="4"/>
  <c r="J56" i="4"/>
  <c r="J57" i="4"/>
  <c r="J58" i="4"/>
  <c r="K58" i="4" s="1"/>
  <c r="L58" i="4" s="1"/>
  <c r="J59" i="4"/>
  <c r="J60" i="4"/>
  <c r="J61" i="4"/>
  <c r="K61" i="4" s="1"/>
  <c r="L61" i="4" s="1"/>
  <c r="J62" i="4"/>
  <c r="J63" i="4"/>
  <c r="J64" i="4"/>
  <c r="J65" i="4"/>
  <c r="J66" i="4"/>
  <c r="K66" i="4" s="1"/>
  <c r="L66" i="4" s="1"/>
  <c r="J67" i="4"/>
  <c r="J68" i="4"/>
  <c r="J69" i="4"/>
  <c r="K69" i="4" s="1"/>
  <c r="L69" i="4" s="1"/>
  <c r="J70" i="4"/>
  <c r="J71" i="4"/>
  <c r="J72" i="4"/>
  <c r="J73" i="4"/>
  <c r="J74" i="4"/>
  <c r="K74" i="4" s="1"/>
  <c r="L74" i="4" s="1"/>
  <c r="J75" i="4"/>
  <c r="J76" i="4"/>
  <c r="J77" i="4"/>
  <c r="K77" i="4" s="1"/>
  <c r="L77" i="4" s="1"/>
  <c r="J78" i="4"/>
  <c r="J79" i="4"/>
  <c r="J80" i="4"/>
  <c r="J81" i="4"/>
  <c r="J82" i="4"/>
  <c r="K82" i="4" s="1"/>
  <c r="L82" i="4" s="1"/>
  <c r="J83" i="4"/>
  <c r="J84" i="4"/>
  <c r="J85" i="4"/>
  <c r="K85" i="4" s="1"/>
  <c r="L85" i="4" s="1"/>
  <c r="J86" i="4"/>
  <c r="J87" i="4"/>
  <c r="J88" i="4"/>
  <c r="J89" i="4"/>
  <c r="J90" i="4"/>
  <c r="K90" i="4" s="1"/>
  <c r="L90" i="4" s="1"/>
  <c r="J91" i="4"/>
  <c r="J92" i="4"/>
  <c r="J93" i="4"/>
  <c r="K93" i="4" s="1"/>
  <c r="L93" i="4" s="1"/>
  <c r="J94" i="4"/>
  <c r="J95" i="4"/>
  <c r="J96" i="4"/>
  <c r="J97" i="4"/>
  <c r="J98" i="4"/>
  <c r="K98" i="4" s="1"/>
  <c r="L98" i="4" s="1"/>
  <c r="J99" i="4"/>
  <c r="J100" i="4"/>
  <c r="J101" i="4"/>
  <c r="K101" i="4" s="1"/>
  <c r="L101" i="4" s="1"/>
  <c r="J102" i="4"/>
  <c r="J103" i="4"/>
  <c r="J104" i="4"/>
  <c r="J105" i="4"/>
  <c r="J106" i="4"/>
  <c r="K106" i="4" s="1"/>
  <c r="L106" i="4" s="1"/>
  <c r="J107" i="4"/>
  <c r="J108" i="4"/>
  <c r="J109" i="4"/>
  <c r="K109" i="4" s="1"/>
  <c r="L109" i="4" s="1"/>
  <c r="J110" i="4"/>
  <c r="J111" i="4"/>
  <c r="J112" i="4"/>
  <c r="J113" i="4"/>
  <c r="J114" i="4"/>
  <c r="K114" i="4" s="1"/>
  <c r="L114" i="4" s="1"/>
  <c r="J115" i="4"/>
  <c r="J116" i="4"/>
  <c r="J117" i="4"/>
  <c r="K117" i="4" s="1"/>
  <c r="L117" i="4" s="1"/>
  <c r="J118" i="4"/>
  <c r="J119" i="4"/>
  <c r="J120" i="4"/>
  <c r="J121" i="4"/>
  <c r="J122" i="4"/>
  <c r="K122" i="4" s="1"/>
  <c r="L122" i="4" s="1"/>
  <c r="J123" i="4"/>
  <c r="J124" i="4"/>
  <c r="J125" i="4"/>
  <c r="K125" i="4" s="1"/>
  <c r="L125" i="4" s="1"/>
  <c r="J126" i="4"/>
  <c r="J127" i="4"/>
  <c r="J128" i="4"/>
  <c r="J129" i="4"/>
  <c r="J130" i="4"/>
  <c r="K130" i="4" s="1"/>
  <c r="L130" i="4" s="1"/>
  <c r="J131" i="4"/>
  <c r="J132" i="4"/>
  <c r="J133" i="4"/>
  <c r="K133" i="4" s="1"/>
  <c r="L133" i="4" s="1"/>
  <c r="J134" i="4"/>
  <c r="J135" i="4"/>
  <c r="J136" i="4"/>
  <c r="J137" i="4"/>
  <c r="J138" i="4"/>
  <c r="K138" i="4" s="1"/>
  <c r="L138" i="4" s="1"/>
  <c r="J139" i="4"/>
  <c r="J140" i="4"/>
  <c r="J141" i="4"/>
  <c r="K141" i="4" s="1"/>
  <c r="L141" i="4" s="1"/>
  <c r="J142" i="4"/>
  <c r="J143" i="4"/>
  <c r="J144" i="4"/>
  <c r="J145" i="4"/>
  <c r="J146" i="4"/>
  <c r="K146" i="4" s="1"/>
  <c r="L146" i="4" s="1"/>
  <c r="J147" i="4"/>
  <c r="J148" i="4"/>
  <c r="J149" i="4"/>
  <c r="K149" i="4" s="1"/>
  <c r="L149" i="4" s="1"/>
  <c r="J150" i="4"/>
  <c r="J151" i="4"/>
  <c r="J152" i="4"/>
  <c r="J153" i="4"/>
  <c r="J154" i="4"/>
  <c r="K154" i="4" s="1"/>
  <c r="L154" i="4" s="1"/>
  <c r="J155" i="4"/>
  <c r="J156" i="4"/>
  <c r="J157" i="4"/>
  <c r="K157" i="4" s="1"/>
  <c r="L157" i="4" s="1"/>
  <c r="J158" i="4"/>
  <c r="J159" i="4"/>
  <c r="J160" i="4"/>
  <c r="J161" i="4"/>
  <c r="J162" i="4"/>
  <c r="K162" i="4" s="1"/>
  <c r="L162" i="4" s="1"/>
  <c r="J163" i="4"/>
  <c r="J164" i="4"/>
  <c r="J165" i="4"/>
  <c r="K165" i="4" s="1"/>
  <c r="L165" i="4" s="1"/>
  <c r="J166" i="4"/>
  <c r="J167" i="4"/>
  <c r="J168" i="4"/>
  <c r="J169" i="4"/>
  <c r="J170" i="4"/>
  <c r="K170" i="4" s="1"/>
  <c r="L170" i="4" s="1"/>
  <c r="J171" i="4"/>
  <c r="J172" i="4"/>
  <c r="J173" i="4"/>
  <c r="K173" i="4" s="1"/>
  <c r="L173" i="4" s="1"/>
  <c r="J174" i="4"/>
  <c r="J175" i="4"/>
  <c r="J176" i="4"/>
  <c r="J177" i="4"/>
  <c r="J178" i="4"/>
  <c r="K178" i="4" s="1"/>
  <c r="L178" i="4" s="1"/>
  <c r="J179" i="4"/>
  <c r="J180" i="4"/>
  <c r="J181" i="4"/>
  <c r="K181" i="4" s="1"/>
  <c r="L181" i="4" s="1"/>
  <c r="J182" i="4"/>
  <c r="J183" i="4"/>
  <c r="J184" i="4"/>
  <c r="J185" i="4"/>
  <c r="J186" i="4"/>
  <c r="K186" i="4" s="1"/>
  <c r="L186" i="4" s="1"/>
  <c r="J187" i="4"/>
  <c r="J188" i="4"/>
  <c r="J189" i="4"/>
  <c r="K189" i="4" s="1"/>
  <c r="L189" i="4" s="1"/>
  <c r="J190" i="4"/>
  <c r="J191" i="4"/>
  <c r="J192" i="4"/>
  <c r="J193" i="4"/>
  <c r="J194" i="4"/>
  <c r="K194" i="4" s="1"/>
  <c r="L194" i="4" s="1"/>
  <c r="J195" i="4"/>
  <c r="J196" i="4"/>
  <c r="J197" i="4"/>
  <c r="K197" i="4" s="1"/>
  <c r="L197" i="4" s="1"/>
  <c r="J198" i="4"/>
  <c r="J199" i="4"/>
  <c r="J200" i="4"/>
  <c r="J201" i="4"/>
  <c r="J202" i="4"/>
  <c r="K202" i="4" s="1"/>
  <c r="L202" i="4" s="1"/>
  <c r="J203" i="4"/>
  <c r="J204" i="4"/>
  <c r="J205" i="4"/>
  <c r="K205" i="4" s="1"/>
  <c r="L205" i="4" s="1"/>
  <c r="J206" i="4"/>
  <c r="J207" i="4"/>
  <c r="J208" i="4"/>
  <c r="J209" i="4"/>
  <c r="J210" i="4"/>
  <c r="K210" i="4" s="1"/>
  <c r="L210" i="4" s="1"/>
  <c r="J211" i="4"/>
  <c r="J212" i="4"/>
  <c r="J213" i="4"/>
  <c r="K213" i="4" s="1"/>
  <c r="L213" i="4" s="1"/>
  <c r="J214" i="4"/>
  <c r="J215" i="4"/>
  <c r="J216" i="4"/>
  <c r="J217" i="4"/>
  <c r="J218" i="4"/>
  <c r="K218" i="4" s="1"/>
  <c r="L218" i="4" s="1"/>
  <c r="J219" i="4"/>
  <c r="J220" i="4"/>
  <c r="J221" i="4"/>
  <c r="K221" i="4" s="1"/>
  <c r="L221" i="4" s="1"/>
  <c r="J222" i="4"/>
  <c r="J223" i="4"/>
  <c r="J224" i="4"/>
  <c r="J225" i="4"/>
  <c r="J226" i="4"/>
  <c r="K226" i="4" s="1"/>
  <c r="L226" i="4" s="1"/>
  <c r="J227" i="4"/>
  <c r="J228" i="4"/>
  <c r="J229" i="4"/>
  <c r="K229" i="4" s="1"/>
  <c r="L229" i="4" s="1"/>
  <c r="J230" i="4"/>
  <c r="J231" i="4"/>
  <c r="J232" i="4"/>
  <c r="J233" i="4"/>
  <c r="J234" i="4"/>
  <c r="K234" i="4" s="1"/>
  <c r="L234" i="4" s="1"/>
  <c r="J235" i="4"/>
  <c r="J236" i="4"/>
  <c r="J237" i="4"/>
  <c r="K237" i="4" s="1"/>
  <c r="L237" i="4" s="1"/>
  <c r="J238" i="4"/>
  <c r="J239" i="4"/>
  <c r="J240" i="4"/>
  <c r="J241" i="4"/>
  <c r="J242" i="4"/>
  <c r="K242" i="4" s="1"/>
  <c r="L242" i="4" s="1"/>
  <c r="J243" i="4"/>
  <c r="J244" i="4"/>
  <c r="J245" i="4"/>
  <c r="K245" i="4" s="1"/>
  <c r="L245" i="4" s="1"/>
  <c r="J246" i="4"/>
  <c r="J247" i="4"/>
  <c r="J248" i="4"/>
  <c r="J249" i="4"/>
  <c r="J250" i="4"/>
  <c r="K250" i="4" s="1"/>
  <c r="L250" i="4" s="1"/>
  <c r="J251" i="4"/>
  <c r="J252" i="4"/>
  <c r="J253" i="4"/>
  <c r="K253" i="4" s="1"/>
  <c r="L253" i="4" s="1"/>
  <c r="J254" i="4"/>
  <c r="J255" i="4"/>
  <c r="J256" i="4"/>
  <c r="J257" i="4"/>
  <c r="J258" i="4"/>
  <c r="K258" i="4" s="1"/>
  <c r="L258" i="4" s="1"/>
  <c r="J259" i="4"/>
  <c r="J260" i="4"/>
  <c r="J261" i="4"/>
  <c r="K261" i="4" s="1"/>
  <c r="L261" i="4" s="1"/>
  <c r="J262" i="4"/>
  <c r="J263" i="4"/>
  <c r="J264" i="4"/>
  <c r="J265" i="4"/>
  <c r="J266" i="4"/>
  <c r="K266" i="4" s="1"/>
  <c r="L266" i="4" s="1"/>
  <c r="J267" i="4"/>
  <c r="J268" i="4"/>
  <c r="J269" i="4"/>
  <c r="K269" i="4" s="1"/>
  <c r="L269" i="4" s="1"/>
  <c r="J270" i="4"/>
  <c r="J271" i="4"/>
  <c r="J272" i="4"/>
  <c r="J273" i="4"/>
  <c r="J274" i="4"/>
  <c r="K274" i="4" s="1"/>
  <c r="L274" i="4" s="1"/>
  <c r="J275" i="4"/>
  <c r="J276" i="4"/>
  <c r="J277" i="4"/>
  <c r="K277" i="4" s="1"/>
  <c r="L277" i="4" s="1"/>
  <c r="J278" i="4"/>
  <c r="J279" i="4"/>
  <c r="J280" i="4"/>
  <c r="J281" i="4"/>
  <c r="J282" i="4"/>
  <c r="K282" i="4" s="1"/>
  <c r="L282" i="4" s="1"/>
  <c r="J283" i="4"/>
  <c r="J284" i="4"/>
  <c r="J285" i="4"/>
  <c r="K285" i="4" s="1"/>
  <c r="L285" i="4" s="1"/>
  <c r="J286" i="4"/>
  <c r="J287" i="4"/>
  <c r="J288" i="4"/>
  <c r="J289" i="4"/>
  <c r="J290" i="4"/>
  <c r="K290" i="4" s="1"/>
  <c r="L290" i="4" s="1"/>
  <c r="J291" i="4"/>
  <c r="J292" i="4"/>
  <c r="J293" i="4"/>
  <c r="K293" i="4" s="1"/>
  <c r="L293" i="4" s="1"/>
  <c r="J294" i="4"/>
  <c r="J295" i="4"/>
  <c r="J296" i="4"/>
  <c r="J297" i="4"/>
  <c r="J298" i="4"/>
  <c r="K298" i="4" s="1"/>
  <c r="L298" i="4" s="1"/>
  <c r="J299" i="4"/>
  <c r="J300" i="4"/>
  <c r="J301" i="4"/>
  <c r="K301" i="4" s="1"/>
  <c r="L301" i="4" s="1"/>
  <c r="J302" i="4"/>
  <c r="J303" i="4"/>
  <c r="J304" i="4"/>
  <c r="J305" i="4"/>
  <c r="J306" i="4"/>
  <c r="K306" i="4" s="1"/>
  <c r="L306" i="4" s="1"/>
  <c r="J307" i="4"/>
  <c r="J308" i="4"/>
  <c r="J309" i="4"/>
  <c r="K309" i="4" s="1"/>
  <c r="L309" i="4" s="1"/>
  <c r="J310" i="4"/>
  <c r="J311" i="4"/>
  <c r="J312" i="4"/>
  <c r="J313" i="4"/>
  <c r="J314" i="4"/>
  <c r="K314" i="4" s="1"/>
  <c r="L314" i="4" s="1"/>
  <c r="J315" i="4"/>
  <c r="J316" i="4"/>
  <c r="J317" i="4"/>
  <c r="K317" i="4" s="1"/>
  <c r="L317" i="4" s="1"/>
  <c r="J318" i="4"/>
  <c r="J319" i="4"/>
  <c r="J320" i="4"/>
  <c r="J321" i="4"/>
  <c r="J322" i="4"/>
  <c r="K322" i="4" s="1"/>
  <c r="L322" i="4" s="1"/>
  <c r="J323" i="4"/>
  <c r="J324" i="4"/>
  <c r="J325" i="4"/>
  <c r="K325" i="4" s="1"/>
  <c r="L325" i="4" s="1"/>
  <c r="J326" i="4"/>
  <c r="J327" i="4"/>
  <c r="J328" i="4"/>
  <c r="J329" i="4"/>
  <c r="J330" i="4"/>
  <c r="K330" i="4" s="1"/>
  <c r="L330" i="4" s="1"/>
  <c r="J331" i="4"/>
  <c r="J332" i="4"/>
  <c r="J333" i="4"/>
  <c r="K333" i="4" s="1"/>
  <c r="L333" i="4" s="1"/>
  <c r="J334" i="4"/>
  <c r="J335" i="4"/>
  <c r="J336" i="4"/>
  <c r="J337" i="4"/>
  <c r="J338" i="4"/>
  <c r="K338" i="4" s="1"/>
  <c r="J339" i="4"/>
  <c r="J340" i="4"/>
  <c r="J341" i="4"/>
  <c r="K341" i="4" s="1"/>
  <c r="L341" i="4" s="1"/>
  <c r="J342" i="4"/>
  <c r="J343" i="4"/>
  <c r="J344" i="4"/>
  <c r="J345" i="4"/>
  <c r="J346" i="4"/>
  <c r="K346" i="4" s="1"/>
  <c r="L346" i="4" s="1"/>
  <c r="J347" i="4"/>
  <c r="J348" i="4"/>
  <c r="J349" i="4"/>
  <c r="K349" i="4" s="1"/>
  <c r="L349" i="4" s="1"/>
  <c r="J350" i="4"/>
  <c r="J351" i="4"/>
  <c r="J352" i="4"/>
  <c r="J353" i="4"/>
  <c r="J354" i="4"/>
  <c r="K354" i="4" s="1"/>
  <c r="L354" i="4" s="1"/>
  <c r="J355" i="4"/>
  <c r="J356" i="4"/>
  <c r="J357" i="4"/>
  <c r="K357" i="4" s="1"/>
  <c r="L357" i="4" s="1"/>
  <c r="J358" i="4"/>
  <c r="J359" i="4"/>
  <c r="J360" i="4"/>
  <c r="J361" i="4"/>
  <c r="J362" i="4"/>
  <c r="K362" i="4" s="1"/>
  <c r="L362" i="4" s="1"/>
  <c r="J363" i="4"/>
  <c r="J364" i="4"/>
  <c r="J365" i="4"/>
  <c r="K365" i="4" s="1"/>
  <c r="L365" i="4" s="1"/>
  <c r="J366" i="4"/>
  <c r="J367" i="4"/>
  <c r="J368" i="4"/>
  <c r="J369" i="4"/>
  <c r="J370" i="4"/>
  <c r="K370" i="4" s="1"/>
  <c r="L370" i="4" s="1"/>
  <c r="J371" i="4"/>
  <c r="J372" i="4"/>
  <c r="J373" i="4"/>
  <c r="K373" i="4" s="1"/>
  <c r="L373" i="4" s="1"/>
  <c r="J374" i="4"/>
  <c r="J375" i="4"/>
  <c r="J376" i="4"/>
  <c r="J377" i="4"/>
  <c r="J378" i="4"/>
  <c r="K378" i="4" s="1"/>
  <c r="L378" i="4" s="1"/>
  <c r="J379" i="4"/>
  <c r="J380" i="4"/>
  <c r="J381" i="4"/>
  <c r="K381" i="4" s="1"/>
  <c r="L381" i="4" s="1"/>
  <c r="J382" i="4"/>
  <c r="J383" i="4"/>
  <c r="J384" i="4"/>
  <c r="J385" i="4"/>
  <c r="J386" i="4"/>
  <c r="K386" i="4" s="1"/>
  <c r="L386" i="4" s="1"/>
  <c r="J387" i="4"/>
  <c r="J388" i="4"/>
  <c r="J389" i="4"/>
  <c r="K389" i="4" s="1"/>
  <c r="L389" i="4" s="1"/>
  <c r="J390" i="4"/>
  <c r="J391" i="4"/>
  <c r="J392" i="4"/>
  <c r="J393" i="4"/>
  <c r="J394" i="4"/>
  <c r="K394" i="4" s="1"/>
  <c r="L394" i="4" s="1"/>
  <c r="J395" i="4"/>
  <c r="J396" i="4"/>
  <c r="K396" i="4" s="1"/>
  <c r="L396" i="4" s="1"/>
  <c r="J397" i="4"/>
  <c r="K397" i="4" s="1"/>
  <c r="L397" i="4" s="1"/>
  <c r="J398" i="4"/>
  <c r="J399" i="4"/>
  <c r="J400" i="4"/>
  <c r="J401" i="4"/>
  <c r="J402" i="4"/>
  <c r="K402" i="4" s="1"/>
  <c r="L402" i="4" s="1"/>
  <c r="J403" i="4"/>
  <c r="J404" i="4"/>
  <c r="J405" i="4"/>
  <c r="K405" i="4" s="1"/>
  <c r="L405" i="4" s="1"/>
  <c r="J406" i="4"/>
  <c r="J407" i="4"/>
  <c r="J408" i="4"/>
  <c r="J409" i="4"/>
  <c r="J410" i="4"/>
  <c r="K410" i="4" s="1"/>
  <c r="L410" i="4" s="1"/>
  <c r="J411" i="4"/>
  <c r="J412" i="4"/>
  <c r="J413" i="4"/>
  <c r="K413" i="4" s="1"/>
  <c r="L413" i="4" s="1"/>
  <c r="J414" i="4"/>
  <c r="J415" i="4"/>
  <c r="J416" i="4"/>
  <c r="J417" i="4"/>
  <c r="J418" i="4"/>
  <c r="K418" i="4" s="1"/>
  <c r="L418" i="4" s="1"/>
  <c r="J419" i="4"/>
  <c r="J420" i="4"/>
  <c r="J421" i="4"/>
  <c r="K421" i="4" s="1"/>
  <c r="L421" i="4" s="1"/>
  <c r="J422" i="4"/>
  <c r="J423" i="4"/>
  <c r="J424" i="4"/>
  <c r="J425" i="4"/>
  <c r="J426" i="4"/>
  <c r="K426" i="4" s="1"/>
  <c r="L426" i="4" s="1"/>
  <c r="J427" i="4"/>
  <c r="J428" i="4"/>
  <c r="J429" i="4"/>
  <c r="K429" i="4" s="1"/>
  <c r="L429" i="4" s="1"/>
  <c r="J430" i="4"/>
  <c r="J431" i="4"/>
  <c r="J432" i="4"/>
  <c r="J433" i="4"/>
  <c r="J434" i="4"/>
  <c r="K434" i="4" s="1"/>
  <c r="L434" i="4" s="1"/>
  <c r="J435" i="4"/>
  <c r="J436" i="4"/>
  <c r="J437" i="4"/>
  <c r="K437" i="4" s="1"/>
  <c r="L437" i="4" s="1"/>
  <c r="J438" i="4"/>
  <c r="J439" i="4"/>
  <c r="J440" i="4"/>
  <c r="J441" i="4"/>
  <c r="J442" i="4"/>
  <c r="K442" i="4" s="1"/>
  <c r="L442" i="4" s="1"/>
  <c r="J443" i="4"/>
  <c r="J444" i="4"/>
  <c r="J445" i="4"/>
  <c r="K445" i="4" s="1"/>
  <c r="L445" i="4" s="1"/>
  <c r="J446" i="4"/>
  <c r="J447" i="4"/>
  <c r="J448" i="4"/>
  <c r="J449" i="4"/>
  <c r="J450" i="4"/>
  <c r="K450" i="4" s="1"/>
  <c r="L450" i="4" s="1"/>
  <c r="J451" i="4"/>
  <c r="J452" i="4"/>
  <c r="J453" i="4"/>
  <c r="K453" i="4" s="1"/>
  <c r="L453" i="4" s="1"/>
  <c r="J454" i="4"/>
  <c r="J455" i="4"/>
  <c r="J456" i="4"/>
  <c r="J457" i="4"/>
  <c r="J458" i="4"/>
  <c r="K458" i="4" s="1"/>
  <c r="L458" i="4" s="1"/>
  <c r="J459" i="4"/>
  <c r="J460" i="4"/>
  <c r="J461" i="4"/>
  <c r="K461" i="4" s="1"/>
  <c r="L461" i="4" s="1"/>
  <c r="J462" i="4"/>
  <c r="J463" i="4"/>
  <c r="J464" i="4"/>
  <c r="J465" i="4"/>
  <c r="J466" i="4"/>
  <c r="K466" i="4" s="1"/>
  <c r="L466" i="4" s="1"/>
  <c r="J467" i="4"/>
  <c r="J468" i="4"/>
  <c r="J469" i="4"/>
  <c r="K469" i="4" s="1"/>
  <c r="L469" i="4" s="1"/>
  <c r="J470" i="4"/>
  <c r="J471" i="4"/>
  <c r="J472" i="4"/>
  <c r="J473" i="4"/>
  <c r="J474" i="4"/>
  <c r="K474" i="4" s="1"/>
  <c r="L474" i="4" s="1"/>
  <c r="J475" i="4"/>
  <c r="J476" i="4"/>
  <c r="J477" i="4"/>
  <c r="K477" i="4" s="1"/>
  <c r="L477" i="4" s="1"/>
  <c r="J478" i="4"/>
  <c r="J479" i="4"/>
  <c r="J480" i="4"/>
  <c r="J481" i="4"/>
  <c r="J482" i="4"/>
  <c r="K482" i="4" s="1"/>
  <c r="L482" i="4" s="1"/>
  <c r="J483" i="4"/>
  <c r="J484" i="4"/>
  <c r="J485" i="4"/>
  <c r="K485" i="4" s="1"/>
  <c r="L485" i="4" s="1"/>
  <c r="J486" i="4"/>
  <c r="J487" i="4"/>
  <c r="J488" i="4"/>
  <c r="J489" i="4"/>
  <c r="J490" i="4"/>
  <c r="K490" i="4" s="1"/>
  <c r="L490" i="4" s="1"/>
  <c r="J491" i="4"/>
  <c r="J492" i="4"/>
  <c r="J493" i="4"/>
  <c r="K493" i="4" s="1"/>
  <c r="L493" i="4" s="1"/>
  <c r="J494" i="4"/>
  <c r="J495" i="4"/>
  <c r="J496" i="4"/>
  <c r="J497" i="4"/>
  <c r="J498" i="4"/>
  <c r="K498" i="4" s="1"/>
  <c r="L498" i="4" s="1"/>
  <c r="J499" i="4"/>
  <c r="J500" i="4"/>
  <c r="J501" i="4"/>
  <c r="K501" i="4" s="1"/>
  <c r="L501" i="4" s="1"/>
  <c r="J502" i="4"/>
  <c r="J503" i="4"/>
  <c r="J504" i="4"/>
  <c r="J505" i="4"/>
  <c r="J506" i="4"/>
  <c r="K506" i="4" s="1"/>
  <c r="L506" i="4" s="1"/>
  <c r="J507" i="4"/>
  <c r="J508" i="4"/>
  <c r="J509" i="4"/>
  <c r="K509" i="4" s="1"/>
  <c r="L509" i="4" s="1"/>
  <c r="J510" i="4"/>
  <c r="J511" i="4"/>
  <c r="J512" i="4"/>
  <c r="J513" i="4"/>
  <c r="J514" i="4"/>
  <c r="K514" i="4" s="1"/>
  <c r="L514" i="4" s="1"/>
  <c r="J515" i="4"/>
  <c r="J516" i="4"/>
  <c r="J517" i="4"/>
  <c r="K517" i="4" s="1"/>
  <c r="L517" i="4" s="1"/>
  <c r="J518" i="4"/>
  <c r="J519" i="4"/>
  <c r="J520" i="4"/>
  <c r="J521" i="4"/>
  <c r="J522" i="4"/>
  <c r="K522" i="4" s="1"/>
  <c r="L522" i="4" s="1"/>
  <c r="J523" i="4"/>
  <c r="J524" i="4"/>
  <c r="J525" i="4"/>
  <c r="K525" i="4" s="1"/>
  <c r="L525" i="4" s="1"/>
  <c r="J526" i="4"/>
  <c r="J527" i="4"/>
  <c r="J528" i="4"/>
  <c r="J529" i="4"/>
  <c r="J530" i="4"/>
  <c r="K530" i="4" s="1"/>
  <c r="L530" i="4" s="1"/>
  <c r="J531" i="4"/>
  <c r="J532" i="4"/>
  <c r="J533" i="4"/>
  <c r="K533" i="4" s="1"/>
  <c r="L533" i="4" s="1"/>
  <c r="J534" i="4"/>
  <c r="J535" i="4"/>
  <c r="J536" i="4"/>
  <c r="J537" i="4"/>
  <c r="J538" i="4"/>
  <c r="K538" i="4" s="1"/>
  <c r="L538" i="4" s="1"/>
  <c r="J539" i="4"/>
  <c r="J540" i="4"/>
  <c r="J541" i="4"/>
  <c r="K541" i="4" s="1"/>
  <c r="L541" i="4" s="1"/>
  <c r="J542" i="4"/>
  <c r="J543" i="4"/>
  <c r="J544" i="4"/>
  <c r="J545" i="4"/>
  <c r="J546" i="4"/>
  <c r="K546" i="4" s="1"/>
  <c r="L546" i="4" s="1"/>
  <c r="J547" i="4"/>
  <c r="J548" i="4"/>
  <c r="J549" i="4"/>
  <c r="K549" i="4" s="1"/>
  <c r="L549" i="4" s="1"/>
  <c r="J550" i="4"/>
  <c r="J551" i="4"/>
  <c r="J552" i="4"/>
  <c r="J553" i="4"/>
  <c r="J554" i="4"/>
  <c r="K554" i="4" s="1"/>
  <c r="L554" i="4" s="1"/>
  <c r="J555" i="4"/>
  <c r="J556" i="4"/>
  <c r="J557" i="4"/>
  <c r="K557" i="4" s="1"/>
  <c r="L557" i="4" s="1"/>
  <c r="J558" i="4"/>
  <c r="J559" i="4"/>
  <c r="J560" i="4"/>
  <c r="J561" i="4"/>
  <c r="J562" i="4"/>
  <c r="K562" i="4" s="1"/>
  <c r="L562" i="4" s="1"/>
  <c r="J563" i="4"/>
  <c r="J564" i="4"/>
  <c r="J565" i="4"/>
  <c r="K565" i="4" s="1"/>
  <c r="L565" i="4" s="1"/>
  <c r="J566" i="4"/>
  <c r="J567" i="4"/>
  <c r="J568" i="4"/>
  <c r="J569" i="4"/>
  <c r="J570" i="4"/>
  <c r="K570" i="4" s="1"/>
  <c r="L570" i="4" s="1"/>
  <c r="J571" i="4"/>
  <c r="J572" i="4"/>
  <c r="J573" i="4"/>
  <c r="K573" i="4" s="1"/>
  <c r="L573" i="4" s="1"/>
  <c r="J574" i="4"/>
  <c r="J575" i="4"/>
  <c r="J576" i="4"/>
  <c r="J577" i="4"/>
  <c r="J578" i="4"/>
  <c r="K578" i="4" s="1"/>
  <c r="L578" i="4" s="1"/>
  <c r="J579" i="4"/>
  <c r="J580" i="4"/>
  <c r="J581" i="4"/>
  <c r="K581" i="4" s="1"/>
  <c r="L581" i="4" s="1"/>
  <c r="J582" i="4"/>
  <c r="J583" i="4"/>
  <c r="J584" i="4"/>
  <c r="J585" i="4"/>
  <c r="J586" i="4"/>
  <c r="K586" i="4" s="1"/>
  <c r="L586" i="4" s="1"/>
  <c r="J587" i="4"/>
  <c r="J588" i="4"/>
  <c r="J589" i="4"/>
  <c r="K589" i="4" s="1"/>
  <c r="L589" i="4" s="1"/>
  <c r="J590" i="4"/>
  <c r="J591" i="4"/>
  <c r="J592" i="4"/>
  <c r="J593" i="4"/>
  <c r="J594" i="4"/>
  <c r="K594" i="4" s="1"/>
  <c r="L594" i="4" s="1"/>
  <c r="J595" i="4"/>
  <c r="J596" i="4"/>
  <c r="J597" i="4"/>
  <c r="K597" i="4" s="1"/>
  <c r="L597" i="4" s="1"/>
  <c r="J598" i="4"/>
  <c r="J599" i="4"/>
  <c r="J600" i="4"/>
  <c r="J601" i="4"/>
  <c r="J602" i="4"/>
  <c r="K602" i="4" s="1"/>
  <c r="L602" i="4" s="1"/>
  <c r="J603" i="4"/>
  <c r="J604" i="4"/>
  <c r="J605" i="4"/>
  <c r="K605" i="4" s="1"/>
  <c r="L605" i="4" s="1"/>
  <c r="J606" i="4"/>
  <c r="J607" i="4"/>
  <c r="J608" i="4"/>
  <c r="J609" i="4"/>
  <c r="J610" i="4"/>
  <c r="K610" i="4" s="1"/>
  <c r="L610" i="4" s="1"/>
  <c r="J611" i="4"/>
  <c r="J612" i="4"/>
  <c r="J613" i="4"/>
  <c r="K613" i="4" s="1"/>
  <c r="L613" i="4" s="1"/>
  <c r="J614" i="4"/>
  <c r="J615" i="4"/>
  <c r="J616" i="4"/>
  <c r="J617" i="4"/>
  <c r="J618" i="4"/>
  <c r="K618" i="4" s="1"/>
  <c r="L618" i="4" s="1"/>
  <c r="J619" i="4"/>
  <c r="J620" i="4"/>
  <c r="J621" i="4"/>
  <c r="K621" i="4" s="1"/>
  <c r="L621" i="4" s="1"/>
  <c r="J622" i="4"/>
  <c r="J623" i="4"/>
  <c r="J624" i="4"/>
  <c r="J625" i="4"/>
  <c r="J626" i="4"/>
  <c r="K626" i="4" s="1"/>
  <c r="L626" i="4" s="1"/>
  <c r="J627" i="4"/>
  <c r="J628" i="4"/>
  <c r="J629" i="4"/>
  <c r="K629" i="4" s="1"/>
  <c r="L629" i="4" s="1"/>
  <c r="J630" i="4"/>
  <c r="J631" i="4"/>
  <c r="J632" i="4"/>
  <c r="J633" i="4"/>
  <c r="J634" i="4"/>
  <c r="K634" i="4" s="1"/>
  <c r="L634" i="4" s="1"/>
  <c r="J635" i="4"/>
  <c r="J636" i="4"/>
  <c r="J637" i="4"/>
  <c r="K637" i="4" s="1"/>
  <c r="L637" i="4" s="1"/>
  <c r="J638" i="4"/>
  <c r="J639" i="4"/>
  <c r="J640" i="4"/>
  <c r="J641" i="4"/>
  <c r="J642" i="4"/>
  <c r="K642" i="4" s="1"/>
  <c r="L642" i="4" s="1"/>
  <c r="J643" i="4"/>
  <c r="J644" i="4"/>
  <c r="J645" i="4"/>
  <c r="K645" i="4" s="1"/>
  <c r="L645" i="4" s="1"/>
  <c r="J646" i="4"/>
  <c r="J647" i="4"/>
  <c r="J648" i="4"/>
  <c r="J649" i="4"/>
  <c r="J650" i="4"/>
  <c r="K650" i="4" s="1"/>
  <c r="L650" i="4" s="1"/>
  <c r="J651" i="4"/>
  <c r="J652" i="4"/>
  <c r="J653" i="4"/>
  <c r="K653" i="4" s="1"/>
  <c r="L653" i="4" s="1"/>
  <c r="J654" i="4"/>
  <c r="J655" i="4"/>
  <c r="J656" i="4"/>
  <c r="J657" i="4"/>
  <c r="J658" i="4"/>
  <c r="K658" i="4" s="1"/>
  <c r="L658" i="4" s="1"/>
  <c r="J659" i="4"/>
  <c r="J660" i="4"/>
  <c r="J661" i="4"/>
  <c r="K661" i="4" s="1"/>
  <c r="L661" i="4" s="1"/>
  <c r="J662" i="4"/>
  <c r="J663" i="4"/>
  <c r="J664" i="4"/>
  <c r="J665" i="4"/>
  <c r="J666" i="4"/>
  <c r="K666" i="4" s="1"/>
  <c r="L666" i="4" s="1"/>
  <c r="J667" i="4"/>
  <c r="J668" i="4"/>
  <c r="J669" i="4"/>
  <c r="K669" i="4" s="1"/>
  <c r="L669" i="4" s="1"/>
  <c r="J670" i="4"/>
  <c r="J671" i="4"/>
  <c r="J672" i="4"/>
  <c r="J673" i="4"/>
  <c r="J674" i="4"/>
  <c r="K674" i="4" s="1"/>
  <c r="L674" i="4" s="1"/>
  <c r="J675" i="4"/>
  <c r="J676" i="4"/>
  <c r="J677" i="4"/>
  <c r="K677" i="4" s="1"/>
  <c r="L677" i="4" s="1"/>
  <c r="J678" i="4"/>
  <c r="J679" i="4"/>
  <c r="J680" i="4"/>
  <c r="J681" i="4"/>
  <c r="J682" i="4"/>
  <c r="K682" i="4" s="1"/>
  <c r="L682" i="4" s="1"/>
  <c r="J683" i="4"/>
  <c r="J684" i="4"/>
  <c r="J685" i="4"/>
  <c r="K685" i="4" s="1"/>
  <c r="L685" i="4" s="1"/>
  <c r="J686" i="4"/>
  <c r="J687" i="4"/>
  <c r="J688" i="4"/>
  <c r="J689" i="4"/>
  <c r="J690" i="4"/>
  <c r="K690" i="4" s="1"/>
  <c r="L690" i="4" s="1"/>
  <c r="J691" i="4"/>
  <c r="J692" i="4"/>
  <c r="J693" i="4"/>
  <c r="K693" i="4" s="1"/>
  <c r="L693" i="4" s="1"/>
  <c r="J694" i="4"/>
  <c r="J695" i="4"/>
  <c r="J696" i="4"/>
  <c r="J697" i="4"/>
  <c r="J698" i="4"/>
  <c r="K698" i="4" s="1"/>
  <c r="L698" i="4" s="1"/>
  <c r="J699" i="4"/>
  <c r="J700" i="4"/>
  <c r="J701" i="4"/>
  <c r="K701" i="4" s="1"/>
  <c r="L701" i="4" s="1"/>
  <c r="J702" i="4"/>
  <c r="J703" i="4"/>
  <c r="J704" i="4"/>
  <c r="J705" i="4"/>
  <c r="J706" i="4"/>
  <c r="K706" i="4" s="1"/>
  <c r="L706" i="4" s="1"/>
  <c r="J707" i="4"/>
  <c r="J708" i="4"/>
  <c r="J709" i="4"/>
  <c r="K709" i="4" s="1"/>
  <c r="L709" i="4" s="1"/>
  <c r="J710" i="4"/>
  <c r="J711" i="4"/>
  <c r="J712" i="4"/>
  <c r="J713" i="4"/>
  <c r="J714" i="4"/>
  <c r="K714" i="4" s="1"/>
  <c r="L714" i="4" s="1"/>
  <c r="J715" i="4"/>
  <c r="J716" i="4"/>
  <c r="J717" i="4"/>
  <c r="K717" i="4" s="1"/>
  <c r="L717" i="4" s="1"/>
  <c r="J718" i="4"/>
  <c r="J719" i="4"/>
  <c r="J720" i="4"/>
  <c r="J721" i="4"/>
  <c r="J722" i="4"/>
  <c r="K722" i="4" s="1"/>
  <c r="L722" i="4" s="1"/>
  <c r="J723" i="4"/>
  <c r="J724" i="4"/>
  <c r="J725" i="4"/>
  <c r="K725" i="4" s="1"/>
  <c r="L725" i="4" s="1"/>
  <c r="J726" i="4"/>
  <c r="J727" i="4"/>
  <c r="J728" i="4"/>
  <c r="J729" i="4"/>
  <c r="J730" i="4"/>
  <c r="K730" i="4" s="1"/>
  <c r="L730" i="4" s="1"/>
  <c r="J731" i="4"/>
  <c r="J732" i="4"/>
  <c r="J733" i="4"/>
  <c r="K733" i="4" s="1"/>
  <c r="L733" i="4" s="1"/>
  <c r="J734" i="4"/>
  <c r="J735" i="4"/>
  <c r="J736" i="4"/>
  <c r="J737" i="4"/>
  <c r="J738" i="4"/>
  <c r="K738" i="4" s="1"/>
  <c r="L738" i="4" s="1"/>
  <c r="J739" i="4"/>
  <c r="J740" i="4"/>
  <c r="J741" i="4"/>
  <c r="J742" i="4"/>
  <c r="J743" i="4"/>
  <c r="J744" i="4"/>
  <c r="J745" i="4"/>
  <c r="J746" i="4"/>
  <c r="K746" i="4" s="1"/>
  <c r="L746" i="4" s="1"/>
  <c r="J747" i="4"/>
  <c r="J748" i="4"/>
  <c r="J749" i="4"/>
  <c r="K749" i="4" s="1"/>
  <c r="L749" i="4" s="1"/>
  <c r="J750" i="4"/>
  <c r="J751" i="4"/>
  <c r="J752" i="4"/>
  <c r="J753" i="4"/>
  <c r="J754" i="4"/>
  <c r="K754" i="4" s="1"/>
  <c r="L754" i="4" s="1"/>
  <c r="J755" i="4"/>
  <c r="J756" i="4"/>
  <c r="J757" i="4"/>
  <c r="K757" i="4" s="1"/>
  <c r="L757" i="4" s="1"/>
  <c r="J758" i="4"/>
  <c r="J759" i="4"/>
  <c r="J760" i="4"/>
  <c r="J761" i="4"/>
  <c r="J762" i="4"/>
  <c r="K762" i="4" s="1"/>
  <c r="L762" i="4" s="1"/>
  <c r="J763" i="4"/>
  <c r="J764" i="4"/>
  <c r="J765" i="4"/>
  <c r="K765" i="4" s="1"/>
  <c r="L765" i="4" s="1"/>
  <c r="J766" i="4"/>
  <c r="J767" i="4"/>
  <c r="J768" i="4"/>
  <c r="J769" i="4"/>
  <c r="J770" i="4"/>
  <c r="K770" i="4" s="1"/>
  <c r="L770" i="4" s="1"/>
  <c r="J771" i="4"/>
  <c r="J772" i="4"/>
  <c r="J773" i="4"/>
  <c r="K773" i="4" s="1"/>
  <c r="L773" i="4" s="1"/>
  <c r="J774" i="4"/>
  <c r="J775" i="4"/>
  <c r="J776" i="4"/>
  <c r="J777" i="4"/>
  <c r="J778" i="4"/>
  <c r="K778" i="4" s="1"/>
  <c r="L778" i="4" s="1"/>
  <c r="J779" i="4"/>
  <c r="J780" i="4"/>
  <c r="J781" i="4"/>
  <c r="K781" i="4" s="1"/>
  <c r="L781" i="4" s="1"/>
  <c r="J782" i="4"/>
  <c r="J783" i="4"/>
  <c r="J784" i="4"/>
  <c r="J785" i="4"/>
  <c r="J786" i="4"/>
  <c r="K786" i="4" s="1"/>
  <c r="L786" i="4" s="1"/>
  <c r="J787" i="4"/>
  <c r="J788" i="4"/>
  <c r="J789" i="4"/>
  <c r="K789" i="4" s="1"/>
  <c r="L789" i="4" s="1"/>
  <c r="J790" i="4"/>
  <c r="J791" i="4"/>
  <c r="J792" i="4"/>
  <c r="J793" i="4"/>
  <c r="J794" i="4"/>
  <c r="K794" i="4" s="1"/>
  <c r="L794" i="4" s="1"/>
  <c r="J795" i="4"/>
  <c r="J796" i="4"/>
  <c r="J797" i="4"/>
  <c r="K797" i="4" s="1"/>
  <c r="L797" i="4" s="1"/>
  <c r="J798" i="4"/>
  <c r="J799" i="4"/>
  <c r="J800" i="4"/>
  <c r="J801" i="4"/>
  <c r="L2" i="3"/>
  <c r="L3" i="3"/>
  <c r="L4" i="3"/>
  <c r="L5" i="3"/>
  <c r="L6" i="3"/>
  <c r="L7" i="3"/>
  <c r="L8" i="3"/>
  <c r="L9" i="3"/>
  <c r="L10" i="3"/>
  <c r="L11" i="3"/>
  <c r="L12" i="3"/>
  <c r="L13" i="3"/>
  <c r="L14" i="3"/>
  <c r="L15" i="3"/>
  <c r="L16" i="3"/>
  <c r="L17" i="3"/>
  <c r="L18" i="3"/>
  <c r="L19" i="3"/>
  <c r="L20" i="3"/>
  <c r="L21" i="3"/>
  <c r="L22" i="3"/>
  <c r="L23" i="3"/>
  <c r="L24" i="3"/>
  <c r="L25" i="3"/>
  <c r="L26" i="3"/>
  <c r="L27" i="3"/>
  <c r="L28" i="3"/>
  <c r="L29" i="3"/>
  <c r="L30" i="3"/>
  <c r="L31" i="3"/>
  <c r="L32" i="3"/>
  <c r="L33" i="3"/>
  <c r="L34" i="3"/>
  <c r="L35" i="3"/>
  <c r="L36" i="3"/>
  <c r="L37" i="3"/>
  <c r="L38" i="3"/>
  <c r="L39" i="3"/>
  <c r="L40" i="3"/>
  <c r="L41" i="3"/>
  <c r="L42" i="3"/>
  <c r="L43" i="3"/>
  <c r="L44" i="3"/>
  <c r="L45" i="3"/>
  <c r="L46" i="3"/>
  <c r="L47" i="3"/>
  <c r="L48" i="3"/>
  <c r="L49" i="3"/>
  <c r="L50" i="3"/>
  <c r="L51" i="3"/>
  <c r="L52" i="3"/>
  <c r="L53" i="3"/>
  <c r="L54" i="3"/>
  <c r="L55" i="3"/>
  <c r="L56" i="3"/>
  <c r="L57" i="3"/>
  <c r="L58" i="3"/>
  <c r="L59" i="3"/>
  <c r="L60" i="3"/>
  <c r="L61" i="3"/>
  <c r="L62" i="3"/>
  <c r="L63" i="3"/>
  <c r="L64" i="3"/>
  <c r="L65" i="3"/>
  <c r="L66" i="3"/>
  <c r="L67" i="3"/>
  <c r="L68" i="3"/>
  <c r="L69" i="3"/>
  <c r="L70" i="3"/>
  <c r="L71" i="3"/>
  <c r="L72" i="3"/>
  <c r="L73" i="3"/>
  <c r="L74" i="3"/>
  <c r="L75" i="3"/>
  <c r="L76" i="3"/>
  <c r="L77" i="3"/>
  <c r="L78" i="3"/>
  <c r="L79" i="3"/>
  <c r="L80" i="3"/>
  <c r="L81" i="3"/>
  <c r="L82" i="3"/>
  <c r="L83" i="3"/>
  <c r="L84" i="3"/>
  <c r="L85" i="3"/>
  <c r="L86" i="3"/>
  <c r="L87" i="3"/>
  <c r="L88" i="3"/>
  <c r="L89" i="3"/>
  <c r="L90" i="3"/>
  <c r="L91" i="3"/>
  <c r="L92" i="3"/>
  <c r="L93" i="3"/>
  <c r="L94" i="3"/>
  <c r="L95" i="3"/>
  <c r="L96" i="3"/>
  <c r="L97" i="3"/>
  <c r="L98" i="3"/>
  <c r="L99" i="3"/>
  <c r="L100" i="3"/>
  <c r="L101" i="3"/>
  <c r="L102" i="3"/>
  <c r="L103" i="3"/>
  <c r="L104" i="3"/>
  <c r="L105" i="3"/>
  <c r="L106" i="3"/>
  <c r="L107" i="3"/>
  <c r="L108" i="3"/>
  <c r="L109" i="3"/>
  <c r="L110" i="3"/>
  <c r="L111" i="3"/>
  <c r="L112" i="3"/>
  <c r="L113" i="3"/>
  <c r="L114" i="3"/>
  <c r="L115" i="3"/>
  <c r="L116" i="3"/>
  <c r="L117" i="3"/>
  <c r="L118" i="3"/>
  <c r="L119" i="3"/>
  <c r="L120" i="3"/>
  <c r="L121" i="3"/>
  <c r="L122" i="3"/>
  <c r="L123" i="3"/>
  <c r="L124" i="3"/>
  <c r="L125" i="3"/>
  <c r="L126" i="3"/>
  <c r="L127" i="3"/>
  <c r="L128" i="3"/>
  <c r="L129" i="3"/>
  <c r="L130" i="3"/>
  <c r="L131" i="3"/>
  <c r="L132" i="3"/>
  <c r="L133" i="3"/>
  <c r="L134" i="3"/>
  <c r="L135" i="3"/>
  <c r="L136" i="3"/>
  <c r="L137" i="3"/>
  <c r="L138" i="3"/>
  <c r="L139" i="3"/>
  <c r="L140" i="3"/>
  <c r="L141" i="3"/>
  <c r="L142" i="3"/>
  <c r="L143" i="3"/>
  <c r="L144" i="3"/>
  <c r="L145" i="3"/>
  <c r="L146" i="3"/>
  <c r="L147" i="3"/>
  <c r="L148" i="3"/>
  <c r="L149" i="3"/>
  <c r="L150" i="3"/>
  <c r="L151" i="3"/>
  <c r="L152" i="3"/>
  <c r="L153" i="3"/>
  <c r="L154" i="3"/>
  <c r="L155" i="3"/>
  <c r="L156" i="3"/>
  <c r="L157" i="3"/>
  <c r="L158" i="3"/>
  <c r="L159" i="3"/>
  <c r="L160" i="3"/>
  <c r="L161" i="3"/>
  <c r="L162" i="3"/>
  <c r="L163" i="3"/>
  <c r="L164" i="3"/>
  <c r="L165" i="3"/>
  <c r="L166" i="3"/>
  <c r="L167" i="3"/>
  <c r="L168" i="3"/>
  <c r="L169" i="3"/>
  <c r="L170" i="3"/>
  <c r="L171" i="3"/>
  <c r="L172" i="3"/>
  <c r="L173" i="3"/>
  <c r="L174" i="3"/>
  <c r="L175" i="3"/>
  <c r="L176" i="3"/>
  <c r="L177" i="3"/>
  <c r="L178" i="3"/>
  <c r="L179" i="3"/>
  <c r="L180" i="3"/>
  <c r="L181" i="3"/>
  <c r="L182" i="3"/>
  <c r="L183" i="3"/>
  <c r="L184" i="3"/>
  <c r="L185" i="3"/>
  <c r="L186" i="3"/>
  <c r="L187" i="3"/>
  <c r="L188" i="3"/>
  <c r="L189" i="3"/>
  <c r="L190" i="3"/>
  <c r="L191" i="3"/>
  <c r="L192" i="3"/>
  <c r="L193" i="3"/>
  <c r="L194" i="3"/>
  <c r="L195" i="3"/>
  <c r="L196" i="3"/>
  <c r="L197" i="3"/>
  <c r="L198" i="3"/>
  <c r="L199" i="3"/>
  <c r="L200" i="3"/>
  <c r="L201" i="3"/>
  <c r="L202" i="3"/>
  <c r="L203" i="3"/>
  <c r="L204" i="3"/>
  <c r="L205" i="3"/>
  <c r="L206" i="3"/>
  <c r="L207" i="3"/>
  <c r="L208" i="3"/>
  <c r="L209" i="3"/>
  <c r="L210" i="3"/>
  <c r="L211" i="3"/>
  <c r="L212" i="3"/>
  <c r="L213" i="3"/>
  <c r="L214" i="3"/>
  <c r="L215" i="3"/>
  <c r="L216" i="3"/>
  <c r="L217" i="3"/>
  <c r="L218" i="3"/>
  <c r="L219" i="3"/>
  <c r="L220" i="3"/>
  <c r="L221" i="3"/>
  <c r="L222" i="3"/>
  <c r="L223" i="3"/>
  <c r="L224" i="3"/>
  <c r="L225" i="3"/>
  <c r="L226" i="3"/>
  <c r="L227" i="3"/>
  <c r="L228" i="3"/>
  <c r="L229" i="3"/>
  <c r="L230" i="3"/>
  <c r="L231" i="3"/>
  <c r="L232" i="3"/>
  <c r="L233" i="3"/>
  <c r="L234" i="3"/>
  <c r="L235" i="3"/>
  <c r="L236" i="3"/>
  <c r="L237" i="3"/>
  <c r="L238" i="3"/>
  <c r="L239" i="3"/>
  <c r="L240" i="3"/>
  <c r="L241" i="3"/>
  <c r="L242" i="3"/>
  <c r="L243" i="3"/>
  <c r="L244" i="3"/>
  <c r="L245" i="3"/>
  <c r="L246" i="3"/>
  <c r="L247" i="3"/>
  <c r="L248" i="3"/>
  <c r="L249" i="3"/>
  <c r="L250" i="3"/>
  <c r="L251" i="3"/>
  <c r="L252" i="3"/>
  <c r="L253" i="3"/>
  <c r="L254" i="3"/>
  <c r="L255" i="3"/>
  <c r="L256" i="3"/>
  <c r="L257" i="3"/>
  <c r="L258" i="3"/>
  <c r="L259" i="3"/>
  <c r="L260" i="3"/>
  <c r="L261" i="3"/>
  <c r="L262" i="3"/>
  <c r="L263" i="3"/>
  <c r="L264" i="3"/>
  <c r="L265" i="3"/>
  <c r="L266" i="3"/>
  <c r="L267" i="3"/>
  <c r="L268" i="3"/>
  <c r="L269" i="3"/>
  <c r="L270" i="3"/>
  <c r="L271" i="3"/>
  <c r="L272" i="3"/>
  <c r="L273" i="3"/>
  <c r="L274" i="3"/>
  <c r="L275" i="3"/>
  <c r="L276" i="3"/>
  <c r="L277" i="3"/>
  <c r="L278" i="3"/>
  <c r="L279" i="3"/>
  <c r="L280" i="3"/>
  <c r="L281" i="3"/>
  <c r="L282" i="3"/>
  <c r="L283" i="3"/>
  <c r="L284" i="3"/>
  <c r="L285" i="3"/>
  <c r="L286" i="3"/>
  <c r="L287" i="3"/>
  <c r="L288" i="3"/>
  <c r="L289" i="3"/>
  <c r="L290" i="3"/>
  <c r="L291" i="3"/>
  <c r="L292" i="3"/>
  <c r="L293" i="3"/>
  <c r="L294" i="3"/>
  <c r="L295" i="3"/>
  <c r="L296" i="3"/>
  <c r="L297" i="3"/>
  <c r="L298" i="3"/>
  <c r="L299" i="3"/>
  <c r="L300" i="3"/>
  <c r="L301" i="3"/>
  <c r="L302" i="3"/>
  <c r="L303" i="3"/>
  <c r="L304" i="3"/>
  <c r="L305" i="3"/>
  <c r="L306" i="3"/>
  <c r="L307" i="3"/>
  <c r="L308" i="3"/>
  <c r="L309" i="3"/>
  <c r="L310" i="3"/>
  <c r="L311" i="3"/>
  <c r="L312" i="3"/>
  <c r="L313" i="3"/>
  <c r="L314" i="3"/>
  <c r="L315" i="3"/>
  <c r="L316" i="3"/>
  <c r="L317" i="3"/>
  <c r="L318" i="3"/>
  <c r="L319" i="3"/>
  <c r="L320" i="3"/>
  <c r="L321" i="3"/>
  <c r="L322" i="3"/>
  <c r="L323" i="3"/>
  <c r="L324" i="3"/>
  <c r="L325" i="3"/>
  <c r="L326" i="3"/>
  <c r="L327" i="3"/>
  <c r="L328" i="3"/>
  <c r="L329" i="3"/>
  <c r="L330" i="3"/>
  <c r="L331" i="3"/>
  <c r="L332" i="3"/>
  <c r="L333" i="3"/>
  <c r="L334" i="3"/>
  <c r="L335" i="3"/>
  <c r="L336" i="3"/>
  <c r="L337" i="3"/>
  <c r="L338" i="3"/>
  <c r="L339" i="3"/>
  <c r="L340" i="3"/>
  <c r="L341" i="3"/>
  <c r="L342" i="3"/>
  <c r="L343" i="3"/>
  <c r="L344" i="3"/>
  <c r="L345" i="3"/>
  <c r="L346" i="3"/>
  <c r="L347" i="3"/>
  <c r="L348" i="3"/>
  <c r="L349" i="3"/>
  <c r="L350" i="3"/>
  <c r="L351" i="3"/>
  <c r="L352" i="3"/>
  <c r="L353" i="3"/>
  <c r="L354" i="3"/>
  <c r="L355" i="3"/>
  <c r="L356" i="3"/>
  <c r="L357" i="3"/>
  <c r="L358" i="3"/>
  <c r="L359" i="3"/>
  <c r="L360" i="3"/>
  <c r="L361" i="3"/>
  <c r="L362" i="3"/>
  <c r="L363" i="3"/>
  <c r="L364" i="3"/>
  <c r="L365" i="3"/>
  <c r="L366" i="3"/>
  <c r="L367" i="3"/>
  <c r="L368" i="3"/>
  <c r="L369" i="3"/>
  <c r="L370" i="3"/>
  <c r="L371" i="3"/>
  <c r="L372" i="3"/>
  <c r="L373" i="3"/>
  <c r="L374" i="3"/>
  <c r="L375" i="3"/>
  <c r="L376" i="3"/>
  <c r="L377" i="3"/>
  <c r="L378" i="3"/>
  <c r="L379" i="3"/>
  <c r="L380" i="3"/>
  <c r="L381" i="3"/>
  <c r="L382" i="3"/>
  <c r="L383" i="3"/>
  <c r="L384" i="3"/>
  <c r="L385" i="3"/>
  <c r="L386" i="3"/>
  <c r="L387" i="3"/>
  <c r="L388" i="3"/>
  <c r="L389" i="3"/>
  <c r="L390" i="3"/>
  <c r="L391" i="3"/>
  <c r="L392" i="3"/>
  <c r="L393" i="3"/>
  <c r="L394" i="3"/>
  <c r="L395" i="3"/>
  <c r="L396" i="3"/>
  <c r="L397" i="3"/>
  <c r="L398" i="3"/>
  <c r="L399" i="3"/>
  <c r="L400" i="3"/>
  <c r="L401" i="3"/>
  <c r="L402" i="3"/>
  <c r="L403" i="3"/>
  <c r="L404" i="3"/>
  <c r="L405" i="3"/>
  <c r="L406" i="3"/>
  <c r="L407" i="3"/>
  <c r="L408" i="3"/>
  <c r="L409" i="3"/>
  <c r="L410" i="3"/>
  <c r="L411" i="3"/>
  <c r="L412" i="3"/>
  <c r="L413" i="3"/>
  <c r="L414" i="3"/>
  <c r="L415" i="3"/>
  <c r="L416" i="3"/>
  <c r="L417" i="3"/>
  <c r="L418" i="3"/>
  <c r="L419" i="3"/>
  <c r="L420" i="3"/>
  <c r="L421" i="3"/>
  <c r="L422" i="3"/>
  <c r="L423" i="3"/>
  <c r="L424" i="3"/>
  <c r="L425" i="3"/>
  <c r="L426" i="3"/>
  <c r="L427" i="3"/>
  <c r="L428" i="3"/>
  <c r="L429" i="3"/>
  <c r="L430" i="3"/>
  <c r="L431" i="3"/>
  <c r="L432" i="3"/>
  <c r="L433" i="3"/>
  <c r="L434" i="3"/>
  <c r="L435" i="3"/>
  <c r="L436" i="3"/>
  <c r="L437" i="3"/>
  <c r="L438" i="3"/>
  <c r="L439" i="3"/>
  <c r="L440" i="3"/>
  <c r="L441" i="3"/>
  <c r="L442" i="3"/>
  <c r="L443" i="3"/>
  <c r="L444" i="3"/>
  <c r="L445" i="3"/>
  <c r="L446" i="3"/>
  <c r="L447" i="3"/>
  <c r="L448" i="3"/>
  <c r="L449" i="3"/>
  <c r="L450" i="3"/>
  <c r="L451" i="3"/>
  <c r="L452" i="3"/>
  <c r="L453" i="3"/>
  <c r="L454" i="3"/>
  <c r="L455" i="3"/>
  <c r="L456" i="3"/>
  <c r="L457" i="3"/>
  <c r="L458" i="3"/>
  <c r="L459" i="3"/>
  <c r="L460" i="3"/>
  <c r="L461" i="3"/>
  <c r="L462" i="3"/>
  <c r="L463" i="3"/>
  <c r="L464" i="3"/>
  <c r="L465" i="3"/>
  <c r="L466" i="3"/>
  <c r="L467" i="3"/>
  <c r="L468" i="3"/>
  <c r="L469" i="3"/>
  <c r="L470" i="3"/>
  <c r="L471" i="3"/>
  <c r="L472" i="3"/>
  <c r="L473" i="3"/>
  <c r="L474" i="3"/>
  <c r="L475" i="3"/>
  <c r="L476" i="3"/>
  <c r="L477" i="3"/>
  <c r="L478" i="3"/>
  <c r="L479" i="3"/>
  <c r="L480" i="3"/>
  <c r="L481" i="3"/>
  <c r="L482" i="3"/>
  <c r="L483" i="3"/>
  <c r="L484" i="3"/>
  <c r="L485" i="3"/>
  <c r="L486" i="3"/>
  <c r="L487" i="3"/>
  <c r="L488" i="3"/>
  <c r="L489" i="3"/>
  <c r="L490" i="3"/>
  <c r="L491" i="3"/>
  <c r="L492" i="3"/>
  <c r="L493" i="3"/>
  <c r="L494" i="3"/>
  <c r="L495" i="3"/>
  <c r="L496" i="3"/>
  <c r="L497" i="3"/>
  <c r="L498" i="3"/>
  <c r="L499" i="3"/>
  <c r="L500" i="3"/>
  <c r="L501" i="3"/>
  <c r="L502" i="3"/>
  <c r="L503" i="3"/>
  <c r="L504" i="3"/>
  <c r="L505" i="3"/>
  <c r="L506" i="3"/>
  <c r="L507" i="3"/>
  <c r="L508" i="3"/>
  <c r="L509" i="3"/>
  <c r="L510" i="3"/>
  <c r="L511" i="3"/>
  <c r="L512" i="3"/>
  <c r="L513" i="3"/>
  <c r="L514" i="3"/>
  <c r="L515" i="3"/>
  <c r="L516" i="3"/>
  <c r="L517" i="3"/>
  <c r="L518" i="3"/>
  <c r="L519" i="3"/>
  <c r="L520" i="3"/>
  <c r="L521" i="3"/>
  <c r="L522" i="3"/>
  <c r="L523" i="3"/>
  <c r="L524" i="3"/>
  <c r="L525" i="3"/>
  <c r="L526" i="3"/>
  <c r="L527" i="3"/>
  <c r="L528" i="3"/>
  <c r="L529" i="3"/>
  <c r="L530" i="3"/>
  <c r="L531" i="3"/>
  <c r="L532" i="3"/>
  <c r="L533" i="3"/>
  <c r="L534" i="3"/>
  <c r="L535" i="3"/>
  <c r="L536" i="3"/>
  <c r="L537" i="3"/>
  <c r="L538" i="3"/>
  <c r="L539" i="3"/>
  <c r="L540" i="3"/>
  <c r="L541" i="3"/>
  <c r="L542" i="3"/>
  <c r="L543" i="3"/>
  <c r="L544" i="3"/>
  <c r="L545" i="3"/>
  <c r="L546" i="3"/>
  <c r="L547" i="3"/>
  <c r="L548" i="3"/>
  <c r="L549" i="3"/>
  <c r="L550" i="3"/>
  <c r="L551" i="3"/>
  <c r="L552" i="3"/>
  <c r="L553" i="3"/>
  <c r="L554" i="3"/>
  <c r="L555" i="3"/>
  <c r="L556" i="3"/>
  <c r="L557" i="3"/>
  <c r="L558" i="3"/>
  <c r="L559" i="3"/>
  <c r="L560" i="3"/>
  <c r="L561" i="3"/>
  <c r="L562" i="3"/>
  <c r="L563" i="3"/>
  <c r="L564" i="3"/>
  <c r="L565" i="3"/>
  <c r="L566" i="3"/>
  <c r="L567" i="3"/>
  <c r="L568" i="3"/>
  <c r="L569" i="3"/>
  <c r="L570" i="3"/>
  <c r="L571" i="3"/>
  <c r="L572" i="3"/>
  <c r="L573" i="3"/>
  <c r="L574" i="3"/>
  <c r="L575" i="3"/>
  <c r="L576" i="3"/>
  <c r="L577" i="3"/>
  <c r="L578" i="3"/>
  <c r="L579" i="3"/>
  <c r="L580" i="3"/>
  <c r="L581" i="3"/>
  <c r="L582" i="3"/>
  <c r="L583" i="3"/>
  <c r="L584" i="3"/>
  <c r="L585" i="3"/>
  <c r="L586" i="3"/>
  <c r="L587" i="3"/>
  <c r="L588" i="3"/>
  <c r="L589" i="3"/>
  <c r="L590" i="3"/>
  <c r="L591" i="3"/>
  <c r="L592" i="3"/>
  <c r="L593" i="3"/>
  <c r="L594" i="3"/>
  <c r="L595" i="3"/>
  <c r="L596" i="3"/>
  <c r="L597" i="3"/>
  <c r="L598" i="3"/>
  <c r="L599" i="3"/>
  <c r="L600" i="3"/>
  <c r="L601" i="3"/>
  <c r="L602" i="3"/>
  <c r="L603" i="3"/>
  <c r="L604" i="3"/>
  <c r="L605" i="3"/>
  <c r="L606" i="3"/>
  <c r="L607" i="3"/>
  <c r="L608" i="3"/>
  <c r="L609" i="3"/>
  <c r="L610" i="3"/>
  <c r="L611" i="3"/>
  <c r="L612" i="3"/>
  <c r="L613" i="3"/>
  <c r="L614" i="3"/>
  <c r="L615" i="3"/>
  <c r="L616" i="3"/>
  <c r="L617" i="3"/>
  <c r="L618" i="3"/>
  <c r="L619" i="3"/>
  <c r="L620" i="3"/>
  <c r="L621" i="3"/>
  <c r="L622" i="3"/>
  <c r="L623" i="3"/>
  <c r="L624" i="3"/>
  <c r="L625" i="3"/>
  <c r="L626" i="3"/>
  <c r="L627" i="3"/>
  <c r="L628" i="3"/>
  <c r="L629" i="3"/>
  <c r="L630" i="3"/>
  <c r="L631" i="3"/>
  <c r="L632" i="3"/>
  <c r="L633" i="3"/>
  <c r="L634" i="3"/>
  <c r="L635" i="3"/>
  <c r="L636" i="3"/>
  <c r="L637" i="3"/>
  <c r="L638" i="3"/>
  <c r="L639" i="3"/>
  <c r="L640" i="3"/>
  <c r="L641" i="3"/>
  <c r="L642" i="3"/>
  <c r="L643" i="3"/>
  <c r="L644" i="3"/>
  <c r="L645" i="3"/>
  <c r="L646" i="3"/>
  <c r="L647" i="3"/>
  <c r="L648" i="3"/>
  <c r="L649" i="3"/>
  <c r="L650" i="3"/>
  <c r="L651" i="3"/>
  <c r="L652" i="3"/>
  <c r="L653" i="3"/>
  <c r="L654" i="3"/>
  <c r="L655" i="3"/>
  <c r="L656" i="3"/>
  <c r="L657" i="3"/>
  <c r="L658" i="3"/>
  <c r="L659" i="3"/>
  <c r="L660" i="3"/>
  <c r="L661" i="3"/>
  <c r="L662" i="3"/>
  <c r="L663" i="3"/>
  <c r="L664" i="3"/>
  <c r="L665" i="3"/>
  <c r="L666" i="3"/>
  <c r="L667" i="3"/>
  <c r="L668" i="3"/>
  <c r="L669" i="3"/>
  <c r="L670" i="3"/>
  <c r="L671" i="3"/>
  <c r="L672" i="3"/>
  <c r="L673" i="3"/>
  <c r="L674" i="3"/>
  <c r="L675" i="3"/>
  <c r="L676" i="3"/>
  <c r="L677" i="3"/>
  <c r="L678" i="3"/>
  <c r="L679" i="3"/>
  <c r="L680" i="3"/>
  <c r="L681" i="3"/>
  <c r="L682" i="3"/>
  <c r="L683" i="3"/>
  <c r="L684" i="3"/>
  <c r="L685" i="3"/>
  <c r="L686" i="3"/>
  <c r="L687" i="3"/>
  <c r="L688" i="3"/>
  <c r="L689" i="3"/>
  <c r="L690" i="3"/>
  <c r="L691" i="3"/>
  <c r="L692" i="3"/>
  <c r="L693" i="3"/>
  <c r="L694" i="3"/>
  <c r="L695" i="3"/>
  <c r="L696" i="3"/>
  <c r="L697" i="3"/>
  <c r="L698" i="3"/>
  <c r="L699" i="3"/>
  <c r="L700" i="3"/>
  <c r="L701" i="3"/>
  <c r="L702" i="3"/>
  <c r="L703" i="3"/>
  <c r="L704" i="3"/>
  <c r="L705" i="3"/>
  <c r="L706" i="3"/>
  <c r="L707" i="3"/>
  <c r="L708" i="3"/>
  <c r="L709" i="3"/>
  <c r="L710" i="3"/>
  <c r="L711" i="3"/>
  <c r="L712" i="3"/>
  <c r="L713" i="3"/>
  <c r="L714" i="3"/>
  <c r="L715" i="3"/>
  <c r="L716" i="3"/>
  <c r="L717" i="3"/>
  <c r="L718" i="3"/>
  <c r="L719" i="3"/>
  <c r="L720" i="3"/>
  <c r="L721" i="3"/>
  <c r="L722" i="3"/>
  <c r="L723" i="3"/>
  <c r="L724" i="3"/>
  <c r="L725" i="3"/>
  <c r="L726" i="3"/>
  <c r="L727" i="3"/>
  <c r="L728" i="3"/>
  <c r="L729" i="3"/>
  <c r="L730" i="3"/>
  <c r="L731" i="3"/>
  <c r="L732" i="3"/>
  <c r="L733" i="3"/>
  <c r="L734" i="3"/>
  <c r="L735" i="3"/>
  <c r="L736" i="3"/>
  <c r="L737" i="3"/>
  <c r="L738" i="3"/>
  <c r="L739" i="3"/>
  <c r="L740" i="3"/>
  <c r="L741" i="3"/>
  <c r="L742" i="3"/>
  <c r="L743" i="3"/>
  <c r="L744" i="3"/>
  <c r="L745" i="3"/>
  <c r="L746" i="3"/>
  <c r="L747" i="3"/>
  <c r="L748" i="3"/>
  <c r="L749" i="3"/>
  <c r="L750" i="3"/>
  <c r="L751" i="3"/>
  <c r="L752" i="3"/>
  <c r="L753" i="3"/>
  <c r="L754" i="3"/>
  <c r="L755" i="3"/>
  <c r="L756" i="3"/>
  <c r="L757" i="3"/>
  <c r="L758" i="3"/>
  <c r="L759" i="3"/>
  <c r="L760" i="3"/>
  <c r="L761" i="3"/>
  <c r="L762" i="3"/>
  <c r="L763" i="3"/>
  <c r="L764" i="3"/>
  <c r="L765" i="3"/>
  <c r="L766" i="3"/>
  <c r="L767" i="3"/>
  <c r="L768" i="3"/>
  <c r="L769" i="3"/>
  <c r="L770" i="3"/>
  <c r="L771" i="3"/>
  <c r="L772" i="3"/>
  <c r="L773" i="3"/>
  <c r="L774" i="3"/>
  <c r="L775" i="3"/>
  <c r="L776" i="3"/>
  <c r="L777" i="3"/>
  <c r="L778" i="3"/>
  <c r="L779" i="3"/>
  <c r="L780" i="3"/>
  <c r="L781" i="3"/>
  <c r="L782" i="3"/>
  <c r="L783" i="3"/>
  <c r="L784" i="3"/>
  <c r="L785" i="3"/>
  <c r="L786" i="3"/>
  <c r="L787" i="3"/>
  <c r="L788" i="3"/>
  <c r="L789" i="3"/>
  <c r="L790" i="3"/>
  <c r="L791" i="3"/>
  <c r="L792" i="3"/>
  <c r="L793" i="3"/>
  <c r="L794" i="3"/>
  <c r="L795" i="3"/>
  <c r="L796" i="3"/>
  <c r="L797" i="3"/>
  <c r="L798" i="3"/>
  <c r="L799" i="3"/>
  <c r="L800" i="3"/>
  <c r="L801" i="3"/>
  <c r="K2" i="3"/>
  <c r="K3" i="3"/>
  <c r="K4" i="3"/>
  <c r="K5" i="3"/>
  <c r="K6" i="3"/>
  <c r="K7" i="3"/>
  <c r="K8" i="3"/>
  <c r="K9" i="3"/>
  <c r="K10" i="3"/>
  <c r="K11" i="3"/>
  <c r="K12" i="3"/>
  <c r="K13" i="3"/>
  <c r="K14" i="3"/>
  <c r="K15" i="3"/>
  <c r="K16" i="3"/>
  <c r="K17" i="3"/>
  <c r="K18" i="3"/>
  <c r="K19" i="3"/>
  <c r="K20" i="3"/>
  <c r="K21" i="3"/>
  <c r="K22" i="3"/>
  <c r="K23" i="3"/>
  <c r="K24" i="3"/>
  <c r="K25" i="3"/>
  <c r="K26" i="3"/>
  <c r="K27" i="3"/>
  <c r="K28" i="3"/>
  <c r="K29" i="3"/>
  <c r="K30" i="3"/>
  <c r="K31" i="3"/>
  <c r="K32" i="3"/>
  <c r="K33" i="3"/>
  <c r="K34" i="3"/>
  <c r="K35" i="3"/>
  <c r="K36" i="3"/>
  <c r="K37" i="3"/>
  <c r="K38" i="3"/>
  <c r="K39" i="3"/>
  <c r="K40" i="3"/>
  <c r="K41" i="3"/>
  <c r="K42" i="3"/>
  <c r="K43" i="3"/>
  <c r="K44" i="3"/>
  <c r="K45" i="3"/>
  <c r="K46" i="3"/>
  <c r="K47" i="3"/>
  <c r="K48" i="3"/>
  <c r="K49" i="3"/>
  <c r="K50" i="3"/>
  <c r="K51" i="3"/>
  <c r="K52" i="3"/>
  <c r="K53" i="3"/>
  <c r="K54" i="3"/>
  <c r="K55" i="3"/>
  <c r="K56" i="3"/>
  <c r="K57" i="3"/>
  <c r="K58" i="3"/>
  <c r="K59" i="3"/>
  <c r="K60" i="3"/>
  <c r="K61" i="3"/>
  <c r="K62" i="3"/>
  <c r="K63" i="3"/>
  <c r="K64" i="3"/>
  <c r="K65" i="3"/>
  <c r="K66" i="3"/>
  <c r="K67" i="3"/>
  <c r="K68" i="3"/>
  <c r="K69" i="3"/>
  <c r="K70" i="3"/>
  <c r="K71" i="3"/>
  <c r="K72" i="3"/>
  <c r="K73" i="3"/>
  <c r="K74" i="3"/>
  <c r="K75" i="3"/>
  <c r="K76" i="3"/>
  <c r="K77" i="3"/>
  <c r="K78" i="3"/>
  <c r="K79" i="3"/>
  <c r="K80" i="3"/>
  <c r="K81" i="3"/>
  <c r="K82" i="3"/>
  <c r="K83" i="3"/>
  <c r="K84" i="3"/>
  <c r="K85" i="3"/>
  <c r="K86" i="3"/>
  <c r="K87" i="3"/>
  <c r="K88" i="3"/>
  <c r="K89" i="3"/>
  <c r="K90" i="3"/>
  <c r="K91" i="3"/>
  <c r="K92" i="3"/>
  <c r="K93" i="3"/>
  <c r="K94" i="3"/>
  <c r="K95" i="3"/>
  <c r="K96" i="3"/>
  <c r="K97" i="3"/>
  <c r="K98" i="3"/>
  <c r="K99" i="3"/>
  <c r="K100" i="3"/>
  <c r="K101" i="3"/>
  <c r="K102" i="3"/>
  <c r="K103" i="3"/>
  <c r="K104" i="3"/>
  <c r="K105" i="3"/>
  <c r="K106" i="3"/>
  <c r="K107" i="3"/>
  <c r="K108" i="3"/>
  <c r="K109" i="3"/>
  <c r="K110" i="3"/>
  <c r="K111" i="3"/>
  <c r="K112" i="3"/>
  <c r="K113" i="3"/>
  <c r="K114" i="3"/>
  <c r="K115" i="3"/>
  <c r="K116" i="3"/>
  <c r="K117" i="3"/>
  <c r="K118" i="3"/>
  <c r="K119" i="3"/>
  <c r="K120" i="3"/>
  <c r="K121" i="3"/>
  <c r="K122" i="3"/>
  <c r="K123" i="3"/>
  <c r="K124" i="3"/>
  <c r="K125" i="3"/>
  <c r="K126" i="3"/>
  <c r="K127" i="3"/>
  <c r="K128" i="3"/>
  <c r="K129" i="3"/>
  <c r="K130" i="3"/>
  <c r="K131" i="3"/>
  <c r="K132" i="3"/>
  <c r="K133" i="3"/>
  <c r="K134" i="3"/>
  <c r="K135" i="3"/>
  <c r="K136" i="3"/>
  <c r="K137" i="3"/>
  <c r="K138" i="3"/>
  <c r="K139" i="3"/>
  <c r="K140" i="3"/>
  <c r="K141" i="3"/>
  <c r="K142" i="3"/>
  <c r="K143" i="3"/>
  <c r="K144" i="3"/>
  <c r="K145" i="3"/>
  <c r="K146" i="3"/>
  <c r="K147" i="3"/>
  <c r="K148" i="3"/>
  <c r="K149" i="3"/>
  <c r="K150" i="3"/>
  <c r="K151" i="3"/>
  <c r="K152" i="3"/>
  <c r="K153" i="3"/>
  <c r="K154" i="3"/>
  <c r="K155" i="3"/>
  <c r="K156" i="3"/>
  <c r="K157" i="3"/>
  <c r="K158" i="3"/>
  <c r="K159" i="3"/>
  <c r="K160" i="3"/>
  <c r="K161" i="3"/>
  <c r="K162" i="3"/>
  <c r="K163" i="3"/>
  <c r="K164" i="3"/>
  <c r="K165" i="3"/>
  <c r="K166" i="3"/>
  <c r="K167" i="3"/>
  <c r="K168" i="3"/>
  <c r="K169" i="3"/>
  <c r="K170" i="3"/>
  <c r="K171" i="3"/>
  <c r="K172" i="3"/>
  <c r="K173" i="3"/>
  <c r="K174" i="3"/>
  <c r="K175" i="3"/>
  <c r="K176" i="3"/>
  <c r="K177" i="3"/>
  <c r="K178" i="3"/>
  <c r="K179" i="3"/>
  <c r="K180" i="3"/>
  <c r="K181" i="3"/>
  <c r="K182" i="3"/>
  <c r="K183" i="3"/>
  <c r="K184" i="3"/>
  <c r="K185" i="3"/>
  <c r="K186" i="3"/>
  <c r="K187" i="3"/>
  <c r="K188" i="3"/>
  <c r="K189" i="3"/>
  <c r="K190" i="3"/>
  <c r="K191" i="3"/>
  <c r="K192" i="3"/>
  <c r="K193" i="3"/>
  <c r="K194" i="3"/>
  <c r="K195" i="3"/>
  <c r="K196" i="3"/>
  <c r="K197" i="3"/>
  <c r="K198" i="3"/>
  <c r="K199" i="3"/>
  <c r="K200" i="3"/>
  <c r="K201" i="3"/>
  <c r="K202" i="3"/>
  <c r="K203" i="3"/>
  <c r="K204" i="3"/>
  <c r="K205" i="3"/>
  <c r="K206" i="3"/>
  <c r="K207" i="3"/>
  <c r="K208" i="3"/>
  <c r="K209" i="3"/>
  <c r="K210" i="3"/>
  <c r="K211" i="3"/>
  <c r="K212" i="3"/>
  <c r="K213" i="3"/>
  <c r="K214" i="3"/>
  <c r="K215" i="3"/>
  <c r="K216" i="3"/>
  <c r="K217" i="3"/>
  <c r="K218" i="3"/>
  <c r="K219" i="3"/>
  <c r="K220" i="3"/>
  <c r="K221" i="3"/>
  <c r="K222" i="3"/>
  <c r="K223" i="3"/>
  <c r="K224" i="3"/>
  <c r="K225" i="3"/>
  <c r="K226" i="3"/>
  <c r="K227" i="3"/>
  <c r="K228" i="3"/>
  <c r="K229" i="3"/>
  <c r="K230" i="3"/>
  <c r="K231" i="3"/>
  <c r="K232" i="3"/>
  <c r="K233" i="3"/>
  <c r="K234" i="3"/>
  <c r="K235" i="3"/>
  <c r="K236" i="3"/>
  <c r="K237" i="3"/>
  <c r="K238" i="3"/>
  <c r="K239" i="3"/>
  <c r="K240" i="3"/>
  <c r="K241" i="3"/>
  <c r="K242" i="3"/>
  <c r="K243" i="3"/>
  <c r="K244" i="3"/>
  <c r="K245" i="3"/>
  <c r="K246" i="3"/>
  <c r="K247" i="3"/>
  <c r="K248" i="3"/>
  <c r="K249" i="3"/>
  <c r="K250" i="3"/>
  <c r="K251" i="3"/>
  <c r="K252" i="3"/>
  <c r="K253" i="3"/>
  <c r="K254" i="3"/>
  <c r="K255" i="3"/>
  <c r="K256" i="3"/>
  <c r="K257" i="3"/>
  <c r="K258" i="3"/>
  <c r="K259" i="3"/>
  <c r="K260" i="3"/>
  <c r="K261" i="3"/>
  <c r="K262" i="3"/>
  <c r="K263" i="3"/>
  <c r="K264" i="3"/>
  <c r="K265" i="3"/>
  <c r="K266" i="3"/>
  <c r="K267" i="3"/>
  <c r="K268" i="3"/>
  <c r="K269" i="3"/>
  <c r="K270" i="3"/>
  <c r="K271" i="3"/>
  <c r="K272" i="3"/>
  <c r="K273" i="3"/>
  <c r="K274" i="3"/>
  <c r="K275" i="3"/>
  <c r="K276" i="3"/>
  <c r="K277" i="3"/>
  <c r="K278" i="3"/>
  <c r="K279" i="3"/>
  <c r="K280" i="3"/>
  <c r="K281" i="3"/>
  <c r="K282" i="3"/>
  <c r="K283" i="3"/>
  <c r="K284" i="3"/>
  <c r="K285" i="3"/>
  <c r="K286" i="3"/>
  <c r="K287" i="3"/>
  <c r="K288" i="3"/>
  <c r="K289" i="3"/>
  <c r="K290" i="3"/>
  <c r="K291" i="3"/>
  <c r="K292" i="3"/>
  <c r="K293" i="3"/>
  <c r="K294" i="3"/>
  <c r="K295" i="3"/>
  <c r="K296" i="3"/>
  <c r="K297" i="3"/>
  <c r="K298" i="3"/>
  <c r="K299" i="3"/>
  <c r="K300" i="3"/>
  <c r="K301" i="3"/>
  <c r="K302" i="3"/>
  <c r="K303" i="3"/>
  <c r="K304" i="3"/>
  <c r="K305" i="3"/>
  <c r="K306" i="3"/>
  <c r="K307" i="3"/>
  <c r="K308" i="3"/>
  <c r="K309" i="3"/>
  <c r="K310" i="3"/>
  <c r="K311" i="3"/>
  <c r="K312" i="3"/>
  <c r="K313" i="3"/>
  <c r="K314" i="3"/>
  <c r="K315" i="3"/>
  <c r="K316" i="3"/>
  <c r="K317" i="3"/>
  <c r="K318" i="3"/>
  <c r="K319" i="3"/>
  <c r="K320" i="3"/>
  <c r="K321" i="3"/>
  <c r="K322" i="3"/>
  <c r="K323" i="3"/>
  <c r="K324" i="3"/>
  <c r="K325" i="3"/>
  <c r="K326" i="3"/>
  <c r="K327" i="3"/>
  <c r="K328" i="3"/>
  <c r="K329" i="3"/>
  <c r="K330" i="3"/>
  <c r="K331" i="3"/>
  <c r="K332" i="3"/>
  <c r="K333" i="3"/>
  <c r="K334" i="3"/>
  <c r="K335" i="3"/>
  <c r="K336" i="3"/>
  <c r="K337" i="3"/>
  <c r="K338" i="3"/>
  <c r="K339" i="3"/>
  <c r="K340" i="3"/>
  <c r="K341" i="3"/>
  <c r="K342" i="3"/>
  <c r="K343" i="3"/>
  <c r="K344" i="3"/>
  <c r="K345" i="3"/>
  <c r="K346" i="3"/>
  <c r="K347" i="3"/>
  <c r="K348" i="3"/>
  <c r="K349" i="3"/>
  <c r="K350" i="3"/>
  <c r="K351" i="3"/>
  <c r="K352" i="3"/>
  <c r="K353" i="3"/>
  <c r="K354" i="3"/>
  <c r="K355" i="3"/>
  <c r="K356" i="3"/>
  <c r="K357" i="3"/>
  <c r="K358" i="3"/>
  <c r="K359" i="3"/>
  <c r="K360" i="3"/>
  <c r="K361" i="3"/>
  <c r="K362" i="3"/>
  <c r="K363" i="3"/>
  <c r="K364" i="3"/>
  <c r="K365" i="3"/>
  <c r="K366" i="3"/>
  <c r="K367" i="3"/>
  <c r="K368" i="3"/>
  <c r="K369" i="3"/>
  <c r="K370" i="3"/>
  <c r="K371" i="3"/>
  <c r="K372" i="3"/>
  <c r="K373" i="3"/>
  <c r="K374" i="3"/>
  <c r="K375" i="3"/>
  <c r="K376" i="3"/>
  <c r="K377" i="3"/>
  <c r="K378" i="3"/>
  <c r="K379" i="3"/>
  <c r="K380" i="3"/>
  <c r="K381" i="3"/>
  <c r="K382" i="3"/>
  <c r="K383" i="3"/>
  <c r="K384" i="3"/>
  <c r="K385" i="3"/>
  <c r="K386" i="3"/>
  <c r="K387" i="3"/>
  <c r="K388" i="3"/>
  <c r="K389" i="3"/>
  <c r="K390" i="3"/>
  <c r="K391" i="3"/>
  <c r="K392" i="3"/>
  <c r="K393" i="3"/>
  <c r="K394" i="3"/>
  <c r="K395" i="3"/>
  <c r="K396" i="3"/>
  <c r="K397" i="3"/>
  <c r="K398" i="3"/>
  <c r="K399" i="3"/>
  <c r="K400" i="3"/>
  <c r="K401" i="3"/>
  <c r="K402" i="3"/>
  <c r="K403" i="3"/>
  <c r="K404" i="3"/>
  <c r="K405" i="3"/>
  <c r="K406" i="3"/>
  <c r="K407" i="3"/>
  <c r="K408" i="3"/>
  <c r="K409" i="3"/>
  <c r="K410" i="3"/>
  <c r="K411" i="3"/>
  <c r="K412" i="3"/>
  <c r="K413" i="3"/>
  <c r="K414" i="3"/>
  <c r="K415" i="3"/>
  <c r="K416" i="3"/>
  <c r="K417" i="3"/>
  <c r="K418" i="3"/>
  <c r="K419" i="3"/>
  <c r="K420" i="3"/>
  <c r="K421" i="3"/>
  <c r="K422" i="3"/>
  <c r="K423" i="3"/>
  <c r="K424" i="3"/>
  <c r="K425" i="3"/>
  <c r="K426" i="3"/>
  <c r="K427" i="3"/>
  <c r="K428" i="3"/>
  <c r="K429" i="3"/>
  <c r="K430" i="3"/>
  <c r="K431" i="3"/>
  <c r="K432" i="3"/>
  <c r="K433" i="3"/>
  <c r="K434" i="3"/>
  <c r="K435" i="3"/>
  <c r="K436" i="3"/>
  <c r="K437" i="3"/>
  <c r="K438" i="3"/>
  <c r="K439" i="3"/>
  <c r="K440" i="3"/>
  <c r="K441" i="3"/>
  <c r="K442" i="3"/>
  <c r="K443" i="3"/>
  <c r="K444" i="3"/>
  <c r="K445" i="3"/>
  <c r="K446" i="3"/>
  <c r="K447" i="3"/>
  <c r="K448" i="3"/>
  <c r="K449" i="3"/>
  <c r="K450" i="3"/>
  <c r="K451" i="3"/>
  <c r="K452" i="3"/>
  <c r="K453" i="3"/>
  <c r="K454" i="3"/>
  <c r="K455" i="3"/>
  <c r="K456" i="3"/>
  <c r="K457" i="3"/>
  <c r="K458" i="3"/>
  <c r="K459" i="3"/>
  <c r="K460" i="3"/>
  <c r="K461" i="3"/>
  <c r="K462" i="3"/>
  <c r="K463" i="3"/>
  <c r="K464" i="3"/>
  <c r="K465" i="3"/>
  <c r="K466" i="3"/>
  <c r="K467" i="3"/>
  <c r="K468" i="3"/>
  <c r="K469" i="3"/>
  <c r="K470" i="3"/>
  <c r="K471" i="3"/>
  <c r="K472" i="3"/>
  <c r="K473" i="3"/>
  <c r="K474" i="3"/>
  <c r="K475" i="3"/>
  <c r="K476" i="3"/>
  <c r="K477" i="3"/>
  <c r="K478" i="3"/>
  <c r="K479" i="3"/>
  <c r="K480" i="3"/>
  <c r="K481" i="3"/>
  <c r="K482" i="3"/>
  <c r="K483" i="3"/>
  <c r="K484" i="3"/>
  <c r="K485" i="3"/>
  <c r="K486" i="3"/>
  <c r="K487" i="3"/>
  <c r="K488" i="3"/>
  <c r="K489" i="3"/>
  <c r="K490" i="3"/>
  <c r="K491" i="3"/>
  <c r="K492" i="3"/>
  <c r="K493" i="3"/>
  <c r="K494" i="3"/>
  <c r="K495" i="3"/>
  <c r="K496" i="3"/>
  <c r="K497" i="3"/>
  <c r="K498" i="3"/>
  <c r="K499" i="3"/>
  <c r="K500" i="3"/>
  <c r="K501" i="3"/>
  <c r="K502" i="3"/>
  <c r="K503" i="3"/>
  <c r="K504" i="3"/>
  <c r="K505" i="3"/>
  <c r="K506" i="3"/>
  <c r="K507" i="3"/>
  <c r="K508" i="3"/>
  <c r="K509" i="3"/>
  <c r="K510" i="3"/>
  <c r="K511" i="3"/>
  <c r="K512" i="3"/>
  <c r="K513" i="3"/>
  <c r="K514" i="3"/>
  <c r="K515" i="3"/>
  <c r="K516" i="3"/>
  <c r="K517" i="3"/>
  <c r="K518" i="3"/>
  <c r="K519" i="3"/>
  <c r="K520" i="3"/>
  <c r="K521" i="3"/>
  <c r="K522" i="3"/>
  <c r="K523" i="3"/>
  <c r="K524" i="3"/>
  <c r="K525" i="3"/>
  <c r="K526" i="3"/>
  <c r="K527" i="3"/>
  <c r="K528" i="3"/>
  <c r="K529" i="3"/>
  <c r="K530" i="3"/>
  <c r="K531" i="3"/>
  <c r="K532" i="3"/>
  <c r="K533" i="3"/>
  <c r="K534" i="3"/>
  <c r="K535" i="3"/>
  <c r="K536" i="3"/>
  <c r="K537" i="3"/>
  <c r="K538" i="3"/>
  <c r="K539" i="3"/>
  <c r="K540" i="3"/>
  <c r="K541" i="3"/>
  <c r="K542" i="3"/>
  <c r="K543" i="3"/>
  <c r="K544" i="3"/>
  <c r="K545" i="3"/>
  <c r="K546" i="3"/>
  <c r="K547" i="3"/>
  <c r="K548" i="3"/>
  <c r="K549" i="3"/>
  <c r="K550" i="3"/>
  <c r="K551" i="3"/>
  <c r="K552" i="3"/>
  <c r="K553" i="3"/>
  <c r="K554" i="3"/>
  <c r="K555" i="3"/>
  <c r="K556" i="3"/>
  <c r="K557" i="3"/>
  <c r="K558" i="3"/>
  <c r="K559" i="3"/>
  <c r="K560" i="3"/>
  <c r="K561" i="3"/>
  <c r="K562" i="3"/>
  <c r="K563" i="3"/>
  <c r="K564" i="3"/>
  <c r="K565" i="3"/>
  <c r="K566" i="3"/>
  <c r="K567" i="3"/>
  <c r="K568" i="3"/>
  <c r="K569" i="3"/>
  <c r="K570" i="3"/>
  <c r="K571" i="3"/>
  <c r="K572" i="3"/>
  <c r="K573" i="3"/>
  <c r="K574" i="3"/>
  <c r="K575" i="3"/>
  <c r="K576" i="3"/>
  <c r="K577" i="3"/>
  <c r="K578" i="3"/>
  <c r="K579" i="3"/>
  <c r="K580" i="3"/>
  <c r="K581" i="3"/>
  <c r="K582" i="3"/>
  <c r="K583" i="3"/>
  <c r="K584" i="3"/>
  <c r="K585" i="3"/>
  <c r="K586" i="3"/>
  <c r="K587" i="3"/>
  <c r="K588" i="3"/>
  <c r="K589" i="3"/>
  <c r="K590" i="3"/>
  <c r="K591" i="3"/>
  <c r="K592" i="3"/>
  <c r="K593" i="3"/>
  <c r="K594" i="3"/>
  <c r="K595" i="3"/>
  <c r="K596" i="3"/>
  <c r="K597" i="3"/>
  <c r="K598" i="3"/>
  <c r="K599" i="3"/>
  <c r="K600" i="3"/>
  <c r="K601" i="3"/>
  <c r="K602" i="3"/>
  <c r="K603" i="3"/>
  <c r="K604" i="3"/>
  <c r="K605" i="3"/>
  <c r="K606" i="3"/>
  <c r="K607" i="3"/>
  <c r="K608" i="3"/>
  <c r="K609" i="3"/>
  <c r="K610" i="3"/>
  <c r="K611" i="3"/>
  <c r="K612" i="3"/>
  <c r="K613" i="3"/>
  <c r="K614" i="3"/>
  <c r="K615" i="3"/>
  <c r="K616" i="3"/>
  <c r="K617" i="3"/>
  <c r="K618" i="3"/>
  <c r="K619" i="3"/>
  <c r="K620" i="3"/>
  <c r="K621" i="3"/>
  <c r="K622" i="3"/>
  <c r="K623" i="3"/>
  <c r="K624" i="3"/>
  <c r="K625" i="3"/>
  <c r="K626" i="3"/>
  <c r="K627" i="3"/>
  <c r="K628" i="3"/>
  <c r="K629" i="3"/>
  <c r="K630" i="3"/>
  <c r="K631" i="3"/>
  <c r="K632" i="3"/>
  <c r="K633" i="3"/>
  <c r="K634" i="3"/>
  <c r="K635" i="3"/>
  <c r="K636" i="3"/>
  <c r="K637" i="3"/>
  <c r="K638" i="3"/>
  <c r="K639" i="3"/>
  <c r="K640" i="3"/>
  <c r="K641" i="3"/>
  <c r="K642" i="3"/>
  <c r="K643" i="3"/>
  <c r="K644" i="3"/>
  <c r="K645" i="3"/>
  <c r="K646" i="3"/>
  <c r="K647" i="3"/>
  <c r="K648" i="3"/>
  <c r="K649" i="3"/>
  <c r="K650" i="3"/>
  <c r="K651" i="3"/>
  <c r="K652" i="3"/>
  <c r="K653" i="3"/>
  <c r="K654" i="3"/>
  <c r="K655" i="3"/>
  <c r="K656" i="3"/>
  <c r="K657" i="3"/>
  <c r="K658" i="3"/>
  <c r="K659" i="3"/>
  <c r="K660" i="3"/>
  <c r="K661" i="3"/>
  <c r="K662" i="3"/>
  <c r="K663" i="3"/>
  <c r="K664" i="3"/>
  <c r="K665" i="3"/>
  <c r="K666" i="3"/>
  <c r="K667" i="3"/>
  <c r="K668" i="3"/>
  <c r="K669" i="3"/>
  <c r="K670" i="3"/>
  <c r="K671" i="3"/>
  <c r="K672" i="3"/>
  <c r="K673" i="3"/>
  <c r="K674" i="3"/>
  <c r="K675" i="3"/>
  <c r="K676" i="3"/>
  <c r="K677" i="3"/>
  <c r="K678" i="3"/>
  <c r="K679" i="3"/>
  <c r="K680" i="3"/>
  <c r="K681" i="3"/>
  <c r="K682" i="3"/>
  <c r="K683" i="3"/>
  <c r="K684" i="3"/>
  <c r="K685" i="3"/>
  <c r="K686" i="3"/>
  <c r="K687" i="3"/>
  <c r="K688" i="3"/>
  <c r="K689" i="3"/>
  <c r="K690" i="3"/>
  <c r="K691" i="3"/>
  <c r="K692" i="3"/>
  <c r="K693" i="3"/>
  <c r="K694" i="3"/>
  <c r="K695" i="3"/>
  <c r="K696" i="3"/>
  <c r="K697" i="3"/>
  <c r="K698" i="3"/>
  <c r="K699" i="3"/>
  <c r="K700" i="3"/>
  <c r="K701" i="3"/>
  <c r="K702" i="3"/>
  <c r="K703" i="3"/>
  <c r="K704" i="3"/>
  <c r="K705" i="3"/>
  <c r="K706" i="3"/>
  <c r="K707" i="3"/>
  <c r="K708" i="3"/>
  <c r="K709" i="3"/>
  <c r="K710" i="3"/>
  <c r="K711" i="3"/>
  <c r="K712" i="3"/>
  <c r="K713" i="3"/>
  <c r="K714" i="3"/>
  <c r="K715" i="3"/>
  <c r="K716" i="3"/>
  <c r="K717" i="3"/>
  <c r="K718" i="3"/>
  <c r="K719" i="3"/>
  <c r="K720" i="3"/>
  <c r="K721" i="3"/>
  <c r="K722" i="3"/>
  <c r="K723" i="3"/>
  <c r="K724" i="3"/>
  <c r="K725" i="3"/>
  <c r="K726" i="3"/>
  <c r="K727" i="3"/>
  <c r="K728" i="3"/>
  <c r="K729" i="3"/>
  <c r="K730" i="3"/>
  <c r="K731" i="3"/>
  <c r="K732" i="3"/>
  <c r="K733" i="3"/>
  <c r="K734" i="3"/>
  <c r="K735" i="3"/>
  <c r="K736" i="3"/>
  <c r="K737" i="3"/>
  <c r="K738" i="3"/>
  <c r="K739" i="3"/>
  <c r="K740" i="3"/>
  <c r="K741" i="3"/>
  <c r="K742" i="3"/>
  <c r="K743" i="3"/>
  <c r="K744" i="3"/>
  <c r="K745" i="3"/>
  <c r="K746" i="3"/>
  <c r="K747" i="3"/>
  <c r="K748" i="3"/>
  <c r="K749" i="3"/>
  <c r="K750" i="3"/>
  <c r="K751" i="3"/>
  <c r="K752" i="3"/>
  <c r="K753" i="3"/>
  <c r="K754" i="3"/>
  <c r="K755" i="3"/>
  <c r="K756" i="3"/>
  <c r="K757" i="3"/>
  <c r="K758" i="3"/>
  <c r="K759" i="3"/>
  <c r="K760" i="3"/>
  <c r="K761" i="3"/>
  <c r="K762" i="3"/>
  <c r="K763" i="3"/>
  <c r="K764" i="3"/>
  <c r="K765" i="3"/>
  <c r="K766" i="3"/>
  <c r="K767" i="3"/>
  <c r="K768" i="3"/>
  <c r="K769" i="3"/>
  <c r="K770" i="3"/>
  <c r="K771" i="3"/>
  <c r="K772" i="3"/>
  <c r="K773" i="3"/>
  <c r="K774" i="3"/>
  <c r="K775" i="3"/>
  <c r="K776" i="3"/>
  <c r="K777" i="3"/>
  <c r="K778" i="3"/>
  <c r="K779" i="3"/>
  <c r="K780" i="3"/>
  <c r="K781" i="3"/>
  <c r="K782" i="3"/>
  <c r="K783" i="3"/>
  <c r="K784" i="3"/>
  <c r="K785" i="3"/>
  <c r="K786" i="3"/>
  <c r="K787" i="3"/>
  <c r="K788" i="3"/>
  <c r="K789" i="3"/>
  <c r="K790" i="3"/>
  <c r="K791" i="3"/>
  <c r="K792" i="3"/>
  <c r="K793" i="3"/>
  <c r="K794" i="3"/>
  <c r="K795" i="3"/>
  <c r="K796" i="3"/>
  <c r="K797" i="3"/>
  <c r="K798" i="3"/>
  <c r="K799" i="3"/>
  <c r="K800" i="3"/>
  <c r="K801" i="3"/>
  <c r="J2" i="3"/>
  <c r="J3" i="3"/>
  <c r="J4" i="3"/>
  <c r="J5" i="3"/>
  <c r="J6" i="3"/>
  <c r="J7" i="3"/>
  <c r="J8" i="3"/>
  <c r="J9" i="3"/>
  <c r="J10" i="3"/>
  <c r="J11" i="3"/>
  <c r="J12" i="3"/>
  <c r="J13" i="3"/>
  <c r="J14" i="3"/>
  <c r="J15" i="3"/>
  <c r="J16" i="3"/>
  <c r="J17" i="3"/>
  <c r="J18" i="3"/>
  <c r="J19" i="3"/>
  <c r="J20" i="3"/>
  <c r="J21" i="3"/>
  <c r="J22" i="3"/>
  <c r="J23" i="3"/>
  <c r="J24" i="3"/>
  <c r="J25" i="3"/>
  <c r="J26" i="3"/>
  <c r="J27" i="3"/>
  <c r="J28" i="3"/>
  <c r="J29" i="3"/>
  <c r="J30" i="3"/>
  <c r="J31" i="3"/>
  <c r="J32" i="3"/>
  <c r="J33" i="3"/>
  <c r="J34" i="3"/>
  <c r="J35" i="3"/>
  <c r="J36" i="3"/>
  <c r="J37" i="3"/>
  <c r="J38" i="3"/>
  <c r="J39" i="3"/>
  <c r="J40" i="3"/>
  <c r="J41" i="3"/>
  <c r="J42" i="3"/>
  <c r="J43" i="3"/>
  <c r="J44" i="3"/>
  <c r="J45" i="3"/>
  <c r="J46" i="3"/>
  <c r="J47" i="3"/>
  <c r="J48" i="3"/>
  <c r="J49" i="3"/>
  <c r="J50" i="3"/>
  <c r="J51" i="3"/>
  <c r="J52" i="3"/>
  <c r="J53" i="3"/>
  <c r="J54" i="3"/>
  <c r="J55" i="3"/>
  <c r="J56" i="3"/>
  <c r="J57" i="3"/>
  <c r="J58" i="3"/>
  <c r="J59" i="3"/>
  <c r="J60" i="3"/>
  <c r="J61" i="3"/>
  <c r="J62" i="3"/>
  <c r="J63" i="3"/>
  <c r="J64" i="3"/>
  <c r="J65" i="3"/>
  <c r="J66" i="3"/>
  <c r="J67" i="3"/>
  <c r="J68" i="3"/>
  <c r="J69" i="3"/>
  <c r="J70" i="3"/>
  <c r="J71" i="3"/>
  <c r="J72" i="3"/>
  <c r="J73" i="3"/>
  <c r="J74" i="3"/>
  <c r="J75" i="3"/>
  <c r="J76" i="3"/>
  <c r="J77" i="3"/>
  <c r="J78" i="3"/>
  <c r="J79" i="3"/>
  <c r="J80" i="3"/>
  <c r="J81" i="3"/>
  <c r="J82" i="3"/>
  <c r="J83" i="3"/>
  <c r="J84" i="3"/>
  <c r="J85" i="3"/>
  <c r="J86" i="3"/>
  <c r="J87" i="3"/>
  <c r="J88" i="3"/>
  <c r="J89" i="3"/>
  <c r="J90" i="3"/>
  <c r="J91" i="3"/>
  <c r="J92" i="3"/>
  <c r="J93" i="3"/>
  <c r="J94" i="3"/>
  <c r="J95" i="3"/>
  <c r="J96" i="3"/>
  <c r="J97" i="3"/>
  <c r="J98" i="3"/>
  <c r="J99" i="3"/>
  <c r="J100" i="3"/>
  <c r="J101" i="3"/>
  <c r="J102" i="3"/>
  <c r="J103" i="3"/>
  <c r="J104" i="3"/>
  <c r="J105" i="3"/>
  <c r="J106" i="3"/>
  <c r="J107" i="3"/>
  <c r="J108" i="3"/>
  <c r="J109" i="3"/>
  <c r="J110" i="3"/>
  <c r="J111" i="3"/>
  <c r="J112" i="3"/>
  <c r="J113" i="3"/>
  <c r="J114" i="3"/>
  <c r="J115" i="3"/>
  <c r="J116" i="3"/>
  <c r="J117" i="3"/>
  <c r="J118" i="3"/>
  <c r="J119" i="3"/>
  <c r="J120" i="3"/>
  <c r="J121" i="3"/>
  <c r="J122" i="3"/>
  <c r="J123" i="3"/>
  <c r="J124" i="3"/>
  <c r="J125" i="3"/>
  <c r="J126" i="3"/>
  <c r="J127" i="3"/>
  <c r="J128" i="3"/>
  <c r="J129" i="3"/>
  <c r="J130" i="3"/>
  <c r="J131" i="3"/>
  <c r="J132" i="3"/>
  <c r="J133" i="3"/>
  <c r="J134" i="3"/>
  <c r="J135" i="3"/>
  <c r="J136" i="3"/>
  <c r="J137" i="3"/>
  <c r="J138" i="3"/>
  <c r="J139" i="3"/>
  <c r="J140" i="3"/>
  <c r="J141" i="3"/>
  <c r="J142" i="3"/>
  <c r="J143" i="3"/>
  <c r="J144" i="3"/>
  <c r="J145" i="3"/>
  <c r="J146" i="3"/>
  <c r="J147" i="3"/>
  <c r="J148" i="3"/>
  <c r="J149" i="3"/>
  <c r="J150" i="3"/>
  <c r="J151" i="3"/>
  <c r="J152" i="3"/>
  <c r="J153" i="3"/>
  <c r="J154" i="3"/>
  <c r="J155" i="3"/>
  <c r="J156" i="3"/>
  <c r="J157" i="3"/>
  <c r="J158" i="3"/>
  <c r="J159" i="3"/>
  <c r="J160" i="3"/>
  <c r="J161" i="3"/>
  <c r="J162" i="3"/>
  <c r="J163" i="3"/>
  <c r="J164" i="3"/>
  <c r="J165" i="3"/>
  <c r="J166" i="3"/>
  <c r="J167" i="3"/>
  <c r="J168" i="3"/>
  <c r="J169" i="3"/>
  <c r="J170" i="3"/>
  <c r="J171" i="3"/>
  <c r="J172" i="3"/>
  <c r="J173" i="3"/>
  <c r="J174" i="3"/>
  <c r="J175" i="3"/>
  <c r="J176" i="3"/>
  <c r="J177" i="3"/>
  <c r="J178" i="3"/>
  <c r="J179" i="3"/>
  <c r="J180" i="3"/>
  <c r="J181" i="3"/>
  <c r="J182" i="3"/>
  <c r="J183" i="3"/>
  <c r="J184" i="3"/>
  <c r="J185" i="3"/>
  <c r="J186" i="3"/>
  <c r="J187" i="3"/>
  <c r="J188" i="3"/>
  <c r="J189" i="3"/>
  <c r="J190" i="3"/>
  <c r="J191" i="3"/>
  <c r="J192" i="3"/>
  <c r="J193" i="3"/>
  <c r="J194" i="3"/>
  <c r="J195" i="3"/>
  <c r="J196" i="3"/>
  <c r="J197" i="3"/>
  <c r="J198" i="3"/>
  <c r="J199" i="3"/>
  <c r="J200" i="3"/>
  <c r="J201" i="3"/>
  <c r="J202" i="3"/>
  <c r="J203" i="3"/>
  <c r="J204" i="3"/>
  <c r="J205" i="3"/>
  <c r="J206" i="3"/>
  <c r="J207" i="3"/>
  <c r="J208" i="3"/>
  <c r="J209" i="3"/>
  <c r="J210" i="3"/>
  <c r="J211" i="3"/>
  <c r="J212" i="3"/>
  <c r="J213" i="3"/>
  <c r="J214" i="3"/>
  <c r="J215" i="3"/>
  <c r="J216" i="3"/>
  <c r="J217" i="3"/>
  <c r="J218" i="3"/>
  <c r="J219" i="3"/>
  <c r="J220" i="3"/>
  <c r="J221" i="3"/>
  <c r="J222" i="3"/>
  <c r="J223" i="3"/>
  <c r="J224" i="3"/>
  <c r="J225" i="3"/>
  <c r="J226" i="3"/>
  <c r="J227" i="3"/>
  <c r="J228" i="3"/>
  <c r="J229" i="3"/>
  <c r="J230" i="3"/>
  <c r="J231" i="3"/>
  <c r="J232" i="3"/>
  <c r="J233" i="3"/>
  <c r="J234" i="3"/>
  <c r="J235" i="3"/>
  <c r="J236" i="3"/>
  <c r="J237" i="3"/>
  <c r="J238" i="3"/>
  <c r="J239" i="3"/>
  <c r="J240" i="3"/>
  <c r="J241" i="3"/>
  <c r="J242" i="3"/>
  <c r="J243" i="3"/>
  <c r="J244" i="3"/>
  <c r="J245" i="3"/>
  <c r="J246" i="3"/>
  <c r="J247" i="3"/>
  <c r="J248" i="3"/>
  <c r="J249" i="3"/>
  <c r="J250" i="3"/>
  <c r="J251" i="3"/>
  <c r="J252" i="3"/>
  <c r="J253" i="3"/>
  <c r="J254" i="3"/>
  <c r="J255" i="3"/>
  <c r="J256" i="3"/>
  <c r="J257" i="3"/>
  <c r="J258" i="3"/>
  <c r="J259" i="3"/>
  <c r="J260" i="3"/>
  <c r="J261" i="3"/>
  <c r="J262" i="3"/>
  <c r="J263" i="3"/>
  <c r="J264" i="3"/>
  <c r="J265" i="3"/>
  <c r="J266" i="3"/>
  <c r="J267" i="3"/>
  <c r="J268" i="3"/>
  <c r="J269" i="3"/>
  <c r="J270" i="3"/>
  <c r="J271" i="3"/>
  <c r="J272" i="3"/>
  <c r="J273" i="3"/>
  <c r="J274" i="3"/>
  <c r="J275" i="3"/>
  <c r="J276" i="3"/>
  <c r="J277" i="3"/>
  <c r="J278" i="3"/>
  <c r="J279" i="3"/>
  <c r="J280" i="3"/>
  <c r="J281" i="3"/>
  <c r="J282" i="3"/>
  <c r="J283" i="3"/>
  <c r="J284" i="3"/>
  <c r="J285" i="3"/>
  <c r="J286" i="3"/>
  <c r="J287" i="3"/>
  <c r="J288" i="3"/>
  <c r="J289" i="3"/>
  <c r="J290" i="3"/>
  <c r="J291" i="3"/>
  <c r="J292" i="3"/>
  <c r="J293" i="3"/>
  <c r="J294" i="3"/>
  <c r="J295" i="3"/>
  <c r="J296" i="3"/>
  <c r="J297" i="3"/>
  <c r="J298" i="3"/>
  <c r="J299" i="3"/>
  <c r="J300" i="3"/>
  <c r="J301" i="3"/>
  <c r="J302" i="3"/>
  <c r="J303" i="3"/>
  <c r="J304" i="3"/>
  <c r="J305" i="3"/>
  <c r="J306" i="3"/>
  <c r="J307" i="3"/>
  <c r="J308" i="3"/>
  <c r="J309" i="3"/>
  <c r="J310" i="3"/>
  <c r="J311" i="3"/>
  <c r="J312" i="3"/>
  <c r="J313" i="3"/>
  <c r="J314" i="3"/>
  <c r="J315" i="3"/>
  <c r="J316" i="3"/>
  <c r="J317" i="3"/>
  <c r="J318" i="3"/>
  <c r="J319" i="3"/>
  <c r="J320" i="3"/>
  <c r="J321" i="3"/>
  <c r="J322" i="3"/>
  <c r="J323" i="3"/>
  <c r="J324" i="3"/>
  <c r="J325" i="3"/>
  <c r="J326" i="3"/>
  <c r="J327" i="3"/>
  <c r="J328" i="3"/>
  <c r="J329" i="3"/>
  <c r="J330" i="3"/>
  <c r="J331" i="3"/>
  <c r="J332" i="3"/>
  <c r="J333" i="3"/>
  <c r="J334" i="3"/>
  <c r="J335" i="3"/>
  <c r="J336" i="3"/>
  <c r="J337" i="3"/>
  <c r="J338" i="3"/>
  <c r="J339" i="3"/>
  <c r="J340" i="3"/>
  <c r="J341" i="3"/>
  <c r="J342" i="3"/>
  <c r="J343" i="3"/>
  <c r="J344" i="3"/>
  <c r="J345" i="3"/>
  <c r="J346" i="3"/>
  <c r="J347" i="3"/>
  <c r="J348" i="3"/>
  <c r="J349" i="3"/>
  <c r="J350" i="3"/>
  <c r="J351" i="3"/>
  <c r="J352" i="3"/>
  <c r="J353" i="3"/>
  <c r="J354" i="3"/>
  <c r="J355" i="3"/>
  <c r="J356" i="3"/>
  <c r="J357" i="3"/>
  <c r="J358" i="3"/>
  <c r="J359" i="3"/>
  <c r="J360" i="3"/>
  <c r="J361" i="3"/>
  <c r="J362" i="3"/>
  <c r="J363" i="3"/>
  <c r="J364" i="3"/>
  <c r="J365" i="3"/>
  <c r="J366" i="3"/>
  <c r="J367" i="3"/>
  <c r="J368" i="3"/>
  <c r="J369" i="3"/>
  <c r="J370" i="3"/>
  <c r="J371" i="3"/>
  <c r="J372" i="3"/>
  <c r="J373" i="3"/>
  <c r="J374" i="3"/>
  <c r="J375" i="3"/>
  <c r="J376" i="3"/>
  <c r="J377" i="3"/>
  <c r="J378" i="3"/>
  <c r="J379" i="3"/>
  <c r="J380" i="3"/>
  <c r="J381" i="3"/>
  <c r="J382" i="3"/>
  <c r="J383" i="3"/>
  <c r="J384" i="3"/>
  <c r="J385" i="3"/>
  <c r="J386" i="3"/>
  <c r="J387" i="3"/>
  <c r="J388" i="3"/>
  <c r="J389" i="3"/>
  <c r="J390" i="3"/>
  <c r="J391" i="3"/>
  <c r="J392" i="3"/>
  <c r="J393" i="3"/>
  <c r="J394" i="3"/>
  <c r="J395" i="3"/>
  <c r="J396" i="3"/>
  <c r="J397" i="3"/>
  <c r="J398" i="3"/>
  <c r="J399" i="3"/>
  <c r="J400" i="3"/>
  <c r="J401" i="3"/>
  <c r="J402" i="3"/>
  <c r="J403" i="3"/>
  <c r="J404" i="3"/>
  <c r="J405" i="3"/>
  <c r="J406" i="3"/>
  <c r="J407" i="3"/>
  <c r="J408" i="3"/>
  <c r="J409" i="3"/>
  <c r="J410" i="3"/>
  <c r="J411" i="3"/>
  <c r="J412" i="3"/>
  <c r="J413" i="3"/>
  <c r="J414" i="3"/>
  <c r="J415" i="3"/>
  <c r="J416" i="3"/>
  <c r="J417" i="3"/>
  <c r="J418" i="3"/>
  <c r="J419" i="3"/>
  <c r="J420" i="3"/>
  <c r="J421" i="3"/>
  <c r="J422" i="3"/>
  <c r="J423" i="3"/>
  <c r="J424" i="3"/>
  <c r="J425" i="3"/>
  <c r="J426" i="3"/>
  <c r="J427" i="3"/>
  <c r="J428" i="3"/>
  <c r="J429" i="3"/>
  <c r="J430" i="3"/>
  <c r="J431" i="3"/>
  <c r="J432" i="3"/>
  <c r="J433" i="3"/>
  <c r="J434" i="3"/>
  <c r="J435" i="3"/>
  <c r="J436" i="3"/>
  <c r="J437" i="3"/>
  <c r="J438" i="3"/>
  <c r="J439" i="3"/>
  <c r="J440" i="3"/>
  <c r="J441" i="3"/>
  <c r="J442" i="3"/>
  <c r="J443" i="3"/>
  <c r="J444" i="3"/>
  <c r="J445" i="3"/>
  <c r="J446" i="3"/>
  <c r="J447" i="3"/>
  <c r="J448" i="3"/>
  <c r="J449" i="3"/>
  <c r="J450" i="3"/>
  <c r="J451" i="3"/>
  <c r="J452" i="3"/>
  <c r="J453" i="3"/>
  <c r="J454" i="3"/>
  <c r="J455" i="3"/>
  <c r="J456" i="3"/>
  <c r="J457" i="3"/>
  <c r="J458" i="3"/>
  <c r="J459" i="3"/>
  <c r="J460" i="3"/>
  <c r="J461" i="3"/>
  <c r="J462" i="3"/>
  <c r="J463" i="3"/>
  <c r="J464" i="3"/>
  <c r="J465" i="3"/>
  <c r="J466" i="3"/>
  <c r="J467" i="3"/>
  <c r="J468" i="3"/>
  <c r="J469" i="3"/>
  <c r="J470" i="3"/>
  <c r="J471" i="3"/>
  <c r="J472" i="3"/>
  <c r="J473" i="3"/>
  <c r="J474" i="3"/>
  <c r="J475" i="3"/>
  <c r="J476" i="3"/>
  <c r="J477" i="3"/>
  <c r="J478" i="3"/>
  <c r="J479" i="3"/>
  <c r="J480" i="3"/>
  <c r="J481" i="3"/>
  <c r="J482" i="3"/>
  <c r="J483" i="3"/>
  <c r="J484" i="3"/>
  <c r="J485" i="3"/>
  <c r="J486" i="3"/>
  <c r="J487" i="3"/>
  <c r="J488" i="3"/>
  <c r="J489" i="3"/>
  <c r="J490" i="3"/>
  <c r="J491" i="3"/>
  <c r="J492" i="3"/>
  <c r="J493" i="3"/>
  <c r="J494" i="3"/>
  <c r="J495" i="3"/>
  <c r="J496" i="3"/>
  <c r="J497" i="3"/>
  <c r="J498" i="3"/>
  <c r="J499" i="3"/>
  <c r="J500" i="3"/>
  <c r="J501" i="3"/>
  <c r="J502" i="3"/>
  <c r="J503" i="3"/>
  <c r="J504" i="3"/>
  <c r="J505" i="3"/>
  <c r="J506" i="3"/>
  <c r="J507" i="3"/>
  <c r="J508" i="3"/>
  <c r="J509" i="3"/>
  <c r="J510" i="3"/>
  <c r="J511" i="3"/>
  <c r="J512" i="3"/>
  <c r="J513" i="3"/>
  <c r="J514" i="3"/>
  <c r="J515" i="3"/>
  <c r="J516" i="3"/>
  <c r="J517" i="3"/>
  <c r="J518" i="3"/>
  <c r="J519" i="3"/>
  <c r="J520" i="3"/>
  <c r="J521" i="3"/>
  <c r="J522" i="3"/>
  <c r="J523" i="3"/>
  <c r="J524" i="3"/>
  <c r="J525" i="3"/>
  <c r="J526" i="3"/>
  <c r="J527" i="3"/>
  <c r="J528" i="3"/>
  <c r="J529" i="3"/>
  <c r="J530" i="3"/>
  <c r="J531" i="3"/>
  <c r="J532" i="3"/>
  <c r="J533" i="3"/>
  <c r="J534" i="3"/>
  <c r="J535" i="3"/>
  <c r="J536" i="3"/>
  <c r="J537" i="3"/>
  <c r="J538" i="3"/>
  <c r="J539" i="3"/>
  <c r="J540" i="3"/>
  <c r="J541" i="3"/>
  <c r="J542" i="3"/>
  <c r="J543" i="3"/>
  <c r="J544" i="3"/>
  <c r="J545" i="3"/>
  <c r="J546" i="3"/>
  <c r="J547" i="3"/>
  <c r="J548" i="3"/>
  <c r="J549" i="3"/>
  <c r="J550" i="3"/>
  <c r="J551" i="3"/>
  <c r="J552" i="3"/>
  <c r="J553" i="3"/>
  <c r="J554" i="3"/>
  <c r="J555" i="3"/>
  <c r="J556" i="3"/>
  <c r="J557" i="3"/>
  <c r="J558" i="3"/>
  <c r="J559" i="3"/>
  <c r="J560" i="3"/>
  <c r="J561" i="3"/>
  <c r="J562" i="3"/>
  <c r="J563" i="3"/>
  <c r="J564" i="3"/>
  <c r="J565" i="3"/>
  <c r="J566" i="3"/>
  <c r="J567" i="3"/>
  <c r="J568" i="3"/>
  <c r="J569" i="3"/>
  <c r="J570" i="3"/>
  <c r="J571" i="3"/>
  <c r="J572" i="3"/>
  <c r="J573" i="3"/>
  <c r="J574" i="3"/>
  <c r="J575" i="3"/>
  <c r="J576" i="3"/>
  <c r="J577" i="3"/>
  <c r="J578" i="3"/>
  <c r="J579" i="3"/>
  <c r="J580" i="3"/>
  <c r="J581" i="3"/>
  <c r="J582" i="3"/>
  <c r="J583" i="3"/>
  <c r="J584" i="3"/>
  <c r="J585" i="3"/>
  <c r="J586" i="3"/>
  <c r="J587" i="3"/>
  <c r="J588" i="3"/>
  <c r="J589" i="3"/>
  <c r="J590" i="3"/>
  <c r="J591" i="3"/>
  <c r="J592" i="3"/>
  <c r="J593" i="3"/>
  <c r="J594" i="3"/>
  <c r="J595" i="3"/>
  <c r="J596" i="3"/>
  <c r="J597" i="3"/>
  <c r="J598" i="3"/>
  <c r="J599" i="3"/>
  <c r="J600" i="3"/>
  <c r="J601" i="3"/>
  <c r="J602" i="3"/>
  <c r="J603" i="3"/>
  <c r="J604" i="3"/>
  <c r="J605" i="3"/>
  <c r="J606" i="3"/>
  <c r="J607" i="3"/>
  <c r="J608" i="3"/>
  <c r="J609" i="3"/>
  <c r="J610" i="3"/>
  <c r="J611" i="3"/>
  <c r="J612" i="3"/>
  <c r="J613" i="3"/>
  <c r="J614" i="3"/>
  <c r="J615" i="3"/>
  <c r="J616" i="3"/>
  <c r="J617" i="3"/>
  <c r="J618" i="3"/>
  <c r="J619" i="3"/>
  <c r="J620" i="3"/>
  <c r="J621" i="3"/>
  <c r="J622" i="3"/>
  <c r="J623" i="3"/>
  <c r="J624" i="3"/>
  <c r="J625" i="3"/>
  <c r="J626" i="3"/>
  <c r="J627" i="3"/>
  <c r="J628" i="3"/>
  <c r="J629" i="3"/>
  <c r="J630" i="3"/>
  <c r="J631" i="3"/>
  <c r="J632" i="3"/>
  <c r="J633" i="3"/>
  <c r="J634" i="3"/>
  <c r="J635" i="3"/>
  <c r="J636" i="3"/>
  <c r="J637" i="3"/>
  <c r="J638" i="3"/>
  <c r="J639" i="3"/>
  <c r="J640" i="3"/>
  <c r="J641" i="3"/>
  <c r="J642" i="3"/>
  <c r="J643" i="3"/>
  <c r="J644" i="3"/>
  <c r="J645" i="3"/>
  <c r="J646" i="3"/>
  <c r="J647" i="3"/>
  <c r="J648" i="3"/>
  <c r="J649" i="3"/>
  <c r="J650" i="3"/>
  <c r="J651" i="3"/>
  <c r="J652" i="3"/>
  <c r="J653" i="3"/>
  <c r="J654" i="3"/>
  <c r="J655" i="3"/>
  <c r="J656" i="3"/>
  <c r="J657" i="3"/>
  <c r="J658" i="3"/>
  <c r="J659" i="3"/>
  <c r="J660" i="3"/>
  <c r="J661" i="3"/>
  <c r="J662" i="3"/>
  <c r="J663" i="3"/>
  <c r="J664" i="3"/>
  <c r="J665" i="3"/>
  <c r="J666" i="3"/>
  <c r="J667" i="3"/>
  <c r="J668" i="3"/>
  <c r="J669" i="3"/>
  <c r="J670" i="3"/>
  <c r="J671" i="3"/>
  <c r="J672" i="3"/>
  <c r="J673" i="3"/>
  <c r="J674" i="3"/>
  <c r="J675" i="3"/>
  <c r="J676" i="3"/>
  <c r="J677" i="3"/>
  <c r="J678" i="3"/>
  <c r="J679" i="3"/>
  <c r="J680" i="3"/>
  <c r="J681" i="3"/>
  <c r="J682" i="3"/>
  <c r="J683" i="3"/>
  <c r="J684" i="3"/>
  <c r="J685" i="3"/>
  <c r="J686" i="3"/>
  <c r="J687" i="3"/>
  <c r="J688" i="3"/>
  <c r="J689" i="3"/>
  <c r="J690" i="3"/>
  <c r="J691" i="3"/>
  <c r="J692" i="3"/>
  <c r="J693" i="3"/>
  <c r="J694" i="3"/>
  <c r="J695" i="3"/>
  <c r="J696" i="3"/>
  <c r="J697" i="3"/>
  <c r="J698" i="3"/>
  <c r="J699" i="3"/>
  <c r="J700" i="3"/>
  <c r="J701" i="3"/>
  <c r="J702" i="3"/>
  <c r="J703" i="3"/>
  <c r="J704" i="3"/>
  <c r="J705" i="3"/>
  <c r="J706" i="3"/>
  <c r="J707" i="3"/>
  <c r="J708" i="3"/>
  <c r="J709" i="3"/>
  <c r="J710" i="3"/>
  <c r="J711" i="3"/>
  <c r="J712" i="3"/>
  <c r="J713" i="3"/>
  <c r="J714" i="3"/>
  <c r="J715" i="3"/>
  <c r="J716" i="3"/>
  <c r="J717" i="3"/>
  <c r="J718" i="3"/>
  <c r="J719" i="3"/>
  <c r="J720" i="3"/>
  <c r="J721" i="3"/>
  <c r="J722" i="3"/>
  <c r="J723" i="3"/>
  <c r="J724" i="3"/>
  <c r="J725" i="3"/>
  <c r="J726" i="3"/>
  <c r="J727" i="3"/>
  <c r="J728" i="3"/>
  <c r="J729" i="3"/>
  <c r="J730" i="3"/>
  <c r="J731" i="3"/>
  <c r="J732" i="3"/>
  <c r="J733" i="3"/>
  <c r="J734" i="3"/>
  <c r="J735" i="3"/>
  <c r="J736" i="3"/>
  <c r="J737" i="3"/>
  <c r="J738" i="3"/>
  <c r="J739" i="3"/>
  <c r="J740" i="3"/>
  <c r="J741" i="3"/>
  <c r="J742" i="3"/>
  <c r="J743" i="3"/>
  <c r="J744" i="3"/>
  <c r="J745" i="3"/>
  <c r="J746" i="3"/>
  <c r="J747" i="3"/>
  <c r="J748" i="3"/>
  <c r="J749" i="3"/>
  <c r="J750" i="3"/>
  <c r="J751" i="3"/>
  <c r="J752" i="3"/>
  <c r="J753" i="3"/>
  <c r="J754" i="3"/>
  <c r="J755" i="3"/>
  <c r="J756" i="3"/>
  <c r="J757" i="3"/>
  <c r="J758" i="3"/>
  <c r="J759" i="3"/>
  <c r="J760" i="3"/>
  <c r="J761" i="3"/>
  <c r="J762" i="3"/>
  <c r="J763" i="3"/>
  <c r="J764" i="3"/>
  <c r="J765" i="3"/>
  <c r="J766" i="3"/>
  <c r="J767" i="3"/>
  <c r="J768" i="3"/>
  <c r="J769" i="3"/>
  <c r="J770" i="3"/>
  <c r="J771" i="3"/>
  <c r="J772" i="3"/>
  <c r="J773" i="3"/>
  <c r="J774" i="3"/>
  <c r="J775" i="3"/>
  <c r="J776" i="3"/>
  <c r="J777" i="3"/>
  <c r="J778" i="3"/>
  <c r="J779" i="3"/>
  <c r="J780" i="3"/>
  <c r="J781" i="3"/>
  <c r="J782" i="3"/>
  <c r="J783" i="3"/>
  <c r="J784" i="3"/>
  <c r="J785" i="3"/>
  <c r="J786" i="3"/>
  <c r="J787" i="3"/>
  <c r="J788" i="3"/>
  <c r="J789" i="3"/>
  <c r="J790" i="3"/>
  <c r="J791" i="3"/>
  <c r="J792" i="3"/>
  <c r="J793" i="3"/>
  <c r="J794" i="3"/>
  <c r="J795" i="3"/>
  <c r="J796" i="3"/>
  <c r="J797" i="3"/>
  <c r="J798" i="3"/>
  <c r="J799" i="3"/>
  <c r="J800" i="3"/>
  <c r="J801" i="3"/>
  <c r="I2" i="3"/>
  <c r="I3" i="3"/>
  <c r="I4" i="3"/>
  <c r="I5" i="3"/>
  <c r="I6" i="3"/>
  <c r="I7" i="3"/>
  <c r="I8" i="3"/>
  <c r="I9" i="3"/>
  <c r="I10" i="3"/>
  <c r="I11" i="3"/>
  <c r="I12" i="3"/>
  <c r="I13" i="3"/>
  <c r="I14" i="3"/>
  <c r="I15" i="3"/>
  <c r="I16" i="3"/>
  <c r="I17" i="3"/>
  <c r="I18" i="3"/>
  <c r="I19" i="3"/>
  <c r="I20" i="3"/>
  <c r="I21" i="3"/>
  <c r="I22" i="3"/>
  <c r="I23" i="3"/>
  <c r="I24" i="3"/>
  <c r="I25" i="3"/>
  <c r="I26" i="3"/>
  <c r="I27" i="3"/>
  <c r="I28" i="3"/>
  <c r="I29" i="3"/>
  <c r="I30" i="3"/>
  <c r="I31" i="3"/>
  <c r="I32" i="3"/>
  <c r="I33" i="3"/>
  <c r="I34" i="3"/>
  <c r="I35" i="3"/>
  <c r="I36" i="3"/>
  <c r="I37" i="3"/>
  <c r="I38" i="3"/>
  <c r="I39" i="3"/>
  <c r="I40" i="3"/>
  <c r="I41" i="3"/>
  <c r="I42" i="3"/>
  <c r="I43" i="3"/>
  <c r="I44" i="3"/>
  <c r="I45" i="3"/>
  <c r="I46" i="3"/>
  <c r="I47" i="3"/>
  <c r="I48" i="3"/>
  <c r="I49" i="3"/>
  <c r="I50" i="3"/>
  <c r="I51" i="3"/>
  <c r="I52" i="3"/>
  <c r="I53" i="3"/>
  <c r="I54" i="3"/>
  <c r="I55" i="3"/>
  <c r="I56" i="3"/>
  <c r="I57" i="3"/>
  <c r="I58" i="3"/>
  <c r="I59" i="3"/>
  <c r="I60" i="3"/>
  <c r="I61" i="3"/>
  <c r="I62" i="3"/>
  <c r="I63" i="3"/>
  <c r="I64" i="3"/>
  <c r="I65" i="3"/>
  <c r="I66" i="3"/>
  <c r="I67" i="3"/>
  <c r="I68" i="3"/>
  <c r="I69" i="3"/>
  <c r="I70" i="3"/>
  <c r="I71" i="3"/>
  <c r="I72" i="3"/>
  <c r="I73" i="3"/>
  <c r="I74" i="3"/>
  <c r="I75" i="3"/>
  <c r="I76" i="3"/>
  <c r="I77" i="3"/>
  <c r="I78" i="3"/>
  <c r="I79" i="3"/>
  <c r="I80" i="3"/>
  <c r="I81" i="3"/>
  <c r="I82" i="3"/>
  <c r="I83" i="3"/>
  <c r="I84" i="3"/>
  <c r="I85" i="3"/>
  <c r="I86" i="3"/>
  <c r="I87" i="3"/>
  <c r="I88" i="3"/>
  <c r="I89" i="3"/>
  <c r="I90" i="3"/>
  <c r="I91" i="3"/>
  <c r="I92" i="3"/>
  <c r="I93" i="3"/>
  <c r="I94" i="3"/>
  <c r="I95" i="3"/>
  <c r="I96" i="3"/>
  <c r="I97" i="3"/>
  <c r="I98" i="3"/>
  <c r="I99" i="3"/>
  <c r="I100" i="3"/>
  <c r="I101" i="3"/>
  <c r="I102" i="3"/>
  <c r="I103" i="3"/>
  <c r="I104" i="3"/>
  <c r="I105" i="3"/>
  <c r="I106" i="3"/>
  <c r="I107" i="3"/>
  <c r="I108" i="3"/>
  <c r="I109" i="3"/>
  <c r="I110" i="3"/>
  <c r="I111" i="3"/>
  <c r="I112" i="3"/>
  <c r="I113" i="3"/>
  <c r="I114" i="3"/>
  <c r="I115" i="3"/>
  <c r="I116" i="3"/>
  <c r="I117" i="3"/>
  <c r="I118" i="3"/>
  <c r="I119" i="3"/>
  <c r="I120" i="3"/>
  <c r="I121" i="3"/>
  <c r="I122" i="3"/>
  <c r="I123" i="3"/>
  <c r="I124" i="3"/>
  <c r="I125" i="3"/>
  <c r="I126" i="3"/>
  <c r="I127" i="3"/>
  <c r="I128" i="3"/>
  <c r="I129" i="3"/>
  <c r="I130" i="3"/>
  <c r="I131" i="3"/>
  <c r="I132" i="3"/>
  <c r="I133" i="3"/>
  <c r="I134" i="3"/>
  <c r="I135" i="3"/>
  <c r="I136" i="3"/>
  <c r="I137" i="3"/>
  <c r="I138" i="3"/>
  <c r="I139" i="3"/>
  <c r="I140" i="3"/>
  <c r="I141" i="3"/>
  <c r="I142" i="3"/>
  <c r="I143" i="3"/>
  <c r="I144" i="3"/>
  <c r="I145" i="3"/>
  <c r="I146" i="3"/>
  <c r="I147" i="3"/>
  <c r="I148" i="3"/>
  <c r="I149" i="3"/>
  <c r="I150" i="3"/>
  <c r="I151" i="3"/>
  <c r="I152" i="3"/>
  <c r="I153" i="3"/>
  <c r="I154" i="3"/>
  <c r="I155" i="3"/>
  <c r="I156" i="3"/>
  <c r="I157" i="3"/>
  <c r="I158" i="3"/>
  <c r="I159" i="3"/>
  <c r="I160" i="3"/>
  <c r="I161" i="3"/>
  <c r="I162" i="3"/>
  <c r="I163" i="3"/>
  <c r="I164" i="3"/>
  <c r="I165" i="3"/>
  <c r="I166" i="3"/>
  <c r="I167" i="3"/>
  <c r="I168" i="3"/>
  <c r="I169" i="3"/>
  <c r="I170" i="3"/>
  <c r="I171" i="3"/>
  <c r="I172" i="3"/>
  <c r="I173" i="3"/>
  <c r="I174" i="3"/>
  <c r="I175" i="3"/>
  <c r="I176" i="3"/>
  <c r="I177" i="3"/>
  <c r="I178" i="3"/>
  <c r="I179" i="3"/>
  <c r="I180" i="3"/>
  <c r="I181" i="3"/>
  <c r="I182" i="3"/>
  <c r="I183" i="3"/>
  <c r="I184" i="3"/>
  <c r="I185" i="3"/>
  <c r="I186" i="3"/>
  <c r="I187" i="3"/>
  <c r="I188" i="3"/>
  <c r="I189" i="3"/>
  <c r="I190" i="3"/>
  <c r="I191" i="3"/>
  <c r="I192" i="3"/>
  <c r="I193" i="3"/>
  <c r="I194" i="3"/>
  <c r="I195" i="3"/>
  <c r="I196" i="3"/>
  <c r="I197" i="3"/>
  <c r="I198" i="3"/>
  <c r="I199" i="3"/>
  <c r="I200" i="3"/>
  <c r="I201" i="3"/>
  <c r="I202" i="3"/>
  <c r="I203" i="3"/>
  <c r="I204" i="3"/>
  <c r="I205" i="3"/>
  <c r="I206" i="3"/>
  <c r="I207" i="3"/>
  <c r="I208" i="3"/>
  <c r="I209" i="3"/>
  <c r="I210" i="3"/>
  <c r="I211" i="3"/>
  <c r="I212" i="3"/>
  <c r="I213" i="3"/>
  <c r="I214" i="3"/>
  <c r="I215" i="3"/>
  <c r="I216" i="3"/>
  <c r="I217" i="3"/>
  <c r="I218" i="3"/>
  <c r="I219" i="3"/>
  <c r="I220" i="3"/>
  <c r="I221" i="3"/>
  <c r="I222" i="3"/>
  <c r="I223" i="3"/>
  <c r="I224" i="3"/>
  <c r="I225" i="3"/>
  <c r="I226" i="3"/>
  <c r="I227" i="3"/>
  <c r="I228" i="3"/>
  <c r="I229" i="3"/>
  <c r="I230" i="3"/>
  <c r="I231" i="3"/>
  <c r="I232" i="3"/>
  <c r="I233" i="3"/>
  <c r="I234" i="3"/>
  <c r="I235" i="3"/>
  <c r="I236" i="3"/>
  <c r="I237" i="3"/>
  <c r="I238" i="3"/>
  <c r="I239" i="3"/>
  <c r="I240" i="3"/>
  <c r="I241" i="3"/>
  <c r="I242" i="3"/>
  <c r="I243" i="3"/>
  <c r="I244" i="3"/>
  <c r="I245" i="3"/>
  <c r="I246" i="3"/>
  <c r="I247" i="3"/>
  <c r="I248" i="3"/>
  <c r="I249" i="3"/>
  <c r="I250" i="3"/>
  <c r="I251" i="3"/>
  <c r="I252" i="3"/>
  <c r="I253" i="3"/>
  <c r="I254" i="3"/>
  <c r="I255" i="3"/>
  <c r="I256" i="3"/>
  <c r="I257" i="3"/>
  <c r="I258" i="3"/>
  <c r="I259" i="3"/>
  <c r="I260" i="3"/>
  <c r="I261" i="3"/>
  <c r="I262" i="3"/>
  <c r="I263" i="3"/>
  <c r="I264" i="3"/>
  <c r="I265" i="3"/>
  <c r="I266" i="3"/>
  <c r="I267" i="3"/>
  <c r="I268" i="3"/>
  <c r="I269" i="3"/>
  <c r="I270" i="3"/>
  <c r="I271" i="3"/>
  <c r="I272" i="3"/>
  <c r="I273" i="3"/>
  <c r="I274" i="3"/>
  <c r="I275" i="3"/>
  <c r="I276" i="3"/>
  <c r="I277" i="3"/>
  <c r="I278" i="3"/>
  <c r="I279" i="3"/>
  <c r="I280" i="3"/>
  <c r="I281" i="3"/>
  <c r="I282" i="3"/>
  <c r="I283" i="3"/>
  <c r="I284" i="3"/>
  <c r="I285" i="3"/>
  <c r="I286" i="3"/>
  <c r="I287" i="3"/>
  <c r="I288" i="3"/>
  <c r="I289" i="3"/>
  <c r="I290" i="3"/>
  <c r="I291" i="3"/>
  <c r="I292" i="3"/>
  <c r="I293" i="3"/>
  <c r="I294" i="3"/>
  <c r="I295" i="3"/>
  <c r="I296" i="3"/>
  <c r="I297" i="3"/>
  <c r="I298" i="3"/>
  <c r="I299" i="3"/>
  <c r="I300" i="3"/>
  <c r="I301" i="3"/>
  <c r="I302" i="3"/>
  <c r="I303" i="3"/>
  <c r="I304" i="3"/>
  <c r="I305" i="3"/>
  <c r="I306" i="3"/>
  <c r="I307" i="3"/>
  <c r="I308" i="3"/>
  <c r="I309" i="3"/>
  <c r="I310" i="3"/>
  <c r="I311" i="3"/>
  <c r="I312" i="3"/>
  <c r="I313" i="3"/>
  <c r="I314" i="3"/>
  <c r="I315" i="3"/>
  <c r="I316" i="3"/>
  <c r="I317" i="3"/>
  <c r="I318" i="3"/>
  <c r="I319" i="3"/>
  <c r="I320" i="3"/>
  <c r="I321" i="3"/>
  <c r="I322" i="3"/>
  <c r="I323" i="3"/>
  <c r="I324" i="3"/>
  <c r="I325" i="3"/>
  <c r="I326" i="3"/>
  <c r="I327" i="3"/>
  <c r="I328" i="3"/>
  <c r="I329" i="3"/>
  <c r="I330" i="3"/>
  <c r="I331" i="3"/>
  <c r="I332" i="3"/>
  <c r="I333" i="3"/>
  <c r="I334" i="3"/>
  <c r="I335" i="3"/>
  <c r="I336" i="3"/>
  <c r="I337" i="3"/>
  <c r="I338" i="3"/>
  <c r="I339" i="3"/>
  <c r="I340" i="3"/>
  <c r="I341" i="3"/>
  <c r="I342" i="3"/>
  <c r="I343" i="3"/>
  <c r="I344" i="3"/>
  <c r="I345" i="3"/>
  <c r="I346" i="3"/>
  <c r="I347" i="3"/>
  <c r="I348" i="3"/>
  <c r="I349" i="3"/>
  <c r="I350" i="3"/>
  <c r="I351" i="3"/>
  <c r="I352" i="3"/>
  <c r="I353" i="3"/>
  <c r="I354" i="3"/>
  <c r="I355" i="3"/>
  <c r="I356" i="3"/>
  <c r="I357" i="3"/>
  <c r="I358" i="3"/>
  <c r="I359" i="3"/>
  <c r="I360" i="3"/>
  <c r="I361" i="3"/>
  <c r="I362" i="3"/>
  <c r="I363" i="3"/>
  <c r="I364" i="3"/>
  <c r="I365" i="3"/>
  <c r="I366" i="3"/>
  <c r="I367" i="3"/>
  <c r="I368" i="3"/>
  <c r="I369" i="3"/>
  <c r="I370" i="3"/>
  <c r="I371" i="3"/>
  <c r="I372" i="3"/>
  <c r="I373" i="3"/>
  <c r="I374" i="3"/>
  <c r="I375" i="3"/>
  <c r="I376" i="3"/>
  <c r="I377" i="3"/>
  <c r="I378" i="3"/>
  <c r="I379" i="3"/>
  <c r="I380" i="3"/>
  <c r="I381" i="3"/>
  <c r="I382" i="3"/>
  <c r="I383" i="3"/>
  <c r="I384" i="3"/>
  <c r="I385" i="3"/>
  <c r="I386" i="3"/>
  <c r="I387" i="3"/>
  <c r="I388" i="3"/>
  <c r="I389" i="3"/>
  <c r="I390" i="3"/>
  <c r="I391" i="3"/>
  <c r="I392" i="3"/>
  <c r="I393" i="3"/>
  <c r="I394" i="3"/>
  <c r="I395" i="3"/>
  <c r="I396" i="3"/>
  <c r="I397" i="3"/>
  <c r="I398" i="3"/>
  <c r="I399" i="3"/>
  <c r="I400" i="3"/>
  <c r="I401" i="3"/>
  <c r="I402" i="3"/>
  <c r="I403" i="3"/>
  <c r="I404" i="3"/>
  <c r="I405" i="3"/>
  <c r="I406" i="3"/>
  <c r="I407" i="3"/>
  <c r="I408" i="3"/>
  <c r="I409" i="3"/>
  <c r="I410" i="3"/>
  <c r="I411" i="3"/>
  <c r="I412" i="3"/>
  <c r="I413" i="3"/>
  <c r="I414" i="3"/>
  <c r="I415" i="3"/>
  <c r="I416" i="3"/>
  <c r="I417" i="3"/>
  <c r="I418" i="3"/>
  <c r="I419" i="3"/>
  <c r="I420" i="3"/>
  <c r="I421" i="3"/>
  <c r="I422" i="3"/>
  <c r="I423" i="3"/>
  <c r="I424" i="3"/>
  <c r="I425" i="3"/>
  <c r="I426" i="3"/>
  <c r="I427" i="3"/>
  <c r="I428" i="3"/>
  <c r="I429" i="3"/>
  <c r="I430" i="3"/>
  <c r="I431" i="3"/>
  <c r="I432" i="3"/>
  <c r="I433" i="3"/>
  <c r="I434" i="3"/>
  <c r="I435" i="3"/>
  <c r="I436" i="3"/>
  <c r="I437" i="3"/>
  <c r="I438" i="3"/>
  <c r="I439" i="3"/>
  <c r="I440" i="3"/>
  <c r="I441" i="3"/>
  <c r="I442" i="3"/>
  <c r="I443" i="3"/>
  <c r="I444" i="3"/>
  <c r="I445" i="3"/>
  <c r="I446" i="3"/>
  <c r="I447" i="3"/>
  <c r="I448" i="3"/>
  <c r="I449" i="3"/>
  <c r="I450" i="3"/>
  <c r="I451" i="3"/>
  <c r="I452" i="3"/>
  <c r="I453" i="3"/>
  <c r="I454" i="3"/>
  <c r="I455" i="3"/>
  <c r="I456" i="3"/>
  <c r="I457" i="3"/>
  <c r="I458" i="3"/>
  <c r="I459" i="3"/>
  <c r="I460" i="3"/>
  <c r="I461" i="3"/>
  <c r="I462" i="3"/>
  <c r="I463" i="3"/>
  <c r="I464" i="3"/>
  <c r="I465" i="3"/>
  <c r="I466" i="3"/>
  <c r="I467" i="3"/>
  <c r="I468" i="3"/>
  <c r="I469" i="3"/>
  <c r="I470" i="3"/>
  <c r="I471" i="3"/>
  <c r="I472" i="3"/>
  <c r="I473" i="3"/>
  <c r="I474" i="3"/>
  <c r="I475" i="3"/>
  <c r="I476" i="3"/>
  <c r="I477" i="3"/>
  <c r="I478" i="3"/>
  <c r="I479" i="3"/>
  <c r="I480" i="3"/>
  <c r="I481" i="3"/>
  <c r="I482" i="3"/>
  <c r="I483" i="3"/>
  <c r="I484" i="3"/>
  <c r="I485" i="3"/>
  <c r="I486" i="3"/>
  <c r="I487" i="3"/>
  <c r="I488" i="3"/>
  <c r="I489" i="3"/>
  <c r="I490" i="3"/>
  <c r="I491" i="3"/>
  <c r="I492" i="3"/>
  <c r="I493" i="3"/>
  <c r="I494" i="3"/>
  <c r="I495" i="3"/>
  <c r="I496" i="3"/>
  <c r="I497" i="3"/>
  <c r="I498" i="3"/>
  <c r="I499" i="3"/>
  <c r="I500" i="3"/>
  <c r="I501" i="3"/>
  <c r="I502" i="3"/>
  <c r="I503" i="3"/>
  <c r="I504" i="3"/>
  <c r="I505" i="3"/>
  <c r="I506" i="3"/>
  <c r="I507" i="3"/>
  <c r="I508" i="3"/>
  <c r="I509" i="3"/>
  <c r="I510" i="3"/>
  <c r="I511" i="3"/>
  <c r="I512" i="3"/>
  <c r="I513" i="3"/>
  <c r="I514" i="3"/>
  <c r="I515" i="3"/>
  <c r="I516" i="3"/>
  <c r="I517" i="3"/>
  <c r="I518" i="3"/>
  <c r="I519" i="3"/>
  <c r="I520" i="3"/>
  <c r="I521" i="3"/>
  <c r="I522" i="3"/>
  <c r="I523" i="3"/>
  <c r="I524" i="3"/>
  <c r="I525" i="3"/>
  <c r="I526" i="3"/>
  <c r="I527" i="3"/>
  <c r="I528" i="3"/>
  <c r="I529" i="3"/>
  <c r="I530" i="3"/>
  <c r="I531" i="3"/>
  <c r="I532" i="3"/>
  <c r="I533" i="3"/>
  <c r="I534" i="3"/>
  <c r="I535" i="3"/>
  <c r="I536" i="3"/>
  <c r="I537" i="3"/>
  <c r="I538" i="3"/>
  <c r="I539" i="3"/>
  <c r="I540" i="3"/>
  <c r="I541" i="3"/>
  <c r="I542" i="3"/>
  <c r="I543" i="3"/>
  <c r="I544" i="3"/>
  <c r="I545" i="3"/>
  <c r="I546" i="3"/>
  <c r="I547" i="3"/>
  <c r="I548" i="3"/>
  <c r="I549" i="3"/>
  <c r="I550" i="3"/>
  <c r="I551" i="3"/>
  <c r="I552" i="3"/>
  <c r="I553" i="3"/>
  <c r="I554" i="3"/>
  <c r="I555" i="3"/>
  <c r="I556" i="3"/>
  <c r="I557" i="3"/>
  <c r="I558" i="3"/>
  <c r="I559" i="3"/>
  <c r="I560" i="3"/>
  <c r="I561" i="3"/>
  <c r="I562" i="3"/>
  <c r="I563" i="3"/>
  <c r="I564" i="3"/>
  <c r="I565" i="3"/>
  <c r="I566" i="3"/>
  <c r="I567" i="3"/>
  <c r="I568" i="3"/>
  <c r="I569" i="3"/>
  <c r="I570" i="3"/>
  <c r="I571" i="3"/>
  <c r="I572" i="3"/>
  <c r="I573" i="3"/>
  <c r="I574" i="3"/>
  <c r="I575" i="3"/>
  <c r="I576" i="3"/>
  <c r="I577" i="3"/>
  <c r="I578" i="3"/>
  <c r="I579" i="3"/>
  <c r="I580" i="3"/>
  <c r="I581" i="3"/>
  <c r="I582" i="3"/>
  <c r="I583" i="3"/>
  <c r="I584" i="3"/>
  <c r="I585" i="3"/>
  <c r="I586" i="3"/>
  <c r="I587" i="3"/>
  <c r="I588" i="3"/>
  <c r="I589" i="3"/>
  <c r="I590" i="3"/>
  <c r="I591" i="3"/>
  <c r="I592" i="3"/>
  <c r="I593" i="3"/>
  <c r="I594" i="3"/>
  <c r="I595" i="3"/>
  <c r="I596" i="3"/>
  <c r="I597" i="3"/>
  <c r="I598" i="3"/>
  <c r="I599" i="3"/>
  <c r="I600" i="3"/>
  <c r="I601" i="3"/>
  <c r="I602" i="3"/>
  <c r="I603" i="3"/>
  <c r="I604" i="3"/>
  <c r="I605" i="3"/>
  <c r="I606" i="3"/>
  <c r="I607" i="3"/>
  <c r="I608" i="3"/>
  <c r="I609" i="3"/>
  <c r="I610" i="3"/>
  <c r="I611" i="3"/>
  <c r="I612" i="3"/>
  <c r="I613" i="3"/>
  <c r="I614" i="3"/>
  <c r="I615" i="3"/>
  <c r="I616" i="3"/>
  <c r="I617" i="3"/>
  <c r="I618" i="3"/>
  <c r="I619" i="3"/>
  <c r="I620" i="3"/>
  <c r="I621" i="3"/>
  <c r="I622" i="3"/>
  <c r="I623" i="3"/>
  <c r="I624" i="3"/>
  <c r="I625" i="3"/>
  <c r="I626" i="3"/>
  <c r="I627" i="3"/>
  <c r="I628" i="3"/>
  <c r="I629" i="3"/>
  <c r="I630" i="3"/>
  <c r="I631" i="3"/>
  <c r="I632" i="3"/>
  <c r="I633" i="3"/>
  <c r="I634" i="3"/>
  <c r="I635" i="3"/>
  <c r="I636" i="3"/>
  <c r="I637" i="3"/>
  <c r="I638" i="3"/>
  <c r="I639" i="3"/>
  <c r="I640" i="3"/>
  <c r="I641" i="3"/>
  <c r="I642" i="3"/>
  <c r="I643" i="3"/>
  <c r="I644" i="3"/>
  <c r="I645" i="3"/>
  <c r="I646" i="3"/>
  <c r="I647" i="3"/>
  <c r="I648" i="3"/>
  <c r="I649" i="3"/>
  <c r="I650" i="3"/>
  <c r="I651" i="3"/>
  <c r="I652" i="3"/>
  <c r="I653" i="3"/>
  <c r="I654" i="3"/>
  <c r="I655" i="3"/>
  <c r="I656" i="3"/>
  <c r="I657" i="3"/>
  <c r="I658" i="3"/>
  <c r="I659" i="3"/>
  <c r="I660" i="3"/>
  <c r="I661" i="3"/>
  <c r="I662" i="3"/>
  <c r="I663" i="3"/>
  <c r="I664" i="3"/>
  <c r="I665" i="3"/>
  <c r="I666" i="3"/>
  <c r="I667" i="3"/>
  <c r="I668" i="3"/>
  <c r="I669" i="3"/>
  <c r="I670" i="3"/>
  <c r="I671" i="3"/>
  <c r="I672" i="3"/>
  <c r="I673" i="3"/>
  <c r="I674" i="3"/>
  <c r="I675" i="3"/>
  <c r="I676" i="3"/>
  <c r="I677" i="3"/>
  <c r="I678" i="3"/>
  <c r="I679" i="3"/>
  <c r="I680" i="3"/>
  <c r="I681" i="3"/>
  <c r="I682" i="3"/>
  <c r="I683" i="3"/>
  <c r="I684" i="3"/>
  <c r="I685" i="3"/>
  <c r="I686" i="3"/>
  <c r="I687" i="3"/>
  <c r="I688" i="3"/>
  <c r="I689" i="3"/>
  <c r="I690" i="3"/>
  <c r="I691" i="3"/>
  <c r="I692" i="3"/>
  <c r="I693" i="3"/>
  <c r="I694" i="3"/>
  <c r="I695" i="3"/>
  <c r="I696" i="3"/>
  <c r="I697" i="3"/>
  <c r="I698" i="3"/>
  <c r="I699" i="3"/>
  <c r="I700" i="3"/>
  <c r="I701" i="3"/>
  <c r="I702" i="3"/>
  <c r="I703" i="3"/>
  <c r="I704" i="3"/>
  <c r="I705" i="3"/>
  <c r="I706" i="3"/>
  <c r="I707" i="3"/>
  <c r="I708" i="3"/>
  <c r="I709" i="3"/>
  <c r="I710" i="3"/>
  <c r="I711" i="3"/>
  <c r="I712" i="3"/>
  <c r="I713" i="3"/>
  <c r="I714" i="3"/>
  <c r="I715" i="3"/>
  <c r="I716" i="3"/>
  <c r="I717" i="3"/>
  <c r="I718" i="3"/>
  <c r="I719" i="3"/>
  <c r="I720" i="3"/>
  <c r="I721" i="3"/>
  <c r="I722" i="3"/>
  <c r="I723" i="3"/>
  <c r="I724" i="3"/>
  <c r="I725" i="3"/>
  <c r="I726" i="3"/>
  <c r="I727" i="3"/>
  <c r="I728" i="3"/>
  <c r="I729" i="3"/>
  <c r="I730" i="3"/>
  <c r="I731" i="3"/>
  <c r="I732" i="3"/>
  <c r="I733" i="3"/>
  <c r="I734" i="3"/>
  <c r="I735" i="3"/>
  <c r="I736" i="3"/>
  <c r="I737" i="3"/>
  <c r="I738" i="3"/>
  <c r="I739" i="3"/>
  <c r="I740" i="3"/>
  <c r="I741" i="3"/>
  <c r="I742" i="3"/>
  <c r="I743" i="3"/>
  <c r="I744" i="3"/>
  <c r="I745" i="3"/>
  <c r="I746" i="3"/>
  <c r="I747" i="3"/>
  <c r="I748" i="3"/>
  <c r="I749" i="3"/>
  <c r="I750" i="3"/>
  <c r="I751" i="3"/>
  <c r="I752" i="3"/>
  <c r="I753" i="3"/>
  <c r="I754" i="3"/>
  <c r="I755" i="3"/>
  <c r="I756" i="3"/>
  <c r="I757" i="3"/>
  <c r="I758" i="3"/>
  <c r="I759" i="3"/>
  <c r="I760" i="3"/>
  <c r="I761" i="3"/>
  <c r="I762" i="3"/>
  <c r="I763" i="3"/>
  <c r="I764" i="3"/>
  <c r="I765" i="3"/>
  <c r="I766" i="3"/>
  <c r="I767" i="3"/>
  <c r="I768" i="3"/>
  <c r="I769" i="3"/>
  <c r="I770" i="3"/>
  <c r="I771" i="3"/>
  <c r="I772" i="3"/>
  <c r="I773" i="3"/>
  <c r="I774" i="3"/>
  <c r="I775" i="3"/>
  <c r="I776" i="3"/>
  <c r="I777" i="3"/>
  <c r="I778" i="3"/>
  <c r="I779" i="3"/>
  <c r="I780" i="3"/>
  <c r="I781" i="3"/>
  <c r="I782" i="3"/>
  <c r="I783" i="3"/>
  <c r="I784" i="3"/>
  <c r="I785" i="3"/>
  <c r="I786" i="3"/>
  <c r="I787" i="3"/>
  <c r="I788" i="3"/>
  <c r="I789" i="3"/>
  <c r="I790" i="3"/>
  <c r="I791" i="3"/>
  <c r="I792" i="3"/>
  <c r="I793" i="3"/>
  <c r="I794" i="3"/>
  <c r="I795" i="3"/>
  <c r="I796" i="3"/>
  <c r="I797" i="3"/>
  <c r="I798" i="3"/>
  <c r="I799" i="3"/>
  <c r="I800" i="3"/>
  <c r="I801" i="3"/>
  <c r="M3" i="2"/>
  <c r="M4" i="2"/>
  <c r="M5" i="2"/>
  <c r="M6" i="2"/>
  <c r="M7" i="2"/>
  <c r="M8" i="2"/>
  <c r="M9" i="2"/>
  <c r="M10" i="2"/>
  <c r="M11" i="2"/>
  <c r="M12" i="2"/>
  <c r="M13" i="2"/>
  <c r="M14" i="2"/>
  <c r="M15" i="2"/>
  <c r="M16" i="2"/>
  <c r="M17" i="2"/>
  <c r="M18" i="2"/>
  <c r="M19" i="2"/>
  <c r="M20" i="2"/>
  <c r="M21" i="2"/>
  <c r="M22" i="2"/>
  <c r="M23" i="2"/>
  <c r="M24" i="2"/>
  <c r="M25" i="2"/>
  <c r="M26" i="2"/>
  <c r="M27" i="2"/>
  <c r="M28" i="2"/>
  <c r="M29" i="2"/>
  <c r="M30" i="2"/>
  <c r="M31" i="2"/>
  <c r="M32" i="2"/>
  <c r="M33" i="2"/>
  <c r="M34" i="2"/>
  <c r="M35" i="2"/>
  <c r="M36" i="2"/>
  <c r="M37" i="2"/>
  <c r="M38" i="2"/>
  <c r="M39" i="2"/>
  <c r="M40" i="2"/>
  <c r="M41" i="2"/>
  <c r="M42" i="2"/>
  <c r="M43" i="2"/>
  <c r="M44" i="2"/>
  <c r="M45" i="2"/>
  <c r="M46" i="2"/>
  <c r="M47" i="2"/>
  <c r="M48" i="2"/>
  <c r="M49" i="2"/>
  <c r="M50" i="2"/>
  <c r="M51" i="2"/>
  <c r="M52" i="2"/>
  <c r="M53" i="2"/>
  <c r="M54" i="2"/>
  <c r="M55" i="2"/>
  <c r="M56" i="2"/>
  <c r="M57" i="2"/>
  <c r="M58" i="2"/>
  <c r="M59" i="2"/>
  <c r="M60" i="2"/>
  <c r="M61" i="2"/>
  <c r="M62" i="2"/>
  <c r="M63" i="2"/>
  <c r="M64" i="2"/>
  <c r="M65" i="2"/>
  <c r="M66" i="2"/>
  <c r="M67" i="2"/>
  <c r="M68" i="2"/>
  <c r="M69" i="2"/>
  <c r="M70" i="2"/>
  <c r="M71" i="2"/>
  <c r="M72" i="2"/>
  <c r="M73" i="2"/>
  <c r="M74" i="2"/>
  <c r="M75" i="2"/>
  <c r="M76" i="2"/>
  <c r="M77" i="2"/>
  <c r="M78" i="2"/>
  <c r="M79" i="2"/>
  <c r="M80" i="2"/>
  <c r="M81" i="2"/>
  <c r="M82" i="2"/>
  <c r="M83" i="2"/>
  <c r="M84" i="2"/>
  <c r="M85" i="2"/>
  <c r="M86" i="2"/>
  <c r="M87" i="2"/>
  <c r="M88" i="2"/>
  <c r="M89" i="2"/>
  <c r="M90" i="2"/>
  <c r="M91" i="2"/>
  <c r="M92" i="2"/>
  <c r="M93" i="2"/>
  <c r="M94" i="2"/>
  <c r="M95" i="2"/>
  <c r="M96" i="2"/>
  <c r="M97" i="2"/>
  <c r="M98" i="2"/>
  <c r="M99" i="2"/>
  <c r="M100" i="2"/>
  <c r="M101" i="2"/>
  <c r="M102" i="2"/>
  <c r="M103" i="2"/>
  <c r="M104" i="2"/>
  <c r="M105" i="2"/>
  <c r="M106" i="2"/>
  <c r="M107" i="2"/>
  <c r="M108" i="2"/>
  <c r="M109" i="2"/>
  <c r="M110" i="2"/>
  <c r="M111" i="2"/>
  <c r="M112" i="2"/>
  <c r="M113" i="2"/>
  <c r="M114" i="2"/>
  <c r="M115" i="2"/>
  <c r="M116" i="2"/>
  <c r="M117" i="2"/>
  <c r="M118" i="2"/>
  <c r="M119" i="2"/>
  <c r="M120" i="2"/>
  <c r="M121" i="2"/>
  <c r="M122" i="2"/>
  <c r="M123" i="2"/>
  <c r="M124" i="2"/>
  <c r="M125" i="2"/>
  <c r="M126" i="2"/>
  <c r="M127" i="2"/>
  <c r="M128" i="2"/>
  <c r="M129" i="2"/>
  <c r="M130" i="2"/>
  <c r="M131" i="2"/>
  <c r="M132" i="2"/>
  <c r="M133" i="2"/>
  <c r="M134" i="2"/>
  <c r="M135" i="2"/>
  <c r="M136" i="2"/>
  <c r="M137" i="2"/>
  <c r="M138" i="2"/>
  <c r="M139" i="2"/>
  <c r="M140" i="2"/>
  <c r="M141" i="2"/>
  <c r="M142" i="2"/>
  <c r="M143" i="2"/>
  <c r="M144" i="2"/>
  <c r="M145" i="2"/>
  <c r="M146" i="2"/>
  <c r="M147" i="2"/>
  <c r="M148" i="2"/>
  <c r="M149" i="2"/>
  <c r="M150" i="2"/>
  <c r="M151" i="2"/>
  <c r="M152" i="2"/>
  <c r="M153" i="2"/>
  <c r="M154" i="2"/>
  <c r="M155" i="2"/>
  <c r="M156" i="2"/>
  <c r="M157" i="2"/>
  <c r="M158" i="2"/>
  <c r="M159" i="2"/>
  <c r="M160" i="2"/>
  <c r="M161" i="2"/>
  <c r="M162" i="2"/>
  <c r="M163" i="2"/>
  <c r="M164" i="2"/>
  <c r="M165" i="2"/>
  <c r="M166" i="2"/>
  <c r="M167" i="2"/>
  <c r="M168" i="2"/>
  <c r="M169" i="2"/>
  <c r="M170" i="2"/>
  <c r="M171" i="2"/>
  <c r="M172" i="2"/>
  <c r="M173" i="2"/>
  <c r="M174" i="2"/>
  <c r="M175" i="2"/>
  <c r="M176" i="2"/>
  <c r="M177" i="2"/>
  <c r="M178" i="2"/>
  <c r="M179" i="2"/>
  <c r="M180" i="2"/>
  <c r="M181" i="2"/>
  <c r="M182" i="2"/>
  <c r="M183" i="2"/>
  <c r="M184" i="2"/>
  <c r="M185" i="2"/>
  <c r="M186" i="2"/>
  <c r="M187" i="2"/>
  <c r="M188" i="2"/>
  <c r="M189" i="2"/>
  <c r="M190" i="2"/>
  <c r="M191" i="2"/>
  <c r="M192" i="2"/>
  <c r="M193" i="2"/>
  <c r="M194" i="2"/>
  <c r="M195" i="2"/>
  <c r="M196" i="2"/>
  <c r="M197" i="2"/>
  <c r="M198" i="2"/>
  <c r="M199" i="2"/>
  <c r="M200" i="2"/>
  <c r="M201" i="2"/>
  <c r="M202" i="2"/>
  <c r="M203" i="2"/>
  <c r="M204" i="2"/>
  <c r="M205" i="2"/>
  <c r="M206" i="2"/>
  <c r="M207" i="2"/>
  <c r="M208" i="2"/>
  <c r="M209" i="2"/>
  <c r="M210" i="2"/>
  <c r="M211" i="2"/>
  <c r="M212" i="2"/>
  <c r="M213" i="2"/>
  <c r="M214" i="2"/>
  <c r="M215" i="2"/>
  <c r="M216" i="2"/>
  <c r="M217" i="2"/>
  <c r="M218" i="2"/>
  <c r="M219" i="2"/>
  <c r="M220" i="2"/>
  <c r="M221" i="2"/>
  <c r="M222" i="2"/>
  <c r="M223" i="2"/>
  <c r="M224" i="2"/>
  <c r="M225" i="2"/>
  <c r="M226" i="2"/>
  <c r="M227" i="2"/>
  <c r="M228" i="2"/>
  <c r="M229" i="2"/>
  <c r="M230" i="2"/>
  <c r="M231" i="2"/>
  <c r="M232" i="2"/>
  <c r="M233" i="2"/>
  <c r="M234" i="2"/>
  <c r="M235" i="2"/>
  <c r="M236" i="2"/>
  <c r="M237" i="2"/>
  <c r="M238" i="2"/>
  <c r="M239" i="2"/>
  <c r="M240" i="2"/>
  <c r="M241" i="2"/>
  <c r="M242" i="2"/>
  <c r="M243" i="2"/>
  <c r="M244" i="2"/>
  <c r="M245" i="2"/>
  <c r="M246" i="2"/>
  <c r="M247" i="2"/>
  <c r="M248" i="2"/>
  <c r="M249" i="2"/>
  <c r="M250" i="2"/>
  <c r="M251" i="2"/>
  <c r="M252" i="2"/>
  <c r="M253" i="2"/>
  <c r="M254" i="2"/>
  <c r="M255" i="2"/>
  <c r="M256" i="2"/>
  <c r="M257" i="2"/>
  <c r="M258" i="2"/>
  <c r="M259" i="2"/>
  <c r="M260" i="2"/>
  <c r="M261" i="2"/>
  <c r="M262" i="2"/>
  <c r="M263" i="2"/>
  <c r="M264" i="2"/>
  <c r="M265" i="2"/>
  <c r="M266" i="2"/>
  <c r="M267" i="2"/>
  <c r="M268" i="2"/>
  <c r="M269" i="2"/>
  <c r="M270" i="2"/>
  <c r="M271" i="2"/>
  <c r="M272" i="2"/>
  <c r="M273" i="2"/>
  <c r="M274" i="2"/>
  <c r="M275" i="2"/>
  <c r="M276" i="2"/>
  <c r="M277" i="2"/>
  <c r="M278" i="2"/>
  <c r="M279" i="2"/>
  <c r="M280" i="2"/>
  <c r="M281" i="2"/>
  <c r="M282" i="2"/>
  <c r="M283" i="2"/>
  <c r="M284" i="2"/>
  <c r="M285" i="2"/>
  <c r="M286" i="2"/>
  <c r="M287" i="2"/>
  <c r="M288" i="2"/>
  <c r="M289" i="2"/>
  <c r="M290" i="2"/>
  <c r="M291" i="2"/>
  <c r="M292" i="2"/>
  <c r="M293" i="2"/>
  <c r="M294" i="2"/>
  <c r="M295" i="2"/>
  <c r="M296" i="2"/>
  <c r="M297" i="2"/>
  <c r="M298" i="2"/>
  <c r="M299" i="2"/>
  <c r="M300" i="2"/>
  <c r="M301" i="2"/>
  <c r="M302" i="2"/>
  <c r="M303" i="2"/>
  <c r="M304" i="2"/>
  <c r="M305" i="2"/>
  <c r="M306" i="2"/>
  <c r="M307" i="2"/>
  <c r="M308" i="2"/>
  <c r="M309" i="2"/>
  <c r="M310" i="2"/>
  <c r="M311" i="2"/>
  <c r="M312" i="2"/>
  <c r="M313" i="2"/>
  <c r="M314" i="2"/>
  <c r="M315" i="2"/>
  <c r="M316" i="2"/>
  <c r="M317" i="2"/>
  <c r="M318" i="2"/>
  <c r="M319" i="2"/>
  <c r="M320" i="2"/>
  <c r="M321" i="2"/>
  <c r="M322" i="2"/>
  <c r="M323" i="2"/>
  <c r="M324" i="2"/>
  <c r="M325" i="2"/>
  <c r="M326" i="2"/>
  <c r="M327" i="2"/>
  <c r="M328" i="2"/>
  <c r="M329" i="2"/>
  <c r="M330" i="2"/>
  <c r="M331" i="2"/>
  <c r="M332" i="2"/>
  <c r="M333" i="2"/>
  <c r="M334" i="2"/>
  <c r="M335" i="2"/>
  <c r="M336" i="2"/>
  <c r="M337" i="2"/>
  <c r="M338" i="2"/>
  <c r="M339" i="2"/>
  <c r="M340" i="2"/>
  <c r="M341" i="2"/>
  <c r="M342" i="2"/>
  <c r="M343" i="2"/>
  <c r="M344" i="2"/>
  <c r="M345" i="2"/>
  <c r="M346" i="2"/>
  <c r="M347" i="2"/>
  <c r="M348" i="2"/>
  <c r="M349" i="2"/>
  <c r="M350" i="2"/>
  <c r="M351" i="2"/>
  <c r="M352" i="2"/>
  <c r="M353" i="2"/>
  <c r="M354" i="2"/>
  <c r="M355" i="2"/>
  <c r="M356" i="2"/>
  <c r="M357" i="2"/>
  <c r="M358" i="2"/>
  <c r="M359" i="2"/>
  <c r="M360" i="2"/>
  <c r="M361" i="2"/>
  <c r="M362" i="2"/>
  <c r="M363" i="2"/>
  <c r="M364" i="2"/>
  <c r="M365" i="2"/>
  <c r="M366" i="2"/>
  <c r="M367" i="2"/>
  <c r="M368" i="2"/>
  <c r="M369" i="2"/>
  <c r="M370" i="2"/>
  <c r="M371" i="2"/>
  <c r="M372" i="2"/>
  <c r="M373" i="2"/>
  <c r="M374" i="2"/>
  <c r="M375" i="2"/>
  <c r="M376" i="2"/>
  <c r="M377" i="2"/>
  <c r="M378" i="2"/>
  <c r="M379" i="2"/>
  <c r="M380" i="2"/>
  <c r="M381" i="2"/>
  <c r="M382" i="2"/>
  <c r="M383" i="2"/>
  <c r="M384" i="2"/>
  <c r="M385" i="2"/>
  <c r="M386" i="2"/>
  <c r="M387" i="2"/>
  <c r="M388" i="2"/>
  <c r="M389" i="2"/>
  <c r="M390" i="2"/>
  <c r="M391" i="2"/>
  <c r="M392" i="2"/>
  <c r="M393" i="2"/>
  <c r="M394" i="2"/>
  <c r="M395" i="2"/>
  <c r="M396" i="2"/>
  <c r="M397" i="2"/>
  <c r="M398" i="2"/>
  <c r="M399" i="2"/>
  <c r="M400" i="2"/>
  <c r="M401" i="2"/>
  <c r="M402" i="2"/>
  <c r="M403" i="2"/>
  <c r="M404" i="2"/>
  <c r="M405" i="2"/>
  <c r="M406" i="2"/>
  <c r="M407" i="2"/>
  <c r="M408" i="2"/>
  <c r="M409" i="2"/>
  <c r="M410" i="2"/>
  <c r="M411" i="2"/>
  <c r="M412" i="2"/>
  <c r="M413" i="2"/>
  <c r="M414" i="2"/>
  <c r="M415" i="2"/>
  <c r="M416" i="2"/>
  <c r="M417" i="2"/>
  <c r="M418" i="2"/>
  <c r="M419" i="2"/>
  <c r="M420" i="2"/>
  <c r="M421" i="2"/>
  <c r="M422" i="2"/>
  <c r="M423" i="2"/>
  <c r="M424" i="2"/>
  <c r="M425" i="2"/>
  <c r="M426" i="2"/>
  <c r="M427" i="2"/>
  <c r="M428" i="2"/>
  <c r="M429" i="2"/>
  <c r="M430" i="2"/>
  <c r="M431" i="2"/>
  <c r="M432" i="2"/>
  <c r="M433" i="2"/>
  <c r="M434" i="2"/>
  <c r="M435" i="2"/>
  <c r="M436" i="2"/>
  <c r="M437" i="2"/>
  <c r="M438" i="2"/>
  <c r="M439" i="2"/>
  <c r="M440" i="2"/>
  <c r="M441" i="2"/>
  <c r="M442" i="2"/>
  <c r="M443" i="2"/>
  <c r="M444" i="2"/>
  <c r="M445" i="2"/>
  <c r="M446" i="2"/>
  <c r="M447" i="2"/>
  <c r="M448" i="2"/>
  <c r="M449" i="2"/>
  <c r="M450" i="2"/>
  <c r="M451" i="2"/>
  <c r="M452" i="2"/>
  <c r="M453" i="2"/>
  <c r="M454" i="2"/>
  <c r="M455" i="2"/>
  <c r="M456" i="2"/>
  <c r="M457" i="2"/>
  <c r="M458" i="2"/>
  <c r="M459" i="2"/>
  <c r="M460" i="2"/>
  <c r="M461" i="2"/>
  <c r="M462" i="2"/>
  <c r="M463" i="2"/>
  <c r="M464" i="2"/>
  <c r="M465" i="2"/>
  <c r="M466" i="2"/>
  <c r="M467" i="2"/>
  <c r="M468" i="2"/>
  <c r="M469" i="2"/>
  <c r="M470" i="2"/>
  <c r="M471" i="2"/>
  <c r="M472" i="2"/>
  <c r="M473" i="2"/>
  <c r="M474" i="2"/>
  <c r="M475" i="2"/>
  <c r="M476" i="2"/>
  <c r="M477" i="2"/>
  <c r="M478" i="2"/>
  <c r="M479" i="2"/>
  <c r="M480" i="2"/>
  <c r="M481" i="2"/>
  <c r="M482" i="2"/>
  <c r="M483" i="2"/>
  <c r="M484" i="2"/>
  <c r="M485" i="2"/>
  <c r="M486" i="2"/>
  <c r="M487" i="2"/>
  <c r="M488" i="2"/>
  <c r="M489" i="2"/>
  <c r="M490" i="2"/>
  <c r="M491" i="2"/>
  <c r="M492" i="2"/>
  <c r="M493" i="2"/>
  <c r="M494" i="2"/>
  <c r="M495" i="2"/>
  <c r="M496" i="2"/>
  <c r="M497" i="2"/>
  <c r="M498" i="2"/>
  <c r="M499" i="2"/>
  <c r="M500" i="2"/>
  <c r="M501" i="2"/>
  <c r="M502" i="2"/>
  <c r="M503" i="2"/>
  <c r="M504" i="2"/>
  <c r="M505" i="2"/>
  <c r="M506" i="2"/>
  <c r="M507" i="2"/>
  <c r="M508" i="2"/>
  <c r="M509" i="2"/>
  <c r="M510" i="2"/>
  <c r="M511" i="2"/>
  <c r="M512" i="2"/>
  <c r="M513" i="2"/>
  <c r="M514" i="2"/>
  <c r="M515" i="2"/>
  <c r="M516" i="2"/>
  <c r="M517" i="2"/>
  <c r="M518" i="2"/>
  <c r="M519" i="2"/>
  <c r="M520" i="2"/>
  <c r="M521" i="2"/>
  <c r="M522" i="2"/>
  <c r="M523" i="2"/>
  <c r="M524" i="2"/>
  <c r="M525" i="2"/>
  <c r="M526" i="2"/>
  <c r="M527" i="2"/>
  <c r="M528" i="2"/>
  <c r="M529" i="2"/>
  <c r="M530" i="2"/>
  <c r="M531" i="2"/>
  <c r="M532" i="2"/>
  <c r="M533" i="2"/>
  <c r="M534" i="2"/>
  <c r="M535" i="2"/>
  <c r="M536" i="2"/>
  <c r="M537" i="2"/>
  <c r="M538" i="2"/>
  <c r="M539" i="2"/>
  <c r="M540" i="2"/>
  <c r="M541" i="2"/>
  <c r="M542" i="2"/>
  <c r="M543" i="2"/>
  <c r="M544" i="2"/>
  <c r="M545" i="2"/>
  <c r="M546" i="2"/>
  <c r="M547" i="2"/>
  <c r="M548" i="2"/>
  <c r="M549" i="2"/>
  <c r="M550" i="2"/>
  <c r="M551" i="2"/>
  <c r="M552" i="2"/>
  <c r="M553" i="2"/>
  <c r="M554" i="2"/>
  <c r="M555" i="2"/>
  <c r="M556" i="2"/>
  <c r="M557" i="2"/>
  <c r="M558" i="2"/>
  <c r="M559" i="2"/>
  <c r="M560" i="2"/>
  <c r="M561" i="2"/>
  <c r="M562" i="2"/>
  <c r="M563" i="2"/>
  <c r="M564" i="2"/>
  <c r="M565" i="2"/>
  <c r="M566" i="2"/>
  <c r="M567" i="2"/>
  <c r="M568" i="2"/>
  <c r="M569" i="2"/>
  <c r="M570" i="2"/>
  <c r="M571" i="2"/>
  <c r="M572" i="2"/>
  <c r="M573" i="2"/>
  <c r="M574" i="2"/>
  <c r="M575" i="2"/>
  <c r="M576" i="2"/>
  <c r="M577" i="2"/>
  <c r="M578" i="2"/>
  <c r="M579" i="2"/>
  <c r="M580" i="2"/>
  <c r="M581" i="2"/>
  <c r="M582" i="2"/>
  <c r="M583" i="2"/>
  <c r="M584" i="2"/>
  <c r="M585" i="2"/>
  <c r="M586" i="2"/>
  <c r="M587" i="2"/>
  <c r="M588" i="2"/>
  <c r="M589" i="2"/>
  <c r="M590" i="2"/>
  <c r="M591" i="2"/>
  <c r="M592" i="2"/>
  <c r="M593" i="2"/>
  <c r="M594" i="2"/>
  <c r="M595" i="2"/>
  <c r="M596" i="2"/>
  <c r="M597" i="2"/>
  <c r="M598" i="2"/>
  <c r="M599" i="2"/>
  <c r="M600" i="2"/>
  <c r="M601" i="2"/>
  <c r="M602" i="2"/>
  <c r="M603" i="2"/>
  <c r="M604" i="2"/>
  <c r="M605" i="2"/>
  <c r="M606" i="2"/>
  <c r="M607" i="2"/>
  <c r="M608" i="2"/>
  <c r="M609" i="2"/>
  <c r="M610" i="2"/>
  <c r="M611" i="2"/>
  <c r="M612" i="2"/>
  <c r="M613" i="2"/>
  <c r="M614" i="2"/>
  <c r="M615" i="2"/>
  <c r="M616" i="2"/>
  <c r="M617" i="2"/>
  <c r="M618" i="2"/>
  <c r="M619" i="2"/>
  <c r="M620" i="2"/>
  <c r="M621" i="2"/>
  <c r="M622" i="2"/>
  <c r="M623" i="2"/>
  <c r="M624" i="2"/>
  <c r="M625" i="2"/>
  <c r="M626" i="2"/>
  <c r="M627" i="2"/>
  <c r="M628" i="2"/>
  <c r="M629" i="2"/>
  <c r="M630" i="2"/>
  <c r="M631" i="2"/>
  <c r="M632" i="2"/>
  <c r="M633" i="2"/>
  <c r="M634" i="2"/>
  <c r="M635" i="2"/>
  <c r="M636" i="2"/>
  <c r="M637" i="2"/>
  <c r="M638" i="2"/>
  <c r="M639" i="2"/>
  <c r="M640" i="2"/>
  <c r="M641" i="2"/>
  <c r="M642" i="2"/>
  <c r="M643" i="2"/>
  <c r="M644" i="2"/>
  <c r="M645" i="2"/>
  <c r="M646" i="2"/>
  <c r="M647" i="2"/>
  <c r="M648" i="2"/>
  <c r="M649" i="2"/>
  <c r="M650" i="2"/>
  <c r="M651" i="2"/>
  <c r="M652" i="2"/>
  <c r="M653" i="2"/>
  <c r="M654" i="2"/>
  <c r="M655" i="2"/>
  <c r="M656" i="2"/>
  <c r="M657" i="2"/>
  <c r="M658" i="2"/>
  <c r="M659" i="2"/>
  <c r="M660" i="2"/>
  <c r="M661" i="2"/>
  <c r="M662" i="2"/>
  <c r="M663" i="2"/>
  <c r="M664" i="2"/>
  <c r="M665" i="2"/>
  <c r="M666" i="2"/>
  <c r="M667" i="2"/>
  <c r="M668" i="2"/>
  <c r="M669" i="2"/>
  <c r="M670" i="2"/>
  <c r="M671" i="2"/>
  <c r="M672" i="2"/>
  <c r="M673" i="2"/>
  <c r="M674" i="2"/>
  <c r="M675" i="2"/>
  <c r="M676" i="2"/>
  <c r="M677" i="2"/>
  <c r="M678" i="2"/>
  <c r="M679" i="2"/>
  <c r="M680" i="2"/>
  <c r="M681" i="2"/>
  <c r="M682" i="2"/>
  <c r="M683" i="2"/>
  <c r="M684" i="2"/>
  <c r="M685" i="2"/>
  <c r="M686" i="2"/>
  <c r="M687" i="2"/>
  <c r="M688" i="2"/>
  <c r="M689" i="2"/>
  <c r="M690" i="2"/>
  <c r="M691" i="2"/>
  <c r="M692" i="2"/>
  <c r="M693" i="2"/>
  <c r="M694" i="2"/>
  <c r="M695" i="2"/>
  <c r="M696" i="2"/>
  <c r="M697" i="2"/>
  <c r="M698" i="2"/>
  <c r="M699" i="2"/>
  <c r="M700" i="2"/>
  <c r="M701" i="2"/>
  <c r="M702" i="2"/>
  <c r="M703" i="2"/>
  <c r="M704" i="2"/>
  <c r="M705" i="2"/>
  <c r="M706" i="2"/>
  <c r="M707" i="2"/>
  <c r="M708" i="2"/>
  <c r="M709" i="2"/>
  <c r="M710" i="2"/>
  <c r="M711" i="2"/>
  <c r="M712" i="2"/>
  <c r="M713" i="2"/>
  <c r="M714" i="2"/>
  <c r="M715" i="2"/>
  <c r="M716" i="2"/>
  <c r="M717" i="2"/>
  <c r="M718" i="2"/>
  <c r="M719" i="2"/>
  <c r="M720" i="2"/>
  <c r="M721" i="2"/>
  <c r="M722" i="2"/>
  <c r="M723" i="2"/>
  <c r="M724" i="2"/>
  <c r="M725" i="2"/>
  <c r="M726" i="2"/>
  <c r="M727" i="2"/>
  <c r="M728" i="2"/>
  <c r="M729" i="2"/>
  <c r="M730" i="2"/>
  <c r="M731" i="2"/>
  <c r="M732" i="2"/>
  <c r="M733" i="2"/>
  <c r="M734" i="2"/>
  <c r="M735" i="2"/>
  <c r="M736" i="2"/>
  <c r="M737" i="2"/>
  <c r="M738" i="2"/>
  <c r="M739" i="2"/>
  <c r="M740" i="2"/>
  <c r="M741" i="2"/>
  <c r="M742" i="2"/>
  <c r="M743" i="2"/>
  <c r="M744" i="2"/>
  <c r="M745" i="2"/>
  <c r="M746" i="2"/>
  <c r="M747" i="2"/>
  <c r="M748" i="2"/>
  <c r="M749" i="2"/>
  <c r="M750" i="2"/>
  <c r="M751" i="2"/>
  <c r="M752" i="2"/>
  <c r="M753" i="2"/>
  <c r="M754" i="2"/>
  <c r="M755" i="2"/>
  <c r="M756" i="2"/>
  <c r="M757" i="2"/>
  <c r="M758" i="2"/>
  <c r="M759" i="2"/>
  <c r="M760" i="2"/>
  <c r="M761" i="2"/>
  <c r="M762" i="2"/>
  <c r="M763" i="2"/>
  <c r="M764" i="2"/>
  <c r="M765" i="2"/>
  <c r="M766" i="2"/>
  <c r="M767" i="2"/>
  <c r="M768" i="2"/>
  <c r="M769" i="2"/>
  <c r="M770" i="2"/>
  <c r="M771" i="2"/>
  <c r="M772" i="2"/>
  <c r="M773" i="2"/>
  <c r="M774" i="2"/>
  <c r="M775" i="2"/>
  <c r="M776" i="2"/>
  <c r="M777" i="2"/>
  <c r="M778" i="2"/>
  <c r="M779" i="2"/>
  <c r="M780" i="2"/>
  <c r="M781" i="2"/>
  <c r="M782" i="2"/>
  <c r="M783" i="2"/>
  <c r="M784" i="2"/>
  <c r="M785" i="2"/>
  <c r="M786" i="2"/>
  <c r="M787" i="2"/>
  <c r="M788" i="2"/>
  <c r="M789" i="2"/>
  <c r="M790" i="2"/>
  <c r="M791" i="2"/>
  <c r="M792" i="2"/>
  <c r="M793" i="2"/>
  <c r="M794" i="2"/>
  <c r="M795" i="2"/>
  <c r="M796" i="2"/>
  <c r="M797" i="2"/>
  <c r="M798" i="2"/>
  <c r="M799" i="2"/>
  <c r="M800" i="2"/>
  <c r="M801" i="2"/>
  <c r="L338" i="2"/>
  <c r="L428" i="2"/>
  <c r="J3" i="2"/>
  <c r="J4" i="2"/>
  <c r="J5" i="2"/>
  <c r="J6" i="2"/>
  <c r="J7" i="2"/>
  <c r="J8" i="2"/>
  <c r="J9" i="2"/>
  <c r="J10" i="2"/>
  <c r="J11" i="2"/>
  <c r="J12" i="2"/>
  <c r="J13" i="2"/>
  <c r="J14" i="2"/>
  <c r="J15" i="2"/>
  <c r="J16" i="2"/>
  <c r="J17" i="2"/>
  <c r="J18" i="2"/>
  <c r="J19" i="2"/>
  <c r="J20" i="2"/>
  <c r="J21" i="2"/>
  <c r="J22" i="2"/>
  <c r="J23" i="2"/>
  <c r="J24" i="2"/>
  <c r="J25" i="2"/>
  <c r="J26" i="2"/>
  <c r="J27" i="2"/>
  <c r="J28" i="2"/>
  <c r="J29" i="2"/>
  <c r="J30" i="2"/>
  <c r="J31" i="2"/>
  <c r="J32" i="2"/>
  <c r="J33" i="2"/>
  <c r="J34" i="2"/>
  <c r="J35" i="2"/>
  <c r="J36" i="2"/>
  <c r="J37" i="2"/>
  <c r="J38" i="2"/>
  <c r="J39" i="2"/>
  <c r="J40" i="2"/>
  <c r="J41" i="2"/>
  <c r="J42" i="2"/>
  <c r="J43" i="2"/>
  <c r="J44" i="2"/>
  <c r="J45" i="2"/>
  <c r="J46" i="2"/>
  <c r="J47" i="2"/>
  <c r="J48" i="2"/>
  <c r="J49" i="2"/>
  <c r="J50" i="2"/>
  <c r="J51" i="2"/>
  <c r="J52" i="2"/>
  <c r="J53" i="2"/>
  <c r="J54" i="2"/>
  <c r="J55" i="2"/>
  <c r="J56" i="2"/>
  <c r="J57" i="2"/>
  <c r="J58" i="2"/>
  <c r="J59" i="2"/>
  <c r="J60" i="2"/>
  <c r="J61" i="2"/>
  <c r="J62" i="2"/>
  <c r="J63" i="2"/>
  <c r="J64" i="2"/>
  <c r="J65" i="2"/>
  <c r="J66" i="2"/>
  <c r="J67" i="2"/>
  <c r="J68" i="2"/>
  <c r="J69" i="2"/>
  <c r="J70" i="2"/>
  <c r="J71" i="2"/>
  <c r="J72" i="2"/>
  <c r="J73" i="2"/>
  <c r="J74" i="2"/>
  <c r="J75" i="2"/>
  <c r="J76" i="2"/>
  <c r="J77" i="2"/>
  <c r="J78" i="2"/>
  <c r="J79" i="2"/>
  <c r="J80" i="2"/>
  <c r="J81" i="2"/>
  <c r="J82" i="2"/>
  <c r="J83" i="2"/>
  <c r="J84" i="2"/>
  <c r="J85" i="2"/>
  <c r="J86" i="2"/>
  <c r="J87" i="2"/>
  <c r="J88" i="2"/>
  <c r="J89" i="2"/>
  <c r="J90" i="2"/>
  <c r="J91" i="2"/>
  <c r="J92" i="2"/>
  <c r="J93" i="2"/>
  <c r="J94" i="2"/>
  <c r="J95" i="2"/>
  <c r="J96" i="2"/>
  <c r="J97" i="2"/>
  <c r="J98" i="2"/>
  <c r="J99" i="2"/>
  <c r="J100" i="2"/>
  <c r="J101" i="2"/>
  <c r="J102" i="2"/>
  <c r="J103" i="2"/>
  <c r="J104" i="2"/>
  <c r="J105" i="2"/>
  <c r="J106" i="2"/>
  <c r="J107" i="2"/>
  <c r="J108" i="2"/>
  <c r="J109" i="2"/>
  <c r="J110" i="2"/>
  <c r="J111" i="2"/>
  <c r="J112" i="2"/>
  <c r="J113" i="2"/>
  <c r="J114" i="2"/>
  <c r="J115" i="2"/>
  <c r="J116" i="2"/>
  <c r="J117" i="2"/>
  <c r="J118" i="2"/>
  <c r="J119" i="2"/>
  <c r="J120" i="2"/>
  <c r="J121" i="2"/>
  <c r="J122" i="2"/>
  <c r="J123" i="2"/>
  <c r="J124" i="2"/>
  <c r="J125" i="2"/>
  <c r="J126" i="2"/>
  <c r="J127" i="2"/>
  <c r="J128" i="2"/>
  <c r="J129" i="2"/>
  <c r="J130" i="2"/>
  <c r="J131" i="2"/>
  <c r="J132" i="2"/>
  <c r="J133" i="2"/>
  <c r="J134" i="2"/>
  <c r="J135" i="2"/>
  <c r="J136" i="2"/>
  <c r="J137" i="2"/>
  <c r="J138" i="2"/>
  <c r="J139" i="2"/>
  <c r="J140" i="2"/>
  <c r="J141" i="2"/>
  <c r="J142" i="2"/>
  <c r="J143" i="2"/>
  <c r="J144" i="2"/>
  <c r="J145" i="2"/>
  <c r="J146" i="2"/>
  <c r="J147" i="2"/>
  <c r="J148" i="2"/>
  <c r="J149" i="2"/>
  <c r="J150" i="2"/>
  <c r="J151" i="2"/>
  <c r="J152" i="2"/>
  <c r="J153" i="2"/>
  <c r="J154" i="2"/>
  <c r="J155" i="2"/>
  <c r="J156" i="2"/>
  <c r="J157" i="2"/>
  <c r="J158" i="2"/>
  <c r="J159" i="2"/>
  <c r="J160" i="2"/>
  <c r="J161" i="2"/>
  <c r="J162" i="2"/>
  <c r="J163" i="2"/>
  <c r="J164" i="2"/>
  <c r="J165" i="2"/>
  <c r="J166" i="2"/>
  <c r="J167" i="2"/>
  <c r="J168" i="2"/>
  <c r="J169" i="2"/>
  <c r="J170" i="2"/>
  <c r="J171" i="2"/>
  <c r="J172" i="2"/>
  <c r="J173" i="2"/>
  <c r="J174" i="2"/>
  <c r="J175" i="2"/>
  <c r="J176" i="2"/>
  <c r="J177" i="2"/>
  <c r="J178" i="2"/>
  <c r="J179" i="2"/>
  <c r="J180" i="2"/>
  <c r="J181" i="2"/>
  <c r="J182" i="2"/>
  <c r="J183" i="2"/>
  <c r="J184" i="2"/>
  <c r="J185" i="2"/>
  <c r="J186" i="2"/>
  <c r="J187" i="2"/>
  <c r="J188" i="2"/>
  <c r="J189" i="2"/>
  <c r="J190" i="2"/>
  <c r="J191" i="2"/>
  <c r="J192" i="2"/>
  <c r="J193" i="2"/>
  <c r="J194" i="2"/>
  <c r="J195" i="2"/>
  <c r="J196" i="2"/>
  <c r="J197" i="2"/>
  <c r="J198" i="2"/>
  <c r="J199" i="2"/>
  <c r="J200" i="2"/>
  <c r="J201" i="2"/>
  <c r="J202" i="2"/>
  <c r="J203" i="2"/>
  <c r="J204" i="2"/>
  <c r="J205" i="2"/>
  <c r="J206" i="2"/>
  <c r="J207" i="2"/>
  <c r="J208" i="2"/>
  <c r="J209" i="2"/>
  <c r="J210" i="2"/>
  <c r="J211" i="2"/>
  <c r="J212" i="2"/>
  <c r="J213" i="2"/>
  <c r="J214" i="2"/>
  <c r="J215" i="2"/>
  <c r="J216" i="2"/>
  <c r="J217" i="2"/>
  <c r="J218" i="2"/>
  <c r="J219" i="2"/>
  <c r="J220" i="2"/>
  <c r="J221" i="2"/>
  <c r="J222" i="2"/>
  <c r="J223" i="2"/>
  <c r="J224" i="2"/>
  <c r="J225" i="2"/>
  <c r="J226" i="2"/>
  <c r="J227" i="2"/>
  <c r="J228" i="2"/>
  <c r="J229" i="2"/>
  <c r="J230" i="2"/>
  <c r="J231" i="2"/>
  <c r="J232" i="2"/>
  <c r="J233" i="2"/>
  <c r="J234" i="2"/>
  <c r="J235" i="2"/>
  <c r="J236" i="2"/>
  <c r="J237" i="2"/>
  <c r="J238" i="2"/>
  <c r="J239" i="2"/>
  <c r="J240" i="2"/>
  <c r="J241" i="2"/>
  <c r="J242" i="2"/>
  <c r="J243" i="2"/>
  <c r="J244" i="2"/>
  <c r="J245" i="2"/>
  <c r="J246" i="2"/>
  <c r="J247" i="2"/>
  <c r="J248" i="2"/>
  <c r="J249" i="2"/>
  <c r="J250" i="2"/>
  <c r="J251" i="2"/>
  <c r="J252" i="2"/>
  <c r="J253" i="2"/>
  <c r="J254" i="2"/>
  <c r="J255" i="2"/>
  <c r="J256" i="2"/>
  <c r="J257" i="2"/>
  <c r="J258" i="2"/>
  <c r="J259" i="2"/>
  <c r="J260" i="2"/>
  <c r="J261" i="2"/>
  <c r="J262" i="2"/>
  <c r="J263" i="2"/>
  <c r="J264" i="2"/>
  <c r="J265" i="2"/>
  <c r="J266" i="2"/>
  <c r="J267" i="2"/>
  <c r="J268" i="2"/>
  <c r="J269" i="2"/>
  <c r="J270" i="2"/>
  <c r="J271" i="2"/>
  <c r="J272" i="2"/>
  <c r="J273" i="2"/>
  <c r="J274" i="2"/>
  <c r="J275" i="2"/>
  <c r="J276" i="2"/>
  <c r="J277" i="2"/>
  <c r="J278" i="2"/>
  <c r="J279" i="2"/>
  <c r="J280" i="2"/>
  <c r="J281" i="2"/>
  <c r="J282" i="2"/>
  <c r="J283" i="2"/>
  <c r="J284" i="2"/>
  <c r="J285" i="2"/>
  <c r="J286" i="2"/>
  <c r="J287" i="2"/>
  <c r="J288" i="2"/>
  <c r="J289" i="2"/>
  <c r="J290" i="2"/>
  <c r="J291" i="2"/>
  <c r="J292" i="2"/>
  <c r="J293" i="2"/>
  <c r="J294" i="2"/>
  <c r="J295" i="2"/>
  <c r="J296" i="2"/>
  <c r="J297" i="2"/>
  <c r="J298" i="2"/>
  <c r="J299" i="2"/>
  <c r="J300" i="2"/>
  <c r="J301" i="2"/>
  <c r="J302" i="2"/>
  <c r="J303" i="2"/>
  <c r="J304" i="2"/>
  <c r="J305" i="2"/>
  <c r="J306" i="2"/>
  <c r="J307" i="2"/>
  <c r="J308" i="2"/>
  <c r="J309" i="2"/>
  <c r="J310" i="2"/>
  <c r="J311" i="2"/>
  <c r="J312" i="2"/>
  <c r="J313" i="2"/>
  <c r="J314" i="2"/>
  <c r="J315" i="2"/>
  <c r="J316" i="2"/>
  <c r="J317" i="2"/>
  <c r="J318" i="2"/>
  <c r="J319" i="2"/>
  <c r="J320" i="2"/>
  <c r="J321" i="2"/>
  <c r="J322" i="2"/>
  <c r="J323" i="2"/>
  <c r="J324" i="2"/>
  <c r="J325" i="2"/>
  <c r="J326" i="2"/>
  <c r="J327" i="2"/>
  <c r="J328" i="2"/>
  <c r="J329" i="2"/>
  <c r="J330" i="2"/>
  <c r="J331" i="2"/>
  <c r="J332" i="2"/>
  <c r="J333" i="2"/>
  <c r="J334" i="2"/>
  <c r="J335" i="2"/>
  <c r="J336" i="2"/>
  <c r="J337" i="2"/>
  <c r="J338" i="2"/>
  <c r="J339" i="2"/>
  <c r="J340" i="2"/>
  <c r="J341" i="2"/>
  <c r="J342" i="2"/>
  <c r="J343" i="2"/>
  <c r="J344" i="2"/>
  <c r="J345" i="2"/>
  <c r="J346" i="2"/>
  <c r="J347" i="2"/>
  <c r="J348" i="2"/>
  <c r="J349" i="2"/>
  <c r="J350" i="2"/>
  <c r="J351" i="2"/>
  <c r="J352" i="2"/>
  <c r="J353" i="2"/>
  <c r="J354" i="2"/>
  <c r="J355" i="2"/>
  <c r="J356" i="2"/>
  <c r="J357" i="2"/>
  <c r="J358" i="2"/>
  <c r="J359" i="2"/>
  <c r="J360" i="2"/>
  <c r="J361" i="2"/>
  <c r="J362" i="2"/>
  <c r="J363" i="2"/>
  <c r="J364" i="2"/>
  <c r="J365" i="2"/>
  <c r="J366" i="2"/>
  <c r="J367" i="2"/>
  <c r="J368" i="2"/>
  <c r="J369" i="2"/>
  <c r="J370" i="2"/>
  <c r="J371" i="2"/>
  <c r="J372" i="2"/>
  <c r="J373" i="2"/>
  <c r="J374" i="2"/>
  <c r="J375" i="2"/>
  <c r="J376" i="2"/>
  <c r="J377" i="2"/>
  <c r="J378" i="2"/>
  <c r="J379" i="2"/>
  <c r="J380" i="2"/>
  <c r="J381" i="2"/>
  <c r="J382" i="2"/>
  <c r="J383" i="2"/>
  <c r="J384" i="2"/>
  <c r="J385" i="2"/>
  <c r="J386" i="2"/>
  <c r="J387" i="2"/>
  <c r="J388" i="2"/>
  <c r="J389" i="2"/>
  <c r="J390" i="2"/>
  <c r="J391" i="2"/>
  <c r="J392" i="2"/>
  <c r="J393" i="2"/>
  <c r="J394" i="2"/>
  <c r="J395" i="2"/>
  <c r="J396" i="2"/>
  <c r="J397" i="2"/>
  <c r="J398" i="2"/>
  <c r="J399" i="2"/>
  <c r="J400" i="2"/>
  <c r="J401" i="2"/>
  <c r="J402" i="2"/>
  <c r="J403" i="2"/>
  <c r="J404" i="2"/>
  <c r="J405" i="2"/>
  <c r="J406" i="2"/>
  <c r="J407" i="2"/>
  <c r="J408" i="2"/>
  <c r="J409" i="2"/>
  <c r="J410" i="2"/>
  <c r="J411" i="2"/>
  <c r="J412" i="2"/>
  <c r="J413" i="2"/>
  <c r="J414" i="2"/>
  <c r="J415" i="2"/>
  <c r="J416" i="2"/>
  <c r="J417" i="2"/>
  <c r="J418" i="2"/>
  <c r="J419" i="2"/>
  <c r="J420" i="2"/>
  <c r="J421" i="2"/>
  <c r="J422" i="2"/>
  <c r="J423" i="2"/>
  <c r="J424" i="2"/>
  <c r="J425" i="2"/>
  <c r="J426" i="2"/>
  <c r="J427" i="2"/>
  <c r="J428" i="2"/>
  <c r="J429" i="2"/>
  <c r="J430" i="2"/>
  <c r="J431" i="2"/>
  <c r="J432" i="2"/>
  <c r="J433" i="2"/>
  <c r="J434" i="2"/>
  <c r="J435" i="2"/>
  <c r="J436" i="2"/>
  <c r="J437" i="2"/>
  <c r="J438" i="2"/>
  <c r="J439" i="2"/>
  <c r="J440" i="2"/>
  <c r="J441" i="2"/>
  <c r="J442" i="2"/>
  <c r="J443" i="2"/>
  <c r="J444" i="2"/>
  <c r="J445" i="2"/>
  <c r="J446" i="2"/>
  <c r="J447" i="2"/>
  <c r="J448" i="2"/>
  <c r="J449" i="2"/>
  <c r="J450" i="2"/>
  <c r="J451" i="2"/>
  <c r="J452" i="2"/>
  <c r="J453" i="2"/>
  <c r="J454" i="2"/>
  <c r="J455" i="2"/>
  <c r="J456" i="2"/>
  <c r="J457" i="2"/>
  <c r="J458" i="2"/>
  <c r="J459" i="2"/>
  <c r="J460" i="2"/>
  <c r="J461" i="2"/>
  <c r="J462" i="2"/>
  <c r="J463" i="2"/>
  <c r="J464" i="2"/>
  <c r="J465" i="2"/>
  <c r="J466" i="2"/>
  <c r="J467" i="2"/>
  <c r="J468" i="2"/>
  <c r="J469" i="2"/>
  <c r="J470" i="2"/>
  <c r="J471" i="2"/>
  <c r="J472" i="2"/>
  <c r="J473" i="2"/>
  <c r="J474" i="2"/>
  <c r="J475" i="2"/>
  <c r="J476" i="2"/>
  <c r="J477" i="2"/>
  <c r="J478" i="2"/>
  <c r="J479" i="2"/>
  <c r="J480" i="2"/>
  <c r="J481" i="2"/>
  <c r="J482" i="2"/>
  <c r="J483" i="2"/>
  <c r="J484" i="2"/>
  <c r="J485" i="2"/>
  <c r="J486" i="2"/>
  <c r="J487" i="2"/>
  <c r="J488" i="2"/>
  <c r="J489" i="2"/>
  <c r="J490" i="2"/>
  <c r="J491" i="2"/>
  <c r="J492" i="2"/>
  <c r="J493" i="2"/>
  <c r="J494" i="2"/>
  <c r="J495" i="2"/>
  <c r="J496" i="2"/>
  <c r="J497" i="2"/>
  <c r="J498" i="2"/>
  <c r="J499" i="2"/>
  <c r="J500" i="2"/>
  <c r="J501" i="2"/>
  <c r="J502" i="2"/>
  <c r="J503" i="2"/>
  <c r="J504" i="2"/>
  <c r="J505" i="2"/>
  <c r="J506" i="2"/>
  <c r="J507" i="2"/>
  <c r="J508" i="2"/>
  <c r="J509" i="2"/>
  <c r="J510" i="2"/>
  <c r="J511" i="2"/>
  <c r="J512" i="2"/>
  <c r="J513" i="2"/>
  <c r="J514" i="2"/>
  <c r="J515" i="2"/>
  <c r="J516" i="2"/>
  <c r="J517" i="2"/>
  <c r="J518" i="2"/>
  <c r="J519" i="2"/>
  <c r="J520" i="2"/>
  <c r="J521" i="2"/>
  <c r="J522" i="2"/>
  <c r="J523" i="2"/>
  <c r="J524" i="2"/>
  <c r="J525" i="2"/>
  <c r="J526" i="2"/>
  <c r="J527" i="2"/>
  <c r="J528" i="2"/>
  <c r="J529" i="2"/>
  <c r="J530" i="2"/>
  <c r="J531" i="2"/>
  <c r="J532" i="2"/>
  <c r="J533" i="2"/>
  <c r="J534" i="2"/>
  <c r="J535" i="2"/>
  <c r="J536" i="2"/>
  <c r="J537" i="2"/>
  <c r="J538" i="2"/>
  <c r="J539" i="2"/>
  <c r="J540" i="2"/>
  <c r="J541" i="2"/>
  <c r="J542" i="2"/>
  <c r="J543" i="2"/>
  <c r="J544" i="2"/>
  <c r="J545" i="2"/>
  <c r="J546" i="2"/>
  <c r="J547" i="2"/>
  <c r="J548" i="2"/>
  <c r="J549" i="2"/>
  <c r="J550" i="2"/>
  <c r="J551" i="2"/>
  <c r="J552" i="2"/>
  <c r="J553" i="2"/>
  <c r="J554" i="2"/>
  <c r="J555" i="2"/>
  <c r="J556" i="2"/>
  <c r="J557" i="2"/>
  <c r="J558" i="2"/>
  <c r="J559" i="2"/>
  <c r="J560" i="2"/>
  <c r="J561" i="2"/>
  <c r="J562" i="2"/>
  <c r="J563" i="2"/>
  <c r="J564" i="2"/>
  <c r="J565" i="2"/>
  <c r="J566" i="2"/>
  <c r="J567" i="2"/>
  <c r="J568" i="2"/>
  <c r="J569" i="2"/>
  <c r="J570" i="2"/>
  <c r="J571" i="2"/>
  <c r="J572" i="2"/>
  <c r="J573" i="2"/>
  <c r="J574" i="2"/>
  <c r="J575" i="2"/>
  <c r="J576" i="2"/>
  <c r="J577" i="2"/>
  <c r="J578" i="2"/>
  <c r="J579" i="2"/>
  <c r="J580" i="2"/>
  <c r="J581" i="2"/>
  <c r="J582" i="2"/>
  <c r="J583" i="2"/>
  <c r="J584" i="2"/>
  <c r="J585" i="2"/>
  <c r="J586" i="2"/>
  <c r="J587" i="2"/>
  <c r="J588" i="2"/>
  <c r="J589" i="2"/>
  <c r="J590" i="2"/>
  <c r="J591" i="2"/>
  <c r="J592" i="2"/>
  <c r="J593" i="2"/>
  <c r="J594" i="2"/>
  <c r="J595" i="2"/>
  <c r="J596" i="2"/>
  <c r="J597" i="2"/>
  <c r="J598" i="2"/>
  <c r="J599" i="2"/>
  <c r="J600" i="2"/>
  <c r="J601" i="2"/>
  <c r="J602" i="2"/>
  <c r="J603" i="2"/>
  <c r="J604" i="2"/>
  <c r="J605" i="2"/>
  <c r="J606" i="2"/>
  <c r="J607" i="2"/>
  <c r="J608" i="2"/>
  <c r="J609" i="2"/>
  <c r="J610" i="2"/>
  <c r="J611" i="2"/>
  <c r="J612" i="2"/>
  <c r="J613" i="2"/>
  <c r="J614" i="2"/>
  <c r="J615" i="2"/>
  <c r="J616" i="2"/>
  <c r="J617" i="2"/>
  <c r="J618" i="2"/>
  <c r="J619" i="2"/>
  <c r="J620" i="2"/>
  <c r="J621" i="2"/>
  <c r="J622" i="2"/>
  <c r="J623" i="2"/>
  <c r="J624" i="2"/>
  <c r="J625" i="2"/>
  <c r="J626" i="2"/>
  <c r="J627" i="2"/>
  <c r="J628" i="2"/>
  <c r="J629" i="2"/>
  <c r="J630" i="2"/>
  <c r="J631" i="2"/>
  <c r="J632" i="2"/>
  <c r="J633" i="2"/>
  <c r="J634" i="2"/>
  <c r="J635" i="2"/>
  <c r="J636" i="2"/>
  <c r="J637" i="2"/>
  <c r="J638" i="2"/>
  <c r="J639" i="2"/>
  <c r="J640" i="2"/>
  <c r="J641" i="2"/>
  <c r="J642" i="2"/>
  <c r="J643" i="2"/>
  <c r="J644" i="2"/>
  <c r="J645" i="2"/>
  <c r="J646" i="2"/>
  <c r="J647" i="2"/>
  <c r="J648" i="2"/>
  <c r="J649" i="2"/>
  <c r="J650" i="2"/>
  <c r="J651" i="2"/>
  <c r="J652" i="2"/>
  <c r="J653" i="2"/>
  <c r="J654" i="2"/>
  <c r="J655" i="2"/>
  <c r="J656" i="2"/>
  <c r="J657" i="2"/>
  <c r="J658" i="2"/>
  <c r="J659" i="2"/>
  <c r="J660" i="2"/>
  <c r="J661" i="2"/>
  <c r="J662" i="2"/>
  <c r="J663" i="2"/>
  <c r="J664" i="2"/>
  <c r="J665" i="2"/>
  <c r="J666" i="2"/>
  <c r="J667" i="2"/>
  <c r="J668" i="2"/>
  <c r="J669" i="2"/>
  <c r="J670" i="2"/>
  <c r="J671" i="2"/>
  <c r="J672" i="2"/>
  <c r="J673" i="2"/>
  <c r="J674" i="2"/>
  <c r="J675" i="2"/>
  <c r="J676" i="2"/>
  <c r="J677" i="2"/>
  <c r="J678" i="2"/>
  <c r="J679" i="2"/>
  <c r="J680" i="2"/>
  <c r="J681" i="2"/>
  <c r="J682" i="2"/>
  <c r="J683" i="2"/>
  <c r="J684" i="2"/>
  <c r="J685" i="2"/>
  <c r="J686" i="2"/>
  <c r="J687" i="2"/>
  <c r="J688" i="2"/>
  <c r="J689" i="2"/>
  <c r="J690" i="2"/>
  <c r="J691" i="2"/>
  <c r="J692" i="2"/>
  <c r="J693" i="2"/>
  <c r="J694" i="2"/>
  <c r="J695" i="2"/>
  <c r="J696" i="2"/>
  <c r="J697" i="2"/>
  <c r="J698" i="2"/>
  <c r="J699" i="2"/>
  <c r="J700" i="2"/>
  <c r="J701" i="2"/>
  <c r="J702" i="2"/>
  <c r="J703" i="2"/>
  <c r="J704" i="2"/>
  <c r="J705" i="2"/>
  <c r="J706" i="2"/>
  <c r="J707" i="2"/>
  <c r="J708" i="2"/>
  <c r="J709" i="2"/>
  <c r="J710" i="2"/>
  <c r="J711" i="2"/>
  <c r="J712" i="2"/>
  <c r="J713" i="2"/>
  <c r="J714" i="2"/>
  <c r="J715" i="2"/>
  <c r="J716" i="2"/>
  <c r="J717" i="2"/>
  <c r="J718" i="2"/>
  <c r="J719" i="2"/>
  <c r="J720" i="2"/>
  <c r="J721" i="2"/>
  <c r="J722" i="2"/>
  <c r="J723" i="2"/>
  <c r="J724" i="2"/>
  <c r="J725" i="2"/>
  <c r="J726" i="2"/>
  <c r="J727" i="2"/>
  <c r="J728" i="2"/>
  <c r="J729" i="2"/>
  <c r="J730" i="2"/>
  <c r="J731" i="2"/>
  <c r="J732" i="2"/>
  <c r="J733" i="2"/>
  <c r="J734" i="2"/>
  <c r="J735" i="2"/>
  <c r="J736" i="2"/>
  <c r="J737" i="2"/>
  <c r="J738" i="2"/>
  <c r="J739" i="2"/>
  <c r="J740" i="2"/>
  <c r="J741" i="2"/>
  <c r="J742" i="2"/>
  <c r="J743" i="2"/>
  <c r="J744" i="2"/>
  <c r="J745" i="2"/>
  <c r="J746" i="2"/>
  <c r="J747" i="2"/>
  <c r="J748" i="2"/>
  <c r="J749" i="2"/>
  <c r="J750" i="2"/>
  <c r="J751" i="2"/>
  <c r="J752" i="2"/>
  <c r="J753" i="2"/>
  <c r="J754" i="2"/>
  <c r="J755" i="2"/>
  <c r="J756" i="2"/>
  <c r="J757" i="2"/>
  <c r="J758" i="2"/>
  <c r="J759" i="2"/>
  <c r="J760" i="2"/>
  <c r="J761" i="2"/>
  <c r="J762" i="2"/>
  <c r="J763" i="2"/>
  <c r="J764" i="2"/>
  <c r="J765" i="2"/>
  <c r="J766" i="2"/>
  <c r="J767" i="2"/>
  <c r="J768" i="2"/>
  <c r="J769" i="2"/>
  <c r="J770" i="2"/>
  <c r="J771" i="2"/>
  <c r="J772" i="2"/>
  <c r="J773" i="2"/>
  <c r="J774" i="2"/>
  <c r="J775" i="2"/>
  <c r="J776" i="2"/>
  <c r="J777" i="2"/>
  <c r="J778" i="2"/>
  <c r="J779" i="2"/>
  <c r="J780" i="2"/>
  <c r="J781" i="2"/>
  <c r="J782" i="2"/>
  <c r="J783" i="2"/>
  <c r="J784" i="2"/>
  <c r="J785" i="2"/>
  <c r="J786" i="2"/>
  <c r="J787" i="2"/>
  <c r="J788" i="2"/>
  <c r="J789" i="2"/>
  <c r="J790" i="2"/>
  <c r="J791" i="2"/>
  <c r="J792" i="2"/>
  <c r="J793" i="2"/>
  <c r="J794" i="2"/>
  <c r="J795" i="2"/>
  <c r="J796" i="2"/>
  <c r="J797" i="2"/>
  <c r="J798" i="2"/>
  <c r="J799" i="2"/>
  <c r="J800" i="2"/>
  <c r="J801" i="2"/>
  <c r="I3" i="2"/>
  <c r="I4" i="2"/>
  <c r="I5" i="2"/>
  <c r="I6" i="2"/>
  <c r="I7" i="2"/>
  <c r="I8" i="2"/>
  <c r="I9" i="2"/>
  <c r="I10" i="2"/>
  <c r="I11" i="2"/>
  <c r="I12" i="2"/>
  <c r="I13" i="2"/>
  <c r="I14" i="2"/>
  <c r="I15" i="2"/>
  <c r="K15" i="2" s="1"/>
  <c r="I16" i="2"/>
  <c r="I17" i="2"/>
  <c r="I18" i="2"/>
  <c r="I19" i="2"/>
  <c r="I20" i="2"/>
  <c r="I21" i="2"/>
  <c r="I22" i="2"/>
  <c r="I23" i="2"/>
  <c r="I24" i="2"/>
  <c r="I25" i="2"/>
  <c r="I26" i="2"/>
  <c r="I27" i="2"/>
  <c r="I28" i="2"/>
  <c r="I29" i="2"/>
  <c r="I30" i="2"/>
  <c r="I31" i="2"/>
  <c r="I32" i="2"/>
  <c r="I33" i="2"/>
  <c r="I34" i="2"/>
  <c r="I35" i="2"/>
  <c r="I36" i="2"/>
  <c r="I37" i="2"/>
  <c r="I38" i="2"/>
  <c r="I39" i="2"/>
  <c r="I40" i="2"/>
  <c r="I41" i="2"/>
  <c r="I42" i="2"/>
  <c r="I43" i="2"/>
  <c r="I44" i="2"/>
  <c r="I45" i="2"/>
  <c r="I46" i="2"/>
  <c r="I47" i="2"/>
  <c r="K47" i="2" s="1"/>
  <c r="L47" i="2" s="1"/>
  <c r="I48" i="2"/>
  <c r="I49" i="2"/>
  <c r="I50" i="2"/>
  <c r="I51" i="2"/>
  <c r="I52" i="2"/>
  <c r="I53" i="2"/>
  <c r="I54" i="2"/>
  <c r="I55" i="2"/>
  <c r="I56" i="2"/>
  <c r="I57" i="2"/>
  <c r="I58" i="2"/>
  <c r="I59" i="2"/>
  <c r="I60" i="2"/>
  <c r="I61" i="2"/>
  <c r="I62" i="2"/>
  <c r="I63" i="2"/>
  <c r="I64" i="2"/>
  <c r="I65" i="2"/>
  <c r="I66" i="2"/>
  <c r="I67" i="2"/>
  <c r="I68" i="2"/>
  <c r="I69" i="2"/>
  <c r="I70" i="2"/>
  <c r="I71" i="2"/>
  <c r="I72" i="2"/>
  <c r="I73" i="2"/>
  <c r="I74" i="2"/>
  <c r="I75" i="2"/>
  <c r="I76" i="2"/>
  <c r="I77" i="2"/>
  <c r="I78" i="2"/>
  <c r="I79" i="2"/>
  <c r="K79" i="2" s="1"/>
  <c r="I80" i="2"/>
  <c r="I81" i="2"/>
  <c r="I82" i="2"/>
  <c r="I83" i="2"/>
  <c r="I84" i="2"/>
  <c r="I85" i="2"/>
  <c r="I86" i="2"/>
  <c r="I87" i="2"/>
  <c r="I88" i="2"/>
  <c r="I89" i="2"/>
  <c r="I90" i="2"/>
  <c r="I91" i="2"/>
  <c r="I92" i="2"/>
  <c r="I93" i="2"/>
  <c r="I94" i="2"/>
  <c r="I95" i="2"/>
  <c r="I96" i="2"/>
  <c r="I97" i="2"/>
  <c r="I98" i="2"/>
  <c r="I99" i="2"/>
  <c r="I100" i="2"/>
  <c r="I101" i="2"/>
  <c r="I102" i="2"/>
  <c r="I103" i="2"/>
  <c r="I104" i="2"/>
  <c r="I105" i="2"/>
  <c r="I106" i="2"/>
  <c r="I107" i="2"/>
  <c r="I108" i="2"/>
  <c r="I109" i="2"/>
  <c r="I110" i="2"/>
  <c r="I111" i="2"/>
  <c r="I112" i="2"/>
  <c r="I113" i="2"/>
  <c r="I114" i="2"/>
  <c r="I115" i="2"/>
  <c r="I116" i="2"/>
  <c r="I117" i="2"/>
  <c r="I118" i="2"/>
  <c r="I119" i="2"/>
  <c r="K119" i="2" s="1"/>
  <c r="I120" i="2"/>
  <c r="I121" i="2"/>
  <c r="I122" i="2"/>
  <c r="I123" i="2"/>
  <c r="I124" i="2"/>
  <c r="I125" i="2"/>
  <c r="I126" i="2"/>
  <c r="I127" i="2"/>
  <c r="K127" i="2" s="1"/>
  <c r="L127" i="2" s="1"/>
  <c r="I128" i="2"/>
  <c r="I129" i="2"/>
  <c r="I130" i="2"/>
  <c r="I131" i="2"/>
  <c r="I132" i="2"/>
  <c r="I133" i="2"/>
  <c r="I134" i="2"/>
  <c r="I135" i="2"/>
  <c r="K135" i="2" s="1"/>
  <c r="I136" i="2"/>
  <c r="I137" i="2"/>
  <c r="I138" i="2"/>
  <c r="I139" i="2"/>
  <c r="I140" i="2"/>
  <c r="I141" i="2"/>
  <c r="I142" i="2"/>
  <c r="I143" i="2"/>
  <c r="K143" i="2" s="1"/>
  <c r="I144" i="2"/>
  <c r="I145" i="2"/>
  <c r="I146" i="2"/>
  <c r="I147" i="2"/>
  <c r="I148" i="2"/>
  <c r="I149" i="2"/>
  <c r="I150" i="2"/>
  <c r="I151" i="2"/>
  <c r="K151" i="2" s="1"/>
  <c r="I152" i="2"/>
  <c r="I153" i="2"/>
  <c r="I154" i="2"/>
  <c r="I155" i="2"/>
  <c r="I156" i="2"/>
  <c r="I157" i="2"/>
  <c r="I158" i="2"/>
  <c r="I159" i="2"/>
  <c r="K159" i="2" s="1"/>
  <c r="I160" i="2"/>
  <c r="I161" i="2"/>
  <c r="I162" i="2"/>
  <c r="I163" i="2"/>
  <c r="I164" i="2"/>
  <c r="I165" i="2"/>
  <c r="I166" i="2"/>
  <c r="I167" i="2"/>
  <c r="K167" i="2" s="1"/>
  <c r="I168" i="2"/>
  <c r="I169" i="2"/>
  <c r="I170" i="2"/>
  <c r="I171" i="2"/>
  <c r="I172" i="2"/>
  <c r="I173" i="2"/>
  <c r="I174" i="2"/>
  <c r="I175" i="2"/>
  <c r="K175" i="2" s="1"/>
  <c r="I176" i="2"/>
  <c r="I177" i="2"/>
  <c r="I178" i="2"/>
  <c r="I179" i="2"/>
  <c r="I180" i="2"/>
  <c r="I181" i="2"/>
  <c r="I182" i="2"/>
  <c r="I183" i="2"/>
  <c r="K183" i="2" s="1"/>
  <c r="L183" i="2" s="1"/>
  <c r="I184" i="2"/>
  <c r="I185" i="2"/>
  <c r="I186" i="2"/>
  <c r="I187" i="2"/>
  <c r="I188" i="2"/>
  <c r="I189" i="2"/>
  <c r="I190" i="2"/>
  <c r="I191" i="2"/>
  <c r="K191" i="2" s="1"/>
  <c r="I192" i="2"/>
  <c r="I193" i="2"/>
  <c r="I194" i="2"/>
  <c r="I195" i="2"/>
  <c r="I196" i="2"/>
  <c r="I197" i="2"/>
  <c r="I198" i="2"/>
  <c r="I199" i="2"/>
  <c r="K199" i="2" s="1"/>
  <c r="I200" i="2"/>
  <c r="I201" i="2"/>
  <c r="I202" i="2"/>
  <c r="I203" i="2"/>
  <c r="I204" i="2"/>
  <c r="I205" i="2"/>
  <c r="I206" i="2"/>
  <c r="I207" i="2"/>
  <c r="K207" i="2" s="1"/>
  <c r="I208" i="2"/>
  <c r="I209" i="2"/>
  <c r="I210" i="2"/>
  <c r="I211" i="2"/>
  <c r="I212" i="2"/>
  <c r="I213" i="2"/>
  <c r="I214" i="2"/>
  <c r="I215" i="2"/>
  <c r="K215" i="2" s="1"/>
  <c r="I216" i="2"/>
  <c r="I217" i="2"/>
  <c r="I218" i="2"/>
  <c r="I219" i="2"/>
  <c r="I220" i="2"/>
  <c r="I221" i="2"/>
  <c r="I222" i="2"/>
  <c r="I223" i="2"/>
  <c r="I224" i="2"/>
  <c r="I225" i="2"/>
  <c r="I226" i="2"/>
  <c r="I227" i="2"/>
  <c r="I228" i="2"/>
  <c r="I229" i="2"/>
  <c r="I230" i="2"/>
  <c r="I231" i="2"/>
  <c r="I232" i="2"/>
  <c r="I233" i="2"/>
  <c r="I234" i="2"/>
  <c r="I235" i="2"/>
  <c r="I236" i="2"/>
  <c r="I237" i="2"/>
  <c r="I238" i="2"/>
  <c r="I239" i="2"/>
  <c r="I240" i="2"/>
  <c r="I241" i="2"/>
  <c r="I242" i="2"/>
  <c r="I243" i="2"/>
  <c r="I244" i="2"/>
  <c r="I245" i="2"/>
  <c r="I246" i="2"/>
  <c r="I247" i="2"/>
  <c r="I248" i="2"/>
  <c r="I249" i="2"/>
  <c r="I250" i="2"/>
  <c r="I251" i="2"/>
  <c r="I252" i="2"/>
  <c r="I253" i="2"/>
  <c r="I254" i="2"/>
  <c r="I255" i="2"/>
  <c r="I256" i="2"/>
  <c r="I257" i="2"/>
  <c r="I258" i="2"/>
  <c r="I259" i="2"/>
  <c r="I260" i="2"/>
  <c r="I261" i="2"/>
  <c r="I262" i="2"/>
  <c r="I263" i="2"/>
  <c r="I264" i="2"/>
  <c r="I265" i="2"/>
  <c r="I266" i="2"/>
  <c r="I267" i="2"/>
  <c r="K267" i="2" s="1"/>
  <c r="I268" i="2"/>
  <c r="I269" i="2"/>
  <c r="I270" i="2"/>
  <c r="I271" i="2"/>
  <c r="I272" i="2"/>
  <c r="I273" i="2"/>
  <c r="I274" i="2"/>
  <c r="I275" i="2"/>
  <c r="K275" i="2" s="1"/>
  <c r="I276" i="2"/>
  <c r="I277" i="2"/>
  <c r="I278" i="2"/>
  <c r="I279" i="2"/>
  <c r="I280" i="2"/>
  <c r="I281" i="2"/>
  <c r="I282" i="2"/>
  <c r="I283" i="2"/>
  <c r="I284" i="2"/>
  <c r="I285" i="2"/>
  <c r="I286" i="2"/>
  <c r="I287" i="2"/>
  <c r="I288" i="2"/>
  <c r="I289" i="2"/>
  <c r="I290" i="2"/>
  <c r="I291" i="2"/>
  <c r="I292" i="2"/>
  <c r="I293" i="2"/>
  <c r="I294" i="2"/>
  <c r="I295" i="2"/>
  <c r="I296" i="2"/>
  <c r="I297" i="2"/>
  <c r="I298" i="2"/>
  <c r="I299" i="2"/>
  <c r="I300" i="2"/>
  <c r="I301" i="2"/>
  <c r="I302" i="2"/>
  <c r="I303" i="2"/>
  <c r="I304" i="2"/>
  <c r="I305" i="2"/>
  <c r="I306" i="2"/>
  <c r="I307" i="2"/>
  <c r="I308" i="2"/>
  <c r="I309" i="2"/>
  <c r="I310" i="2"/>
  <c r="I311" i="2"/>
  <c r="I312" i="2"/>
  <c r="I313" i="2"/>
  <c r="I314" i="2"/>
  <c r="I315" i="2"/>
  <c r="I316" i="2"/>
  <c r="I317" i="2"/>
  <c r="I318" i="2"/>
  <c r="I319" i="2"/>
  <c r="I320" i="2"/>
  <c r="I321" i="2"/>
  <c r="I322" i="2"/>
  <c r="I323" i="2"/>
  <c r="I324" i="2"/>
  <c r="I325" i="2"/>
  <c r="I326" i="2"/>
  <c r="I327" i="2"/>
  <c r="I328" i="2"/>
  <c r="I329" i="2"/>
  <c r="I330" i="2"/>
  <c r="I331" i="2"/>
  <c r="I332" i="2"/>
  <c r="I333" i="2"/>
  <c r="I334" i="2"/>
  <c r="I335" i="2"/>
  <c r="I336" i="2"/>
  <c r="I337" i="2"/>
  <c r="I338" i="2"/>
  <c r="I339" i="2"/>
  <c r="I340" i="2"/>
  <c r="I341" i="2"/>
  <c r="I342" i="2"/>
  <c r="I343" i="2"/>
  <c r="I344" i="2"/>
  <c r="I345" i="2"/>
  <c r="I346" i="2"/>
  <c r="I347" i="2"/>
  <c r="I348" i="2"/>
  <c r="I349" i="2"/>
  <c r="I350" i="2"/>
  <c r="I351" i="2"/>
  <c r="I352" i="2"/>
  <c r="I353" i="2"/>
  <c r="I354" i="2"/>
  <c r="I355" i="2"/>
  <c r="I356" i="2"/>
  <c r="I357" i="2"/>
  <c r="I358" i="2"/>
  <c r="I359" i="2"/>
  <c r="I360" i="2"/>
  <c r="I361" i="2"/>
  <c r="I362" i="2"/>
  <c r="I363" i="2"/>
  <c r="I364" i="2"/>
  <c r="I365" i="2"/>
  <c r="I366" i="2"/>
  <c r="I367" i="2"/>
  <c r="I368" i="2"/>
  <c r="I369" i="2"/>
  <c r="I370" i="2"/>
  <c r="I371" i="2"/>
  <c r="I372" i="2"/>
  <c r="I373" i="2"/>
  <c r="I374" i="2"/>
  <c r="I375" i="2"/>
  <c r="I376" i="2"/>
  <c r="I377" i="2"/>
  <c r="I378" i="2"/>
  <c r="I379" i="2"/>
  <c r="I380" i="2"/>
  <c r="I381" i="2"/>
  <c r="I382" i="2"/>
  <c r="I383" i="2"/>
  <c r="I384" i="2"/>
  <c r="I385" i="2"/>
  <c r="I386" i="2"/>
  <c r="I387" i="2"/>
  <c r="I388" i="2"/>
  <c r="I389" i="2"/>
  <c r="I390" i="2"/>
  <c r="I391" i="2"/>
  <c r="I392" i="2"/>
  <c r="I393" i="2"/>
  <c r="I394" i="2"/>
  <c r="I395" i="2"/>
  <c r="I396" i="2"/>
  <c r="I397" i="2"/>
  <c r="I398" i="2"/>
  <c r="I399" i="2"/>
  <c r="I400" i="2"/>
  <c r="I401" i="2"/>
  <c r="I402" i="2"/>
  <c r="I403" i="2"/>
  <c r="I404" i="2"/>
  <c r="I405" i="2"/>
  <c r="I406" i="2"/>
  <c r="I407" i="2"/>
  <c r="I408" i="2"/>
  <c r="I409" i="2"/>
  <c r="I410" i="2"/>
  <c r="I411" i="2"/>
  <c r="I412" i="2"/>
  <c r="I413" i="2"/>
  <c r="I414" i="2"/>
  <c r="I415" i="2"/>
  <c r="I416" i="2"/>
  <c r="I417" i="2"/>
  <c r="I418" i="2"/>
  <c r="I419" i="2"/>
  <c r="I420" i="2"/>
  <c r="I421" i="2"/>
  <c r="I422" i="2"/>
  <c r="I423" i="2"/>
  <c r="I424" i="2"/>
  <c r="I425" i="2"/>
  <c r="I426" i="2"/>
  <c r="I427" i="2"/>
  <c r="I428" i="2"/>
  <c r="I429" i="2"/>
  <c r="I430" i="2"/>
  <c r="I431" i="2"/>
  <c r="I432" i="2"/>
  <c r="I433" i="2"/>
  <c r="I434" i="2"/>
  <c r="I435" i="2"/>
  <c r="I436" i="2"/>
  <c r="I437" i="2"/>
  <c r="I438" i="2"/>
  <c r="I439" i="2"/>
  <c r="I440" i="2"/>
  <c r="I441" i="2"/>
  <c r="I442" i="2"/>
  <c r="I443" i="2"/>
  <c r="I444" i="2"/>
  <c r="I445" i="2"/>
  <c r="I446" i="2"/>
  <c r="I447" i="2"/>
  <c r="I448" i="2"/>
  <c r="I449" i="2"/>
  <c r="I450" i="2"/>
  <c r="I451" i="2"/>
  <c r="I452" i="2"/>
  <c r="I453" i="2"/>
  <c r="I454" i="2"/>
  <c r="I455" i="2"/>
  <c r="I456" i="2"/>
  <c r="I457" i="2"/>
  <c r="I458" i="2"/>
  <c r="I459" i="2"/>
  <c r="I460" i="2"/>
  <c r="I461" i="2"/>
  <c r="I462" i="2"/>
  <c r="I463" i="2"/>
  <c r="I464" i="2"/>
  <c r="I465" i="2"/>
  <c r="I466" i="2"/>
  <c r="I467" i="2"/>
  <c r="I468" i="2"/>
  <c r="I469" i="2"/>
  <c r="I470" i="2"/>
  <c r="I471" i="2"/>
  <c r="I472" i="2"/>
  <c r="I473" i="2"/>
  <c r="I474" i="2"/>
  <c r="I475" i="2"/>
  <c r="I476" i="2"/>
  <c r="I477" i="2"/>
  <c r="I478" i="2"/>
  <c r="I479" i="2"/>
  <c r="I480" i="2"/>
  <c r="I481" i="2"/>
  <c r="I482" i="2"/>
  <c r="I483" i="2"/>
  <c r="I484" i="2"/>
  <c r="I485" i="2"/>
  <c r="I486" i="2"/>
  <c r="I487" i="2"/>
  <c r="I488" i="2"/>
  <c r="I489" i="2"/>
  <c r="I490" i="2"/>
  <c r="I491" i="2"/>
  <c r="I492" i="2"/>
  <c r="I493" i="2"/>
  <c r="I494" i="2"/>
  <c r="I495" i="2"/>
  <c r="I496" i="2"/>
  <c r="I497" i="2"/>
  <c r="I498" i="2"/>
  <c r="I499" i="2"/>
  <c r="I500" i="2"/>
  <c r="I501" i="2"/>
  <c r="I502" i="2"/>
  <c r="I503" i="2"/>
  <c r="I504" i="2"/>
  <c r="I505" i="2"/>
  <c r="I506" i="2"/>
  <c r="I507" i="2"/>
  <c r="I508" i="2"/>
  <c r="I509" i="2"/>
  <c r="I510" i="2"/>
  <c r="I511" i="2"/>
  <c r="I512" i="2"/>
  <c r="I513" i="2"/>
  <c r="I514" i="2"/>
  <c r="I515" i="2"/>
  <c r="I516" i="2"/>
  <c r="I517" i="2"/>
  <c r="I518" i="2"/>
  <c r="I519" i="2"/>
  <c r="I520" i="2"/>
  <c r="I521" i="2"/>
  <c r="I522" i="2"/>
  <c r="I523" i="2"/>
  <c r="I524" i="2"/>
  <c r="I525" i="2"/>
  <c r="I526" i="2"/>
  <c r="I527" i="2"/>
  <c r="I528" i="2"/>
  <c r="I529" i="2"/>
  <c r="I530" i="2"/>
  <c r="I531" i="2"/>
  <c r="I532" i="2"/>
  <c r="I533" i="2"/>
  <c r="I534" i="2"/>
  <c r="I535" i="2"/>
  <c r="I536" i="2"/>
  <c r="I537" i="2"/>
  <c r="I538" i="2"/>
  <c r="I539" i="2"/>
  <c r="I540" i="2"/>
  <c r="I541" i="2"/>
  <c r="I542" i="2"/>
  <c r="I543" i="2"/>
  <c r="I544" i="2"/>
  <c r="I545" i="2"/>
  <c r="I546" i="2"/>
  <c r="I547" i="2"/>
  <c r="I548" i="2"/>
  <c r="I549" i="2"/>
  <c r="I550" i="2"/>
  <c r="I551" i="2"/>
  <c r="I552" i="2"/>
  <c r="I553" i="2"/>
  <c r="I554" i="2"/>
  <c r="I555" i="2"/>
  <c r="I556" i="2"/>
  <c r="I557" i="2"/>
  <c r="I558" i="2"/>
  <c r="I559" i="2"/>
  <c r="I560" i="2"/>
  <c r="I561" i="2"/>
  <c r="I562" i="2"/>
  <c r="I563" i="2"/>
  <c r="I564" i="2"/>
  <c r="I565" i="2"/>
  <c r="I566" i="2"/>
  <c r="I567" i="2"/>
  <c r="I568" i="2"/>
  <c r="I569" i="2"/>
  <c r="I570" i="2"/>
  <c r="I571" i="2"/>
  <c r="I572" i="2"/>
  <c r="I573" i="2"/>
  <c r="I574" i="2"/>
  <c r="I575" i="2"/>
  <c r="I576" i="2"/>
  <c r="I577" i="2"/>
  <c r="I578" i="2"/>
  <c r="I579" i="2"/>
  <c r="I580" i="2"/>
  <c r="I581" i="2"/>
  <c r="I582" i="2"/>
  <c r="I583" i="2"/>
  <c r="I584" i="2"/>
  <c r="I585" i="2"/>
  <c r="I586" i="2"/>
  <c r="I587" i="2"/>
  <c r="I588" i="2"/>
  <c r="I589" i="2"/>
  <c r="I590" i="2"/>
  <c r="I591" i="2"/>
  <c r="I592" i="2"/>
  <c r="I593" i="2"/>
  <c r="I594" i="2"/>
  <c r="I595" i="2"/>
  <c r="I596" i="2"/>
  <c r="I597" i="2"/>
  <c r="I598" i="2"/>
  <c r="I599" i="2"/>
  <c r="I600" i="2"/>
  <c r="I601" i="2"/>
  <c r="I602" i="2"/>
  <c r="I603" i="2"/>
  <c r="I604" i="2"/>
  <c r="I605" i="2"/>
  <c r="I606" i="2"/>
  <c r="I607" i="2"/>
  <c r="I608" i="2"/>
  <c r="I609" i="2"/>
  <c r="I610" i="2"/>
  <c r="I611" i="2"/>
  <c r="I612" i="2"/>
  <c r="I613" i="2"/>
  <c r="I614" i="2"/>
  <c r="I615" i="2"/>
  <c r="I616" i="2"/>
  <c r="I617" i="2"/>
  <c r="I618" i="2"/>
  <c r="I619" i="2"/>
  <c r="I620" i="2"/>
  <c r="I621" i="2"/>
  <c r="I622" i="2"/>
  <c r="I623" i="2"/>
  <c r="I624" i="2"/>
  <c r="I625" i="2"/>
  <c r="I626" i="2"/>
  <c r="I627" i="2"/>
  <c r="I628" i="2"/>
  <c r="I629" i="2"/>
  <c r="I630" i="2"/>
  <c r="I631" i="2"/>
  <c r="I632" i="2"/>
  <c r="I633" i="2"/>
  <c r="I634" i="2"/>
  <c r="I635" i="2"/>
  <c r="I636" i="2"/>
  <c r="I637" i="2"/>
  <c r="I638" i="2"/>
  <c r="I639" i="2"/>
  <c r="I640" i="2"/>
  <c r="I641" i="2"/>
  <c r="I642" i="2"/>
  <c r="I643" i="2"/>
  <c r="I644" i="2"/>
  <c r="I645" i="2"/>
  <c r="I646" i="2"/>
  <c r="I647" i="2"/>
  <c r="I648" i="2"/>
  <c r="I649" i="2"/>
  <c r="I650" i="2"/>
  <c r="I651" i="2"/>
  <c r="I652" i="2"/>
  <c r="I653" i="2"/>
  <c r="I654" i="2"/>
  <c r="I655" i="2"/>
  <c r="I656" i="2"/>
  <c r="I657" i="2"/>
  <c r="I658" i="2"/>
  <c r="I659" i="2"/>
  <c r="I660" i="2"/>
  <c r="I661" i="2"/>
  <c r="I662" i="2"/>
  <c r="I663" i="2"/>
  <c r="I664" i="2"/>
  <c r="I665" i="2"/>
  <c r="I666" i="2"/>
  <c r="I667" i="2"/>
  <c r="I668" i="2"/>
  <c r="I669" i="2"/>
  <c r="I670" i="2"/>
  <c r="I671" i="2"/>
  <c r="I672" i="2"/>
  <c r="I673" i="2"/>
  <c r="I674" i="2"/>
  <c r="I675" i="2"/>
  <c r="I676" i="2"/>
  <c r="I677" i="2"/>
  <c r="I678" i="2"/>
  <c r="I679" i="2"/>
  <c r="I680" i="2"/>
  <c r="I681" i="2"/>
  <c r="I682" i="2"/>
  <c r="I683" i="2"/>
  <c r="I684" i="2"/>
  <c r="I685" i="2"/>
  <c r="I686" i="2"/>
  <c r="I687" i="2"/>
  <c r="I688" i="2"/>
  <c r="I689" i="2"/>
  <c r="I690" i="2"/>
  <c r="I691" i="2"/>
  <c r="I692" i="2"/>
  <c r="I693" i="2"/>
  <c r="I694" i="2"/>
  <c r="I695" i="2"/>
  <c r="I696" i="2"/>
  <c r="I697" i="2"/>
  <c r="I698" i="2"/>
  <c r="I699" i="2"/>
  <c r="I700" i="2"/>
  <c r="I701" i="2"/>
  <c r="I702" i="2"/>
  <c r="I703" i="2"/>
  <c r="I704" i="2"/>
  <c r="I705" i="2"/>
  <c r="I706" i="2"/>
  <c r="I707" i="2"/>
  <c r="I708" i="2"/>
  <c r="I709" i="2"/>
  <c r="I710" i="2"/>
  <c r="I711" i="2"/>
  <c r="I712" i="2"/>
  <c r="I713" i="2"/>
  <c r="I714" i="2"/>
  <c r="I715" i="2"/>
  <c r="I716" i="2"/>
  <c r="I717" i="2"/>
  <c r="I718" i="2"/>
  <c r="I719" i="2"/>
  <c r="I720" i="2"/>
  <c r="I721" i="2"/>
  <c r="I722" i="2"/>
  <c r="I723" i="2"/>
  <c r="I724" i="2"/>
  <c r="I725" i="2"/>
  <c r="I726" i="2"/>
  <c r="I727" i="2"/>
  <c r="I728" i="2"/>
  <c r="I729" i="2"/>
  <c r="I730" i="2"/>
  <c r="I731" i="2"/>
  <c r="I732" i="2"/>
  <c r="I733" i="2"/>
  <c r="I734" i="2"/>
  <c r="I735" i="2"/>
  <c r="I736" i="2"/>
  <c r="I737" i="2"/>
  <c r="I738" i="2"/>
  <c r="I739" i="2"/>
  <c r="I740" i="2"/>
  <c r="I741" i="2"/>
  <c r="I742" i="2"/>
  <c r="I743" i="2"/>
  <c r="I744" i="2"/>
  <c r="I745" i="2"/>
  <c r="I746" i="2"/>
  <c r="I747" i="2"/>
  <c r="I748" i="2"/>
  <c r="I749" i="2"/>
  <c r="I750" i="2"/>
  <c r="I751" i="2"/>
  <c r="I752" i="2"/>
  <c r="I753" i="2"/>
  <c r="I754" i="2"/>
  <c r="I755" i="2"/>
  <c r="I756" i="2"/>
  <c r="I757" i="2"/>
  <c r="I758" i="2"/>
  <c r="I759" i="2"/>
  <c r="I760" i="2"/>
  <c r="I761" i="2"/>
  <c r="I762" i="2"/>
  <c r="I763" i="2"/>
  <c r="I764" i="2"/>
  <c r="I765" i="2"/>
  <c r="I766" i="2"/>
  <c r="I767" i="2"/>
  <c r="I768" i="2"/>
  <c r="I769" i="2"/>
  <c r="I770" i="2"/>
  <c r="I771" i="2"/>
  <c r="I772" i="2"/>
  <c r="I773" i="2"/>
  <c r="I774" i="2"/>
  <c r="I775" i="2"/>
  <c r="I776" i="2"/>
  <c r="I777" i="2"/>
  <c r="I778" i="2"/>
  <c r="I779" i="2"/>
  <c r="I780" i="2"/>
  <c r="I781" i="2"/>
  <c r="I782" i="2"/>
  <c r="I783" i="2"/>
  <c r="I784" i="2"/>
  <c r="I785" i="2"/>
  <c r="I786" i="2"/>
  <c r="I787" i="2"/>
  <c r="I788" i="2"/>
  <c r="I789" i="2"/>
  <c r="I790" i="2"/>
  <c r="I791" i="2"/>
  <c r="I792" i="2"/>
  <c r="I793" i="2"/>
  <c r="I794" i="2"/>
  <c r="I795" i="2"/>
  <c r="I796" i="2"/>
  <c r="I797" i="2"/>
  <c r="I798" i="2"/>
  <c r="I799" i="2"/>
  <c r="I800" i="2"/>
  <c r="I801" i="2"/>
  <c r="K692" i="2" l="1"/>
  <c r="K801" i="2"/>
  <c r="L801" i="2" s="1"/>
  <c r="K226" i="2"/>
  <c r="K218" i="2"/>
  <c r="K210" i="2"/>
  <c r="K202" i="2"/>
  <c r="K194" i="2"/>
  <c r="K186" i="2"/>
  <c r="L186" i="2" s="1"/>
  <c r="K178" i="2"/>
  <c r="L178" i="2" s="1"/>
  <c r="K170" i="2"/>
  <c r="L170" i="2" s="1"/>
  <c r="K162" i="2"/>
  <c r="K154" i="2"/>
  <c r="K146" i="2"/>
  <c r="K138" i="2"/>
  <c r="K130" i="2"/>
  <c r="K122" i="2"/>
  <c r="K114" i="2"/>
  <c r="L114" i="2" s="1"/>
  <c r="K160" i="2"/>
  <c r="L160" i="2" s="1"/>
  <c r="K111" i="2"/>
  <c r="K84" i="2"/>
  <c r="K648" i="2"/>
  <c r="K550" i="2"/>
  <c r="K521" i="2"/>
  <c r="L521" i="2" s="1"/>
  <c r="K328" i="2"/>
  <c r="L328" i="2" s="1"/>
  <c r="L692" i="2"/>
  <c r="K797" i="2"/>
  <c r="K749" i="2"/>
  <c r="K693" i="2"/>
  <c r="K621" i="2"/>
  <c r="K557" i="2"/>
  <c r="K429" i="2"/>
  <c r="K373" i="2"/>
  <c r="K309" i="2"/>
  <c r="K173" i="2"/>
  <c r="K125" i="2"/>
  <c r="K77" i="2"/>
  <c r="K5" i="2"/>
  <c r="K772" i="2"/>
  <c r="K724" i="2"/>
  <c r="K676" i="2"/>
  <c r="K636" i="2"/>
  <c r="K604" i="2"/>
  <c r="K556" i="2"/>
  <c r="K500" i="2"/>
  <c r="K436" i="2"/>
  <c r="K356" i="2"/>
  <c r="K799" i="2"/>
  <c r="K791" i="2"/>
  <c r="K783" i="2"/>
  <c r="K775" i="2"/>
  <c r="K767" i="2"/>
  <c r="K759" i="2"/>
  <c r="K751" i="2"/>
  <c r="K743" i="2"/>
  <c r="K735" i="2"/>
  <c r="K727" i="2"/>
  <c r="K719" i="2"/>
  <c r="K711" i="2"/>
  <c r="K703" i="2"/>
  <c r="K695" i="2"/>
  <c r="K687" i="2"/>
  <c r="K679" i="2"/>
  <c r="K671" i="2"/>
  <c r="K663" i="2"/>
  <c r="K655" i="2"/>
  <c r="K647" i="2"/>
  <c r="K639" i="2"/>
  <c r="K631" i="2"/>
  <c r="K623" i="2"/>
  <c r="K615" i="2"/>
  <c r="K607" i="2"/>
  <c r="K599" i="2"/>
  <c r="K591" i="2"/>
  <c r="K583" i="2"/>
  <c r="K575" i="2"/>
  <c r="K567" i="2"/>
  <c r="K559" i="2"/>
  <c r="K551" i="2"/>
  <c r="K543" i="2"/>
  <c r="K535" i="2"/>
  <c r="K527" i="2"/>
  <c r="K519" i="2"/>
  <c r="K511" i="2"/>
  <c r="K503" i="2"/>
  <c r="K495" i="2"/>
  <c r="K487" i="2"/>
  <c r="K479" i="2"/>
  <c r="K471" i="2"/>
  <c r="K463" i="2"/>
  <c r="K455" i="2"/>
  <c r="K447" i="2"/>
  <c r="K439" i="2"/>
  <c r="K431" i="2"/>
  <c r="K423" i="2"/>
  <c r="K415" i="2"/>
  <c r="K407" i="2"/>
  <c r="K399" i="2"/>
  <c r="K391" i="2"/>
  <c r="K383" i="2"/>
  <c r="K375" i="2"/>
  <c r="K367" i="2"/>
  <c r="K359" i="2"/>
  <c r="K351" i="2"/>
  <c r="K343" i="2"/>
  <c r="K335" i="2"/>
  <c r="K327" i="2"/>
  <c r="K319" i="2"/>
  <c r="K311" i="2"/>
  <c r="K303" i="2"/>
  <c r="K295" i="2"/>
  <c r="K279" i="2"/>
  <c r="K271" i="2"/>
  <c r="K263" i="2"/>
  <c r="K255" i="2"/>
  <c r="K247" i="2"/>
  <c r="K239" i="2"/>
  <c r="K231" i="2"/>
  <c r="K223" i="2"/>
  <c r="L15" i="2"/>
  <c r="K701" i="2"/>
  <c r="L550" i="2"/>
  <c r="K389" i="2"/>
  <c r="K798" i="2"/>
  <c r="K790" i="2"/>
  <c r="K782" i="2"/>
  <c r="K774" i="2"/>
  <c r="K758" i="2"/>
  <c r="K750" i="2"/>
  <c r="K742" i="2"/>
  <c r="K734" i="2"/>
  <c r="K726" i="2"/>
  <c r="K718" i="2"/>
  <c r="K710" i="2"/>
  <c r="K702" i="2"/>
  <c r="K694" i="2"/>
  <c r="K686" i="2"/>
  <c r="K678" i="2"/>
  <c r="K670" i="2"/>
  <c r="K662" i="2"/>
  <c r="K654" i="2"/>
  <c r="K646" i="2"/>
  <c r="K638" i="2"/>
  <c r="K630" i="2"/>
  <c r="K622" i="2"/>
  <c r="K614" i="2"/>
  <c r="K606" i="2"/>
  <c r="K598" i="2"/>
  <c r="K590" i="2"/>
  <c r="K582" i="2"/>
  <c r="K574" i="2"/>
  <c r="K566" i="2"/>
  <c r="K558" i="2"/>
  <c r="K542" i="2"/>
  <c r="K534" i="2"/>
  <c r="K526" i="2"/>
  <c r="K518" i="2"/>
  <c r="K510" i="2"/>
  <c r="K502" i="2"/>
  <c r="K494" i="2"/>
  <c r="K486" i="2"/>
  <c r="K478" i="2"/>
  <c r="K470" i="2"/>
  <c r="K462" i="2"/>
  <c r="K454" i="2"/>
  <c r="K446" i="2"/>
  <c r="K438" i="2"/>
  <c r="K430" i="2"/>
  <c r="K422" i="2"/>
  <c r="K414" i="2"/>
  <c r="K406" i="2"/>
  <c r="K398" i="2"/>
  <c r="K382" i="2"/>
  <c r="K374" i="2"/>
  <c r="K366" i="2"/>
  <c r="K358" i="2"/>
  <c r="K350" i="2"/>
  <c r="K342" i="2"/>
  <c r="K334" i="2"/>
  <c r="K326" i="2"/>
  <c r="K318" i="2"/>
  <c r="K310" i="2"/>
  <c r="K302" i="2"/>
  <c r="K294" i="2"/>
  <c r="K286" i="2"/>
  <c r="K278" i="2"/>
  <c r="K270" i="2"/>
  <c r="K262" i="2"/>
  <c r="K254" i="2"/>
  <c r="K238" i="2"/>
  <c r="K230" i="2"/>
  <c r="K222" i="2"/>
  <c r="K214" i="2"/>
  <c r="K206" i="2"/>
  <c r="K198" i="2"/>
  <c r="K190" i="2"/>
  <c r="K182" i="2"/>
  <c r="K174" i="2"/>
  <c r="K166" i="2"/>
  <c r="K158" i="2"/>
  <c r="K150" i="2"/>
  <c r="K142" i="2"/>
  <c r="K134" i="2"/>
  <c r="K126" i="2"/>
  <c r="K118" i="2"/>
  <c r="K110" i="2"/>
  <c r="K102" i="2"/>
  <c r="K94" i="2"/>
  <c r="K86" i="2"/>
  <c r="K78" i="2"/>
  <c r="K70" i="2"/>
  <c r="K62" i="2"/>
  <c r="K54" i="2"/>
  <c r="K46" i="2"/>
  <c r="K38" i="2"/>
  <c r="K30" i="2"/>
  <c r="K22" i="2"/>
  <c r="K6" i="2"/>
  <c r="K522" i="2"/>
  <c r="K360" i="2"/>
  <c r="K157" i="2"/>
  <c r="K781" i="2"/>
  <c r="K717" i="2"/>
  <c r="K589" i="2"/>
  <c r="K541" i="2"/>
  <c r="K501" i="2"/>
  <c r="K453" i="2"/>
  <c r="K333" i="2"/>
  <c r="K293" i="2"/>
  <c r="K269" i="2"/>
  <c r="K221" i="2"/>
  <c r="K189" i="2"/>
  <c r="K149" i="2"/>
  <c r="K109" i="2"/>
  <c r="K53" i="2"/>
  <c r="K21" i="2"/>
  <c r="K757" i="2"/>
  <c r="K677" i="2"/>
  <c r="K653" i="2"/>
  <c r="K613" i="2"/>
  <c r="K573" i="2"/>
  <c r="K533" i="2"/>
  <c r="K493" i="2"/>
  <c r="K437" i="2"/>
  <c r="K397" i="2"/>
  <c r="K277" i="2"/>
  <c r="K237" i="2"/>
  <c r="K197" i="2"/>
  <c r="K133" i="2"/>
  <c r="K85" i="2"/>
  <c r="K29" i="2"/>
  <c r="K788" i="2"/>
  <c r="K764" i="2"/>
  <c r="K740" i="2"/>
  <c r="K708" i="2"/>
  <c r="K684" i="2"/>
  <c r="K644" i="2"/>
  <c r="K612" i="2"/>
  <c r="K572" i="2"/>
  <c r="K524" i="2"/>
  <c r="K484" i="2"/>
  <c r="K468" i="2"/>
  <c r="K428" i="2"/>
  <c r="K404" i="2"/>
  <c r="K380" i="2"/>
  <c r="K348" i="2"/>
  <c r="K324" i="2"/>
  <c r="K292" i="2"/>
  <c r="K477" i="2"/>
  <c r="K795" i="2"/>
  <c r="K787" i="2"/>
  <c r="K779" i="2"/>
  <c r="K771" i="2"/>
  <c r="K763" i="2"/>
  <c r="K755" i="2"/>
  <c r="K747" i="2"/>
  <c r="K739" i="2"/>
  <c r="K731" i="2"/>
  <c r="K723" i="2"/>
  <c r="K715" i="2"/>
  <c r="K707" i="2"/>
  <c r="K699" i="2"/>
  <c r="K691" i="2"/>
  <c r="K683" i="2"/>
  <c r="K675" i="2"/>
  <c r="K667" i="2"/>
  <c r="K659" i="2"/>
  <c r="K651" i="2"/>
  <c r="K643" i="2"/>
  <c r="K635" i="2"/>
  <c r="K627" i="2"/>
  <c r="K619" i="2"/>
  <c r="K611" i="2"/>
  <c r="K603" i="2"/>
  <c r="K595" i="2"/>
  <c r="K587" i="2"/>
  <c r="K579" i="2"/>
  <c r="K571" i="2"/>
  <c r="K563" i="2"/>
  <c r="K555" i="2"/>
  <c r="K547" i="2"/>
  <c r="K539" i="2"/>
  <c r="K531" i="2"/>
  <c r="K523" i="2"/>
  <c r="K515" i="2"/>
  <c r="K507" i="2"/>
  <c r="K499" i="2"/>
  <c r="K491" i="2"/>
  <c r="K483" i="2"/>
  <c r="K475" i="2"/>
  <c r="K467" i="2"/>
  <c r="K459" i="2"/>
  <c r="K451" i="2"/>
  <c r="K443" i="2"/>
  <c r="K435" i="2"/>
  <c r="K427" i="2"/>
  <c r="K419" i="2"/>
  <c r="K411" i="2"/>
  <c r="K403" i="2"/>
  <c r="K395" i="2"/>
  <c r="K387" i="2"/>
  <c r="K379" i="2"/>
  <c r="K371" i="2"/>
  <c r="K363" i="2"/>
  <c r="K355" i="2"/>
  <c r="K347" i="2"/>
  <c r="K339" i="2"/>
  <c r="K331" i="2"/>
  <c r="K323" i="2"/>
  <c r="K315" i="2"/>
  <c r="K307" i="2"/>
  <c r="K299" i="2"/>
  <c r="K291" i="2"/>
  <c r="K283" i="2"/>
  <c r="K766" i="2"/>
  <c r="K637" i="2"/>
  <c r="K449" i="2"/>
  <c r="K287" i="2"/>
  <c r="K64" i="2"/>
  <c r="K765" i="2"/>
  <c r="K725" i="2"/>
  <c r="K661" i="2"/>
  <c r="K517" i="2"/>
  <c r="K461" i="2"/>
  <c r="K405" i="2"/>
  <c r="K357" i="2"/>
  <c r="K317" i="2"/>
  <c r="K245" i="2"/>
  <c r="K93" i="2"/>
  <c r="K45" i="2"/>
  <c r="K796" i="2"/>
  <c r="K756" i="2"/>
  <c r="K716" i="2"/>
  <c r="K668" i="2"/>
  <c r="K628" i="2"/>
  <c r="K588" i="2"/>
  <c r="K548" i="2"/>
  <c r="K516" i="2"/>
  <c r="K460" i="2"/>
  <c r="K396" i="2"/>
  <c r="K300" i="2"/>
  <c r="L648" i="2"/>
  <c r="K794" i="2"/>
  <c r="K786" i="2"/>
  <c r="K778" i="2"/>
  <c r="K770" i="2"/>
  <c r="K762" i="2"/>
  <c r="K754" i="2"/>
  <c r="K746" i="2"/>
  <c r="K738" i="2"/>
  <c r="K730" i="2"/>
  <c r="K722" i="2"/>
  <c r="K714" i="2"/>
  <c r="K706" i="2"/>
  <c r="K698" i="2"/>
  <c r="K690" i="2"/>
  <c r="K682" i="2"/>
  <c r="K674" i="2"/>
  <c r="K666" i="2"/>
  <c r="K658" i="2"/>
  <c r="K650" i="2"/>
  <c r="K642" i="2"/>
  <c r="K634" i="2"/>
  <c r="K626" i="2"/>
  <c r="K618" i="2"/>
  <c r="K610" i="2"/>
  <c r="K602" i="2"/>
  <c r="K594" i="2"/>
  <c r="K586" i="2"/>
  <c r="K578" i="2"/>
  <c r="K570" i="2"/>
  <c r="K562" i="2"/>
  <c r="K554" i="2"/>
  <c r="K546" i="2"/>
  <c r="K538" i="2"/>
  <c r="K530" i="2"/>
  <c r="K514" i="2"/>
  <c r="K506" i="2"/>
  <c r="K498" i="2"/>
  <c r="K490" i="2"/>
  <c r="K482" i="2"/>
  <c r="K474" i="2"/>
  <c r="K466" i="2"/>
  <c r="K458" i="2"/>
  <c r="K450" i="2"/>
  <c r="K442" i="2"/>
  <c r="K434" i="2"/>
  <c r="K426" i="2"/>
  <c r="K418" i="2"/>
  <c r="K410" i="2"/>
  <c r="K402" i="2"/>
  <c r="K394" i="2"/>
  <c r="K386" i="2"/>
  <c r="K378" i="2"/>
  <c r="K370" i="2"/>
  <c r="K362" i="2"/>
  <c r="K354" i="2"/>
  <c r="K346" i="2"/>
  <c r="K338" i="2"/>
  <c r="K330" i="2"/>
  <c r="K322" i="2"/>
  <c r="K314" i="2"/>
  <c r="K306" i="2"/>
  <c r="K298" i="2"/>
  <c r="K290" i="2"/>
  <c r="K282" i="2"/>
  <c r="K274" i="2"/>
  <c r="K266" i="2"/>
  <c r="K258" i="2"/>
  <c r="K250" i="2"/>
  <c r="K242" i="2"/>
  <c r="K234" i="2"/>
  <c r="L202" i="2"/>
  <c r="K745" i="2"/>
  <c r="K609" i="2"/>
  <c r="K448" i="2"/>
  <c r="K246" i="2"/>
  <c r="K14" i="2"/>
  <c r="K789" i="2"/>
  <c r="K741" i="2"/>
  <c r="K629" i="2"/>
  <c r="K597" i="2"/>
  <c r="K549" i="2"/>
  <c r="K509" i="2"/>
  <c r="K469" i="2"/>
  <c r="K421" i="2"/>
  <c r="K381" i="2"/>
  <c r="K349" i="2"/>
  <c r="K301" i="2"/>
  <c r="K253" i="2"/>
  <c r="K205" i="2"/>
  <c r="K181" i="2"/>
  <c r="K141" i="2"/>
  <c r="K101" i="2"/>
  <c r="K61" i="2"/>
  <c r="K13" i="2"/>
  <c r="L111" i="2"/>
  <c r="K748" i="2"/>
  <c r="K660" i="2"/>
  <c r="K620" i="2"/>
  <c r="K596" i="2"/>
  <c r="K564" i="2"/>
  <c r="K532" i="2"/>
  <c r="K492" i="2"/>
  <c r="K452" i="2"/>
  <c r="K420" i="2"/>
  <c r="K372" i="2"/>
  <c r="K340" i="2"/>
  <c r="K308" i="2"/>
  <c r="K793" i="2"/>
  <c r="K785" i="2"/>
  <c r="K777" i="2"/>
  <c r="K769" i="2"/>
  <c r="K761" i="2"/>
  <c r="K753" i="2"/>
  <c r="K737" i="2"/>
  <c r="K729" i="2"/>
  <c r="K721" i="2"/>
  <c r="K705" i="2"/>
  <c r="K697" i="2"/>
  <c r="K689" i="2"/>
  <c r="K681" i="2"/>
  <c r="K673" i="2"/>
  <c r="K665" i="2"/>
  <c r="K657" i="2"/>
  <c r="K649" i="2"/>
  <c r="K641" i="2"/>
  <c r="K633" i="2"/>
  <c r="K625" i="2"/>
  <c r="K617" i="2"/>
  <c r="K601" i="2"/>
  <c r="K593" i="2"/>
  <c r="K585" i="2"/>
  <c r="K577" i="2"/>
  <c r="K569" i="2"/>
  <c r="K561" i="2"/>
  <c r="K553" i="2"/>
  <c r="K545" i="2"/>
  <c r="K537" i="2"/>
  <c r="K529" i="2"/>
  <c r="K513" i="2"/>
  <c r="K505" i="2"/>
  <c r="K497" i="2"/>
  <c r="K489" i="2"/>
  <c r="K481" i="2"/>
  <c r="K473" i="2"/>
  <c r="K465" i="2"/>
  <c r="K457" i="2"/>
  <c r="K441" i="2"/>
  <c r="K433" i="2"/>
  <c r="K425" i="2"/>
  <c r="K409" i="2"/>
  <c r="K401" i="2"/>
  <c r="K393" i="2"/>
  <c r="K385" i="2"/>
  <c r="K377" i="2"/>
  <c r="K369" i="2"/>
  <c r="K361" i="2"/>
  <c r="K353" i="2"/>
  <c r="K345" i="2"/>
  <c r="K337" i="2"/>
  <c r="K329" i="2"/>
  <c r="K321" i="2"/>
  <c r="K313" i="2"/>
  <c r="K305" i="2"/>
  <c r="K297" i="2"/>
  <c r="K289" i="2"/>
  <c r="K281" i="2"/>
  <c r="K273" i="2"/>
  <c r="K265" i="2"/>
  <c r="K257" i="2"/>
  <c r="K249" i="2"/>
  <c r="K241" i="2"/>
  <c r="K233" i="2"/>
  <c r="K225" i="2"/>
  <c r="K217" i="2"/>
  <c r="K209" i="2"/>
  <c r="K201" i="2"/>
  <c r="K193" i="2"/>
  <c r="K185" i="2"/>
  <c r="K177" i="2"/>
  <c r="K169" i="2"/>
  <c r="K161" i="2"/>
  <c r="K153" i="2"/>
  <c r="K145" i="2"/>
  <c r="K137" i="2"/>
  <c r="K129" i="2"/>
  <c r="K121" i="2"/>
  <c r="K113" i="2"/>
  <c r="K105" i="2"/>
  <c r="K97" i="2"/>
  <c r="K89" i="2"/>
  <c r="K81" i="2"/>
  <c r="K73" i="2"/>
  <c r="K65" i="2"/>
  <c r="K57" i="2"/>
  <c r="K49" i="2"/>
  <c r="K41" i="2"/>
  <c r="K33" i="2"/>
  <c r="K25" i="2"/>
  <c r="K17" i="2"/>
  <c r="K9" i="2"/>
  <c r="K744" i="2"/>
  <c r="K581" i="2"/>
  <c r="K417" i="2"/>
  <c r="K229" i="2"/>
  <c r="K773" i="2"/>
  <c r="K733" i="2"/>
  <c r="K709" i="2"/>
  <c r="K685" i="2"/>
  <c r="K645" i="2"/>
  <c r="K605" i="2"/>
  <c r="K565" i="2"/>
  <c r="K525" i="2"/>
  <c r="K485" i="2"/>
  <c r="K445" i="2"/>
  <c r="K413" i="2"/>
  <c r="K365" i="2"/>
  <c r="K341" i="2"/>
  <c r="K285" i="2"/>
  <c r="K261" i="2"/>
  <c r="K213" i="2"/>
  <c r="K165" i="2"/>
  <c r="K117" i="2"/>
  <c r="K69" i="2"/>
  <c r="K37" i="2"/>
  <c r="K669" i="2"/>
  <c r="K780" i="2"/>
  <c r="K732" i="2"/>
  <c r="K700" i="2"/>
  <c r="K652" i="2"/>
  <c r="K540" i="2"/>
  <c r="K508" i="2"/>
  <c r="K476" i="2"/>
  <c r="K444" i="2"/>
  <c r="K412" i="2"/>
  <c r="K388" i="2"/>
  <c r="K364" i="2"/>
  <c r="K332" i="2"/>
  <c r="K316" i="2"/>
  <c r="K180" i="2"/>
  <c r="K325" i="2"/>
  <c r="K800" i="2"/>
  <c r="K792" i="2"/>
  <c r="K784" i="2"/>
  <c r="K776" i="2"/>
  <c r="K768" i="2"/>
  <c r="K760" i="2"/>
  <c r="K752" i="2"/>
  <c r="K736" i="2"/>
  <c r="K728" i="2"/>
  <c r="K720" i="2"/>
  <c r="K712" i="2"/>
  <c r="K704" i="2"/>
  <c r="K696" i="2"/>
  <c r="K688" i="2"/>
  <c r="K680" i="2"/>
  <c r="K672" i="2"/>
  <c r="K664" i="2"/>
  <c r="K656" i="2"/>
  <c r="K640" i="2"/>
  <c r="K632" i="2"/>
  <c r="K624" i="2"/>
  <c r="K616" i="2"/>
  <c r="K608" i="2"/>
  <c r="K600" i="2"/>
  <c r="K592" i="2"/>
  <c r="K584" i="2"/>
  <c r="K576" i="2"/>
  <c r="K568" i="2"/>
  <c r="K560" i="2"/>
  <c r="K552" i="2"/>
  <c r="K544" i="2"/>
  <c r="K536" i="2"/>
  <c r="K528" i="2"/>
  <c r="K520" i="2"/>
  <c r="K512" i="2"/>
  <c r="K504" i="2"/>
  <c r="K496" i="2"/>
  <c r="K488" i="2"/>
  <c r="K480" i="2"/>
  <c r="K472" i="2"/>
  <c r="K464" i="2"/>
  <c r="K456" i="2"/>
  <c r="K440" i="2"/>
  <c r="K432" i="2"/>
  <c r="K424" i="2"/>
  <c r="K416" i="2"/>
  <c r="K408" i="2"/>
  <c r="K400" i="2"/>
  <c r="K392" i="2"/>
  <c r="K384" i="2"/>
  <c r="K376" i="2"/>
  <c r="K368" i="2"/>
  <c r="K352" i="2"/>
  <c r="K344" i="2"/>
  <c r="K336" i="2"/>
  <c r="K320" i="2"/>
  <c r="K312" i="2"/>
  <c r="K304" i="2"/>
  <c r="K296" i="2"/>
  <c r="K288" i="2"/>
  <c r="K280" i="2"/>
  <c r="K272" i="2"/>
  <c r="K264" i="2"/>
  <c r="K256" i="2"/>
  <c r="K248" i="2"/>
  <c r="K240" i="2"/>
  <c r="K232" i="2"/>
  <c r="K224" i="2"/>
  <c r="K216" i="2"/>
  <c r="K208" i="2"/>
  <c r="K200" i="2"/>
  <c r="K192" i="2"/>
  <c r="K176" i="2"/>
  <c r="K168" i="2"/>
  <c r="K152" i="2"/>
  <c r="K144" i="2"/>
  <c r="K136" i="2"/>
  <c r="K128" i="2"/>
  <c r="K120" i="2"/>
  <c r="K112" i="2"/>
  <c r="K104" i="2"/>
  <c r="K96" i="2"/>
  <c r="K88" i="2"/>
  <c r="K80" i="2"/>
  <c r="K72" i="2"/>
  <c r="K56" i="2"/>
  <c r="K48" i="2"/>
  <c r="K40" i="2"/>
  <c r="K32" i="2"/>
  <c r="K24" i="2"/>
  <c r="K16" i="2"/>
  <c r="K8" i="2"/>
  <c r="K713" i="2"/>
  <c r="K580" i="2"/>
  <c r="K390" i="2"/>
  <c r="K184" i="2"/>
  <c r="L215" i="2"/>
  <c r="L207" i="2"/>
  <c r="L199" i="2"/>
  <c r="L191" i="2"/>
  <c r="L175" i="2"/>
  <c r="L167" i="2"/>
  <c r="L159" i="2"/>
  <c r="L151" i="2"/>
  <c r="L143" i="2"/>
  <c r="L135" i="2"/>
  <c r="L119" i="2"/>
  <c r="K103" i="2"/>
  <c r="K95" i="2"/>
  <c r="L79" i="2"/>
  <c r="K71" i="2"/>
  <c r="K63" i="2"/>
  <c r="K55" i="2"/>
  <c r="K39" i="2"/>
  <c r="K31" i="2"/>
  <c r="K23" i="2"/>
  <c r="K7" i="2"/>
  <c r="K87" i="2"/>
  <c r="K284" i="2"/>
  <c r="K276" i="2"/>
  <c r="K268" i="2"/>
  <c r="K260" i="2"/>
  <c r="K252" i="2"/>
  <c r="K244" i="2"/>
  <c r="K236" i="2"/>
  <c r="K228" i="2"/>
  <c r="K220" i="2"/>
  <c r="K212" i="2"/>
  <c r="K204" i="2"/>
  <c r="K196" i="2"/>
  <c r="K188" i="2"/>
  <c r="K172" i="2"/>
  <c r="K164" i="2"/>
  <c r="K148" i="2"/>
  <c r="K140" i="2"/>
  <c r="K132" i="2"/>
  <c r="K124" i="2"/>
  <c r="K116" i="2"/>
  <c r="K108" i="2"/>
  <c r="K100" i="2"/>
  <c r="K92" i="2"/>
  <c r="K76" i="2"/>
  <c r="K68" i="2"/>
  <c r="K60" i="2"/>
  <c r="K44" i="2"/>
  <c r="K36" i="2"/>
  <c r="K28" i="2"/>
  <c r="K20" i="2"/>
  <c r="K12" i="2"/>
  <c r="K4" i="2"/>
  <c r="K156" i="2"/>
  <c r="L275" i="2"/>
  <c r="L267" i="2"/>
  <c r="K259" i="2"/>
  <c r="K251" i="2"/>
  <c r="K243" i="2"/>
  <c r="K235" i="2"/>
  <c r="K227" i="2"/>
  <c r="K219" i="2"/>
  <c r="K211" i="2"/>
  <c r="K203" i="2"/>
  <c r="K195" i="2"/>
  <c r="K187" i="2"/>
  <c r="K179" i="2"/>
  <c r="K171" i="2"/>
  <c r="K163" i="2"/>
  <c r="K155" i="2"/>
  <c r="K147" i="2"/>
  <c r="K139" i="2"/>
  <c r="K131" i="2"/>
  <c r="K123" i="2"/>
  <c r="K115" i="2"/>
  <c r="K107" i="2"/>
  <c r="K99" i="2"/>
  <c r="K91" i="2"/>
  <c r="K83" i="2"/>
  <c r="K75" i="2"/>
  <c r="K67" i="2"/>
  <c r="K59" i="2"/>
  <c r="K51" i="2"/>
  <c r="K43" i="2"/>
  <c r="K35" i="2"/>
  <c r="K27" i="2"/>
  <c r="K19" i="2"/>
  <c r="K11" i="2"/>
  <c r="K3" i="2"/>
  <c r="K52" i="2"/>
  <c r="L226" i="2"/>
  <c r="L218" i="2"/>
  <c r="L210" i="2"/>
  <c r="L194" i="2"/>
  <c r="L162" i="2"/>
  <c r="L154" i="2"/>
  <c r="L146" i="2"/>
  <c r="L138" i="2"/>
  <c r="L130" i="2"/>
  <c r="L122" i="2"/>
  <c r="K106" i="2"/>
  <c r="K98" i="2"/>
  <c r="K90" i="2"/>
  <c r="K82" i="2"/>
  <c r="K74" i="2"/>
  <c r="K66" i="2"/>
  <c r="K58" i="2"/>
  <c r="K50" i="2"/>
  <c r="K42" i="2"/>
  <c r="K34" i="2"/>
  <c r="K26" i="2"/>
  <c r="K18" i="2"/>
  <c r="K10" i="2"/>
  <c r="K796" i="4"/>
  <c r="L796" i="4" s="1"/>
  <c r="K788" i="4"/>
  <c r="L788" i="4" s="1"/>
  <c r="K780" i="4"/>
  <c r="L780" i="4" s="1"/>
  <c r="K772" i="4"/>
  <c r="L772" i="4" s="1"/>
  <c r="K764" i="4"/>
  <c r="L764" i="4" s="1"/>
  <c r="K756" i="4"/>
  <c r="L756" i="4" s="1"/>
  <c r="K748" i="4"/>
  <c r="L748" i="4" s="1"/>
  <c r="K740" i="4"/>
  <c r="L740" i="4" s="1"/>
  <c r="K732" i="4"/>
  <c r="L732" i="4" s="1"/>
  <c r="K724" i="4"/>
  <c r="L724" i="4" s="1"/>
  <c r="K716" i="4"/>
  <c r="L716" i="4" s="1"/>
  <c r="K708" i="4"/>
  <c r="L708" i="4" s="1"/>
  <c r="K700" i="4"/>
  <c r="L700" i="4" s="1"/>
  <c r="K692" i="4"/>
  <c r="L692" i="4" s="1"/>
  <c r="K684" i="4"/>
  <c r="L684" i="4" s="1"/>
  <c r="K676" i="4"/>
  <c r="L676" i="4" s="1"/>
  <c r="K668" i="4"/>
  <c r="L668" i="4" s="1"/>
  <c r="K660" i="4"/>
  <c r="L660" i="4" s="1"/>
  <c r="K652" i="4"/>
  <c r="L652" i="4" s="1"/>
  <c r="K644" i="4"/>
  <c r="L644" i="4" s="1"/>
  <c r="K636" i="4"/>
  <c r="L636" i="4" s="1"/>
  <c r="K620" i="4"/>
  <c r="L620" i="4" s="1"/>
  <c r="K612" i="4"/>
  <c r="L612" i="4" s="1"/>
  <c r="K604" i="4"/>
  <c r="L604" i="4" s="1"/>
  <c r="K596" i="4"/>
  <c r="L596" i="4" s="1"/>
  <c r="K588" i="4"/>
  <c r="L588" i="4" s="1"/>
  <c r="K580" i="4"/>
  <c r="L580" i="4" s="1"/>
  <c r="K572" i="4"/>
  <c r="L572" i="4" s="1"/>
  <c r="K564" i="4"/>
  <c r="L564" i="4" s="1"/>
  <c r="K556" i="4"/>
  <c r="L556" i="4" s="1"/>
  <c r="K548" i="4"/>
  <c r="L548" i="4" s="1"/>
  <c r="K540" i="4"/>
  <c r="L540" i="4" s="1"/>
  <c r="K532" i="4"/>
  <c r="L532" i="4" s="1"/>
  <c r="K524" i="4"/>
  <c r="L524" i="4" s="1"/>
  <c r="K516" i="4"/>
  <c r="L516" i="4" s="1"/>
  <c r="K508" i="4"/>
  <c r="L508" i="4" s="1"/>
  <c r="K500" i="4"/>
  <c r="L500" i="4" s="1"/>
  <c r="K492" i="4"/>
  <c r="L492" i="4" s="1"/>
  <c r="K484" i="4"/>
  <c r="L484" i="4" s="1"/>
  <c r="K476" i="4"/>
  <c r="L476" i="4" s="1"/>
  <c r="K468" i="4"/>
  <c r="L468" i="4" s="1"/>
  <c r="K460" i="4"/>
  <c r="L460" i="4" s="1"/>
  <c r="K452" i="4"/>
  <c r="L452" i="4" s="1"/>
  <c r="K444" i="4"/>
  <c r="L444" i="4" s="1"/>
  <c r="K436" i="4"/>
  <c r="L436" i="4" s="1"/>
  <c r="K428" i="4"/>
  <c r="K420" i="4"/>
  <c r="L420" i="4" s="1"/>
  <c r="K412" i="4"/>
  <c r="L412" i="4" s="1"/>
  <c r="K404" i="4"/>
  <c r="L404" i="4" s="1"/>
  <c r="K388" i="4"/>
  <c r="L388" i="4" s="1"/>
  <c r="K372" i="4"/>
  <c r="L372" i="4" s="1"/>
  <c r="K356" i="4"/>
  <c r="L356" i="4" s="1"/>
  <c r="K340" i="4"/>
  <c r="L340" i="4" s="1"/>
  <c r="K324" i="4"/>
  <c r="L324" i="4" s="1"/>
  <c r="K308" i="4"/>
  <c r="L308" i="4" s="1"/>
  <c r="K292" i="4"/>
  <c r="L292" i="4" s="1"/>
  <c r="K276" i="4"/>
  <c r="L276" i="4" s="1"/>
  <c r="K260" i="4"/>
  <c r="L260" i="4" s="1"/>
  <c r="K244" i="4"/>
  <c r="L244" i="4" s="1"/>
  <c r="K228" i="4"/>
  <c r="L228" i="4" s="1"/>
  <c r="K204" i="4"/>
  <c r="L204" i="4" s="1"/>
  <c r="K188" i="4"/>
  <c r="L188" i="4" s="1"/>
  <c r="K172" i="4"/>
  <c r="L172" i="4" s="1"/>
  <c r="K156" i="4"/>
  <c r="L156" i="4" s="1"/>
  <c r="K140" i="4"/>
  <c r="L140" i="4" s="1"/>
  <c r="K124" i="4"/>
  <c r="L124" i="4" s="1"/>
  <c r="K108" i="4"/>
  <c r="L108" i="4" s="1"/>
  <c r="K92" i="4"/>
  <c r="L92" i="4" s="1"/>
  <c r="K76" i="4"/>
  <c r="L76" i="4" s="1"/>
  <c r="K52" i="4"/>
  <c r="L52" i="4" s="1"/>
  <c r="K36" i="4"/>
  <c r="L36" i="4" s="1"/>
  <c r="K12" i="4"/>
  <c r="L12" i="4" s="1"/>
  <c r="K380" i="4"/>
  <c r="L380" i="4" s="1"/>
  <c r="K364" i="4"/>
  <c r="L364" i="4" s="1"/>
  <c r="K348" i="4"/>
  <c r="L348" i="4" s="1"/>
  <c r="K332" i="4"/>
  <c r="L332" i="4" s="1"/>
  <c r="K316" i="4"/>
  <c r="L316" i="4" s="1"/>
  <c r="K300" i="4"/>
  <c r="L300" i="4" s="1"/>
  <c r="K284" i="4"/>
  <c r="L284" i="4" s="1"/>
  <c r="K268" i="4"/>
  <c r="L268" i="4" s="1"/>
  <c r="K252" i="4"/>
  <c r="L252" i="4" s="1"/>
  <c r="K236" i="4"/>
  <c r="L236" i="4" s="1"/>
  <c r="K220" i="4"/>
  <c r="L220" i="4" s="1"/>
  <c r="K212" i="4"/>
  <c r="L212" i="4" s="1"/>
  <c r="K196" i="4"/>
  <c r="L196" i="4" s="1"/>
  <c r="K180" i="4"/>
  <c r="L180" i="4" s="1"/>
  <c r="K164" i="4"/>
  <c r="L164" i="4" s="1"/>
  <c r="K148" i="4"/>
  <c r="L148" i="4" s="1"/>
  <c r="K132" i="4"/>
  <c r="L132" i="4" s="1"/>
  <c r="K116" i="4"/>
  <c r="L116" i="4" s="1"/>
  <c r="K100" i="4"/>
  <c r="L100" i="4" s="1"/>
  <c r="K84" i="4"/>
  <c r="L84" i="4" s="1"/>
  <c r="K68" i="4"/>
  <c r="L68" i="4" s="1"/>
  <c r="K60" i="4"/>
  <c r="L60" i="4" s="1"/>
  <c r="K44" i="4"/>
  <c r="L44" i="4" s="1"/>
  <c r="K28" i="4"/>
  <c r="L28" i="4" s="1"/>
  <c r="K20" i="4"/>
  <c r="L20" i="4" s="1"/>
  <c r="K4" i="4"/>
  <c r="L4" i="4" s="1"/>
  <c r="K795" i="4"/>
  <c r="L795" i="4" s="1"/>
  <c r="K787" i="4"/>
  <c r="L787" i="4" s="1"/>
  <c r="K779" i="4"/>
  <c r="L779" i="4" s="1"/>
  <c r="K771" i="4"/>
  <c r="L771" i="4" s="1"/>
  <c r="K763" i="4"/>
  <c r="L763" i="4" s="1"/>
  <c r="K739" i="4"/>
  <c r="L739" i="4" s="1"/>
  <c r="K723" i="4"/>
  <c r="L723" i="4" s="1"/>
  <c r="K707" i="4"/>
  <c r="L707" i="4" s="1"/>
  <c r="K691" i="4"/>
  <c r="L691" i="4" s="1"/>
  <c r="K667" i="4"/>
  <c r="L667" i="4" s="1"/>
  <c r="K643" i="4"/>
  <c r="L643" i="4" s="1"/>
  <c r="K619" i="4"/>
  <c r="L619" i="4" s="1"/>
  <c r="K611" i="4"/>
  <c r="L611" i="4" s="1"/>
  <c r="K595" i="4"/>
  <c r="L595" i="4" s="1"/>
  <c r="K587" i="4"/>
  <c r="L587" i="4" s="1"/>
  <c r="K571" i="4"/>
  <c r="L571" i="4" s="1"/>
  <c r="K555" i="4"/>
  <c r="L555" i="4" s="1"/>
  <c r="K547" i="4"/>
  <c r="L547" i="4" s="1"/>
  <c r="K539" i="4"/>
  <c r="L539" i="4" s="1"/>
  <c r="K507" i="4"/>
  <c r="L507" i="4" s="1"/>
  <c r="K491" i="4"/>
  <c r="L491" i="4" s="1"/>
  <c r="K483" i="4"/>
  <c r="L483" i="4" s="1"/>
  <c r="K475" i="4"/>
  <c r="L475" i="4" s="1"/>
  <c r="K451" i="4"/>
  <c r="L451" i="4" s="1"/>
  <c r="K443" i="4"/>
  <c r="L443" i="4" s="1"/>
  <c r="K435" i="4"/>
  <c r="L435" i="4" s="1"/>
  <c r="K419" i="4"/>
  <c r="L419" i="4" s="1"/>
  <c r="K411" i="4"/>
  <c r="L411" i="4" s="1"/>
  <c r="K403" i="4"/>
  <c r="L403" i="4" s="1"/>
  <c r="K387" i="4"/>
  <c r="L387" i="4" s="1"/>
  <c r="K379" i="4"/>
  <c r="L379" i="4" s="1"/>
  <c r="K355" i="4"/>
  <c r="L355" i="4" s="1"/>
  <c r="K347" i="4"/>
  <c r="L347" i="4" s="1"/>
  <c r="K339" i="4"/>
  <c r="L339" i="4" s="1"/>
  <c r="K315" i="4"/>
  <c r="L315" i="4" s="1"/>
  <c r="K307" i="4"/>
  <c r="L307" i="4" s="1"/>
  <c r="K299" i="4"/>
  <c r="L299" i="4" s="1"/>
  <c r="K283" i="4"/>
  <c r="L283" i="4" s="1"/>
  <c r="K275" i="4"/>
  <c r="L275" i="4" s="1"/>
  <c r="K267" i="4"/>
  <c r="L267" i="4" s="1"/>
  <c r="K251" i="4"/>
  <c r="L251" i="4" s="1"/>
  <c r="K243" i="4"/>
  <c r="L243" i="4" s="1"/>
  <c r="K219" i="4"/>
  <c r="L219" i="4" s="1"/>
  <c r="K211" i="4"/>
  <c r="L211" i="4" s="1"/>
  <c r="K195" i="4"/>
  <c r="L195" i="4" s="1"/>
  <c r="K179" i="4"/>
  <c r="L179" i="4" s="1"/>
  <c r="K171" i="4"/>
  <c r="L171" i="4" s="1"/>
  <c r="K163" i="4"/>
  <c r="L163" i="4" s="1"/>
  <c r="K147" i="4"/>
  <c r="L147" i="4" s="1"/>
  <c r="K139" i="4"/>
  <c r="L139" i="4" s="1"/>
  <c r="K115" i="4"/>
  <c r="L115" i="4" s="1"/>
  <c r="K107" i="4"/>
  <c r="L107" i="4" s="1"/>
  <c r="K83" i="4"/>
  <c r="L83" i="4" s="1"/>
  <c r="K75" i="4"/>
  <c r="L75" i="4" s="1"/>
  <c r="K59" i="4"/>
  <c r="L59" i="4" s="1"/>
  <c r="K43" i="4"/>
  <c r="L43" i="4" s="1"/>
  <c r="K27" i="4"/>
  <c r="L27" i="4" s="1"/>
  <c r="K11" i="4"/>
  <c r="L11" i="4" s="1"/>
  <c r="K3" i="4"/>
  <c r="L3" i="4" s="1"/>
  <c r="K648" i="4"/>
  <c r="L648" i="4" s="1"/>
  <c r="K584" i="4"/>
  <c r="L584" i="4" s="1"/>
  <c r="K520" i="4"/>
  <c r="L520" i="4" s="1"/>
  <c r="K456" i="4"/>
  <c r="L456" i="4" s="1"/>
  <c r="K392" i="4"/>
  <c r="L392" i="4" s="1"/>
  <c r="K328" i="4"/>
  <c r="L328" i="4" s="1"/>
  <c r="K264" i="4"/>
  <c r="L264" i="4" s="1"/>
  <c r="K200" i="4"/>
  <c r="L200" i="4" s="1"/>
  <c r="K136" i="4"/>
  <c r="L136" i="4" s="1"/>
  <c r="K72" i="4"/>
  <c r="L72" i="4" s="1"/>
  <c r="K8" i="4"/>
  <c r="L8" i="4" s="1"/>
  <c r="K718" i="4"/>
  <c r="L718" i="4" s="1"/>
  <c r="K678" i="4"/>
  <c r="L678" i="4" s="1"/>
  <c r="K654" i="4"/>
  <c r="L654" i="4" s="1"/>
  <c r="K638" i="4"/>
  <c r="L638" i="4" s="1"/>
  <c r="K630" i="4"/>
  <c r="L630" i="4" s="1"/>
  <c r="K622" i="4"/>
  <c r="L622" i="4" s="1"/>
  <c r="K598" i="4"/>
  <c r="L598" i="4" s="1"/>
  <c r="K574" i="4"/>
  <c r="L574" i="4" s="1"/>
  <c r="K566" i="4"/>
  <c r="L566" i="4" s="1"/>
  <c r="K558" i="4"/>
  <c r="L558" i="4" s="1"/>
  <c r="K534" i="4"/>
  <c r="L534" i="4" s="1"/>
  <c r="K518" i="4"/>
  <c r="L518" i="4" s="1"/>
  <c r="K502" i="4"/>
  <c r="L502" i="4" s="1"/>
  <c r="K486" i="4"/>
  <c r="L486" i="4" s="1"/>
  <c r="K470" i="4"/>
  <c r="L470" i="4" s="1"/>
  <c r="K462" i="4"/>
  <c r="L462" i="4" s="1"/>
  <c r="K454" i="4"/>
  <c r="L454" i="4" s="1"/>
  <c r="K438" i="4"/>
  <c r="L438" i="4" s="1"/>
  <c r="K422" i="4"/>
  <c r="L422" i="4" s="1"/>
  <c r="K406" i="4"/>
  <c r="L406" i="4" s="1"/>
  <c r="K398" i="4"/>
  <c r="L398" i="4" s="1"/>
  <c r="K390" i="4"/>
  <c r="L390" i="4" s="1"/>
  <c r="K366" i="4"/>
  <c r="L366" i="4" s="1"/>
  <c r="K358" i="4"/>
  <c r="L358" i="4" s="1"/>
  <c r="K350" i="4"/>
  <c r="L350" i="4" s="1"/>
  <c r="K334" i="4"/>
  <c r="L334" i="4" s="1"/>
  <c r="K326" i="4"/>
  <c r="L326" i="4" s="1"/>
  <c r="K302" i="4"/>
  <c r="L302" i="4" s="1"/>
  <c r="K294" i="4"/>
  <c r="L294" i="4" s="1"/>
  <c r="K286" i="4"/>
  <c r="L286" i="4" s="1"/>
  <c r="K262" i="4"/>
  <c r="L262" i="4" s="1"/>
  <c r="K254" i="4"/>
  <c r="L254" i="4" s="1"/>
  <c r="K246" i="4"/>
  <c r="L246" i="4" s="1"/>
  <c r="K230" i="4"/>
  <c r="L230" i="4" s="1"/>
  <c r="K222" i="4"/>
  <c r="L222" i="4" s="1"/>
  <c r="K214" i="4"/>
  <c r="L214" i="4" s="1"/>
  <c r="K198" i="4"/>
  <c r="L198" i="4" s="1"/>
  <c r="K190" i="4"/>
  <c r="L190" i="4" s="1"/>
  <c r="K166" i="4"/>
  <c r="L166" i="4" s="1"/>
  <c r="K110" i="4"/>
  <c r="L110" i="4" s="1"/>
  <c r="K94" i="4"/>
  <c r="L94" i="4" s="1"/>
  <c r="K86" i="4"/>
  <c r="L86" i="4" s="1"/>
  <c r="K78" i="4"/>
  <c r="L78" i="4" s="1"/>
  <c r="K62" i="4"/>
  <c r="L62" i="4" s="1"/>
  <c r="K54" i="4"/>
  <c r="L54" i="4" s="1"/>
  <c r="K30" i="4"/>
  <c r="L30" i="4" s="1"/>
  <c r="K22" i="4"/>
  <c r="L22" i="4" s="1"/>
  <c r="K6" i="4"/>
  <c r="L6" i="4" s="1"/>
  <c r="K628" i="4"/>
  <c r="L628" i="4" s="1"/>
  <c r="K741" i="4"/>
  <c r="L741" i="4" s="1"/>
  <c r="K761" i="4"/>
  <c r="L761" i="4" s="1"/>
  <c r="K641" i="4"/>
  <c r="L641" i="4" s="1"/>
  <c r="K799" i="4"/>
  <c r="L799" i="4" s="1"/>
  <c r="K791" i="4"/>
  <c r="L791" i="4" s="1"/>
  <c r="K783" i="4"/>
  <c r="L783" i="4" s="1"/>
  <c r="K775" i="4"/>
  <c r="L775" i="4" s="1"/>
  <c r="K767" i="4"/>
  <c r="L767" i="4" s="1"/>
  <c r="K759" i="4"/>
  <c r="L759" i="4" s="1"/>
  <c r="K751" i="4"/>
  <c r="L751" i="4" s="1"/>
  <c r="K743" i="4"/>
  <c r="L743" i="4" s="1"/>
  <c r="K735" i="4"/>
  <c r="L735" i="4" s="1"/>
  <c r="K727" i="4"/>
  <c r="L727" i="4" s="1"/>
  <c r="K719" i="4"/>
  <c r="L719" i="4" s="1"/>
  <c r="K711" i="4"/>
  <c r="L711" i="4" s="1"/>
  <c r="K703" i="4"/>
  <c r="L703" i="4" s="1"/>
  <c r="K695" i="4"/>
  <c r="L695" i="4" s="1"/>
  <c r="K687" i="4"/>
  <c r="L687" i="4" s="1"/>
  <c r="K679" i="4"/>
  <c r="L679" i="4" s="1"/>
  <c r="K671" i="4"/>
  <c r="L671" i="4" s="1"/>
  <c r="K663" i="4"/>
  <c r="L663" i="4" s="1"/>
  <c r="K655" i="4"/>
  <c r="L655" i="4" s="1"/>
  <c r="K647" i="4"/>
  <c r="L647" i="4" s="1"/>
  <c r="K639" i="4"/>
  <c r="L639" i="4" s="1"/>
  <c r="K631" i="4"/>
  <c r="L631" i="4" s="1"/>
  <c r="K623" i="4"/>
  <c r="L623" i="4" s="1"/>
  <c r="K615" i="4"/>
  <c r="L615" i="4" s="1"/>
  <c r="K607" i="4"/>
  <c r="L607" i="4" s="1"/>
  <c r="K599" i="4"/>
  <c r="L599" i="4" s="1"/>
  <c r="K591" i="4"/>
  <c r="L591" i="4" s="1"/>
  <c r="K798" i="4"/>
  <c r="L798" i="4" s="1"/>
  <c r="K790" i="4"/>
  <c r="L790" i="4" s="1"/>
  <c r="K782" i="4"/>
  <c r="L782" i="4" s="1"/>
  <c r="K774" i="4"/>
  <c r="L774" i="4" s="1"/>
  <c r="K766" i="4"/>
  <c r="L766" i="4" s="1"/>
  <c r="K758" i="4"/>
  <c r="L758" i="4" s="1"/>
  <c r="K750" i="4"/>
  <c r="L750" i="4" s="1"/>
  <c r="K742" i="4"/>
  <c r="L742" i="4" s="1"/>
  <c r="K734" i="4"/>
  <c r="L734" i="4" s="1"/>
  <c r="K694" i="4"/>
  <c r="L694" i="4" s="1"/>
  <c r="K670" i="4"/>
  <c r="L670" i="4" s="1"/>
  <c r="K662" i="4"/>
  <c r="L662" i="4" s="1"/>
  <c r="K606" i="4"/>
  <c r="L606" i="4" s="1"/>
  <c r="K590" i="4"/>
  <c r="L590" i="4" s="1"/>
  <c r="K542" i="4"/>
  <c r="L542" i="4" s="1"/>
  <c r="K526" i="4"/>
  <c r="L526" i="4" s="1"/>
  <c r="K494" i="4"/>
  <c r="L494" i="4" s="1"/>
  <c r="K430" i="4"/>
  <c r="L430" i="4" s="1"/>
  <c r="K382" i="4"/>
  <c r="L382" i="4" s="1"/>
  <c r="K318" i="4"/>
  <c r="L318" i="4" s="1"/>
  <c r="K270" i="4"/>
  <c r="L270" i="4" s="1"/>
  <c r="K158" i="4"/>
  <c r="L158" i="4" s="1"/>
  <c r="K126" i="4"/>
  <c r="L126" i="4" s="1"/>
  <c r="K118" i="4"/>
  <c r="L118" i="4" s="1"/>
  <c r="K577" i="4"/>
  <c r="L577" i="4" s="1"/>
  <c r="K513" i="4"/>
  <c r="L513" i="4" s="1"/>
  <c r="K385" i="4"/>
  <c r="L385" i="4" s="1"/>
  <c r="K321" i="4"/>
  <c r="L321" i="4" s="1"/>
  <c r="K257" i="4"/>
  <c r="L257" i="4" s="1"/>
  <c r="K193" i="4"/>
  <c r="L193" i="4" s="1"/>
  <c r="K129" i="4"/>
  <c r="L129" i="4" s="1"/>
  <c r="K65" i="4"/>
  <c r="L65" i="4" s="1"/>
  <c r="K2" i="4"/>
  <c r="L2" i="4" s="1"/>
  <c r="K583" i="4"/>
  <c r="L583" i="4" s="1"/>
  <c r="K575" i="4"/>
  <c r="L575" i="4" s="1"/>
  <c r="K567" i="4"/>
  <c r="L567" i="4" s="1"/>
  <c r="K559" i="4"/>
  <c r="L559" i="4" s="1"/>
  <c r="K551" i="4"/>
  <c r="L551" i="4" s="1"/>
  <c r="K543" i="4"/>
  <c r="L543" i="4" s="1"/>
  <c r="K535" i="4"/>
  <c r="L535" i="4" s="1"/>
  <c r="K527" i="4"/>
  <c r="L527" i="4" s="1"/>
  <c r="K519" i="4"/>
  <c r="L519" i="4" s="1"/>
  <c r="K511" i="4"/>
  <c r="L511" i="4" s="1"/>
  <c r="K503" i="4"/>
  <c r="L503" i="4" s="1"/>
  <c r="K495" i="4"/>
  <c r="L495" i="4" s="1"/>
  <c r="K487" i="4"/>
  <c r="L487" i="4" s="1"/>
  <c r="K479" i="4"/>
  <c r="L479" i="4" s="1"/>
  <c r="K471" i="4"/>
  <c r="L471" i="4" s="1"/>
  <c r="K463" i="4"/>
  <c r="L463" i="4" s="1"/>
  <c r="K455" i="4"/>
  <c r="L455" i="4" s="1"/>
  <c r="K447" i="4"/>
  <c r="L447" i="4" s="1"/>
  <c r="K439" i="4"/>
  <c r="L439" i="4" s="1"/>
  <c r="K431" i="4"/>
  <c r="L431" i="4" s="1"/>
  <c r="K423" i="4"/>
  <c r="L423" i="4" s="1"/>
  <c r="K415" i="4"/>
  <c r="L415" i="4" s="1"/>
  <c r="K407" i="4"/>
  <c r="L407" i="4" s="1"/>
  <c r="K399" i="4"/>
  <c r="L399" i="4" s="1"/>
  <c r="K391" i="4"/>
  <c r="L391" i="4" s="1"/>
  <c r="K383" i="4"/>
  <c r="L383" i="4" s="1"/>
  <c r="K375" i="4"/>
  <c r="L375" i="4" s="1"/>
  <c r="K367" i="4"/>
  <c r="L367" i="4" s="1"/>
  <c r="K359" i="4"/>
  <c r="L359" i="4" s="1"/>
  <c r="K351" i="4"/>
  <c r="L351" i="4" s="1"/>
  <c r="K343" i="4"/>
  <c r="L343" i="4" s="1"/>
  <c r="K335" i="4"/>
  <c r="L335" i="4" s="1"/>
  <c r="K327" i="4"/>
  <c r="L327" i="4" s="1"/>
  <c r="K319" i="4"/>
  <c r="L319" i="4" s="1"/>
  <c r="K311" i="4"/>
  <c r="L311" i="4" s="1"/>
  <c r="K303" i="4"/>
  <c r="L303" i="4" s="1"/>
  <c r="K295" i="4"/>
  <c r="L295" i="4" s="1"/>
  <c r="K287" i="4"/>
  <c r="L287" i="4" s="1"/>
  <c r="K279" i="4"/>
  <c r="L279" i="4" s="1"/>
  <c r="K271" i="4"/>
  <c r="L271" i="4" s="1"/>
  <c r="K263" i="4"/>
  <c r="L263" i="4" s="1"/>
  <c r="K255" i="4"/>
  <c r="L255" i="4" s="1"/>
  <c r="K247" i="4"/>
  <c r="L247" i="4" s="1"/>
  <c r="K239" i="4"/>
  <c r="L239" i="4" s="1"/>
  <c r="K231" i="4"/>
  <c r="L231" i="4" s="1"/>
  <c r="K223" i="4"/>
  <c r="L223" i="4" s="1"/>
  <c r="K215" i="4"/>
  <c r="L215" i="4" s="1"/>
  <c r="K207" i="4"/>
  <c r="L207" i="4" s="1"/>
  <c r="K199" i="4"/>
  <c r="L199" i="4" s="1"/>
  <c r="K191" i="4"/>
  <c r="L191" i="4" s="1"/>
  <c r="K183" i="4"/>
  <c r="L183" i="4" s="1"/>
  <c r="K175" i="4"/>
  <c r="L175" i="4" s="1"/>
  <c r="K167" i="4"/>
  <c r="L167" i="4" s="1"/>
  <c r="K159" i="4"/>
  <c r="L159" i="4" s="1"/>
  <c r="K151" i="4"/>
  <c r="L151" i="4" s="1"/>
  <c r="K143" i="4"/>
  <c r="L143" i="4" s="1"/>
  <c r="K135" i="4"/>
  <c r="L135" i="4" s="1"/>
  <c r="K127" i="4"/>
  <c r="L127" i="4" s="1"/>
  <c r="K119" i="4"/>
  <c r="L119" i="4" s="1"/>
  <c r="K111" i="4"/>
  <c r="L111" i="4" s="1"/>
  <c r="K103" i="4"/>
  <c r="L103" i="4" s="1"/>
  <c r="K95" i="4"/>
  <c r="L95" i="4" s="1"/>
  <c r="K87" i="4"/>
  <c r="L87" i="4" s="1"/>
  <c r="K79" i="4"/>
  <c r="L79" i="4" s="1"/>
  <c r="K71" i="4"/>
  <c r="L71" i="4" s="1"/>
  <c r="K63" i="4"/>
  <c r="L63" i="4" s="1"/>
  <c r="K55" i="4"/>
  <c r="L55" i="4" s="1"/>
  <c r="K47" i="4"/>
  <c r="L47" i="4" s="1"/>
  <c r="K39" i="4"/>
  <c r="L39" i="4" s="1"/>
  <c r="K31" i="4"/>
  <c r="L31" i="4" s="1"/>
  <c r="K23" i="4"/>
  <c r="L23" i="4" s="1"/>
  <c r="K15" i="4"/>
  <c r="L15" i="4" s="1"/>
  <c r="K7" i="4"/>
  <c r="L7" i="4" s="1"/>
  <c r="K755" i="4"/>
  <c r="L755" i="4" s="1"/>
  <c r="K747" i="4"/>
  <c r="L747" i="4" s="1"/>
  <c r="K731" i="4"/>
  <c r="L731" i="4" s="1"/>
  <c r="K715" i="4"/>
  <c r="L715" i="4" s="1"/>
  <c r="K699" i="4"/>
  <c r="L699" i="4" s="1"/>
  <c r="K683" i="4"/>
  <c r="L683" i="4" s="1"/>
  <c r="K675" i="4"/>
  <c r="L675" i="4" s="1"/>
  <c r="K651" i="4"/>
  <c r="L651" i="4" s="1"/>
  <c r="K627" i="4"/>
  <c r="L627" i="4" s="1"/>
  <c r="K579" i="4"/>
  <c r="L579" i="4" s="1"/>
  <c r="K523" i="4"/>
  <c r="L523" i="4" s="1"/>
  <c r="K515" i="4"/>
  <c r="L515" i="4" s="1"/>
  <c r="K459" i="4"/>
  <c r="L459" i="4" s="1"/>
  <c r="K800" i="4"/>
  <c r="L800" i="4" s="1"/>
  <c r="K792" i="4"/>
  <c r="L792" i="4" s="1"/>
  <c r="K784" i="4"/>
  <c r="L784" i="4" s="1"/>
  <c r="K776" i="4"/>
  <c r="L776" i="4" s="1"/>
  <c r="K768" i="4"/>
  <c r="L768" i="4" s="1"/>
  <c r="K760" i="4"/>
  <c r="L760" i="4" s="1"/>
  <c r="K752" i="4"/>
  <c r="L752" i="4" s="1"/>
  <c r="K744" i="4"/>
  <c r="L744" i="4" s="1"/>
  <c r="K736" i="4"/>
  <c r="L736" i="4" s="1"/>
  <c r="K726" i="4"/>
  <c r="L726" i="4" s="1"/>
  <c r="K710" i="4"/>
  <c r="L710" i="4" s="1"/>
  <c r="K702" i="4"/>
  <c r="L702" i="4" s="1"/>
  <c r="K686" i="4"/>
  <c r="L686" i="4" s="1"/>
  <c r="K646" i="4"/>
  <c r="L646" i="4" s="1"/>
  <c r="K614" i="4"/>
  <c r="L614" i="4" s="1"/>
  <c r="K582" i="4"/>
  <c r="L582" i="4" s="1"/>
  <c r="K550" i="4"/>
  <c r="L550" i="4" s="1"/>
  <c r="K510" i="4"/>
  <c r="L510" i="4" s="1"/>
  <c r="K478" i="4"/>
  <c r="L478" i="4" s="1"/>
  <c r="K446" i="4"/>
  <c r="L446" i="4" s="1"/>
  <c r="K414" i="4"/>
  <c r="L414" i="4" s="1"/>
  <c r="K374" i="4"/>
  <c r="L374" i="4" s="1"/>
  <c r="K342" i="4"/>
  <c r="L342" i="4" s="1"/>
  <c r="K310" i="4"/>
  <c r="L310" i="4" s="1"/>
  <c r="K278" i="4"/>
  <c r="L278" i="4" s="1"/>
  <c r="K238" i="4"/>
  <c r="L238" i="4" s="1"/>
  <c r="K206" i="4"/>
  <c r="L206" i="4" s="1"/>
  <c r="K182" i="4"/>
  <c r="L182" i="4" s="1"/>
  <c r="K174" i="4"/>
  <c r="L174" i="4" s="1"/>
  <c r="K150" i="4"/>
  <c r="L150" i="4" s="1"/>
  <c r="K142" i="4"/>
  <c r="L142" i="4" s="1"/>
  <c r="K134" i="4"/>
  <c r="L134" i="4" s="1"/>
  <c r="K102" i="4"/>
  <c r="L102" i="4" s="1"/>
  <c r="K70" i="4"/>
  <c r="L70" i="4" s="1"/>
  <c r="K46" i="4"/>
  <c r="L46" i="4" s="1"/>
  <c r="K38" i="4"/>
  <c r="L38" i="4" s="1"/>
  <c r="K14" i="4"/>
  <c r="L14" i="4" s="1"/>
  <c r="K659" i="4"/>
  <c r="L659" i="4" s="1"/>
  <c r="K635" i="4"/>
  <c r="L635" i="4" s="1"/>
  <c r="K603" i="4"/>
  <c r="L603" i="4" s="1"/>
  <c r="K563" i="4"/>
  <c r="L563" i="4" s="1"/>
  <c r="K531" i="4"/>
  <c r="L531" i="4" s="1"/>
  <c r="K499" i="4"/>
  <c r="L499" i="4" s="1"/>
  <c r="K467" i="4"/>
  <c r="L467" i="4" s="1"/>
  <c r="K427" i="4"/>
  <c r="L427" i="4" s="1"/>
  <c r="K395" i="4"/>
  <c r="L395" i="4" s="1"/>
  <c r="K363" i="4"/>
  <c r="L363" i="4" s="1"/>
  <c r="K331" i="4"/>
  <c r="L331" i="4" s="1"/>
  <c r="K323" i="4"/>
  <c r="L323" i="4" s="1"/>
  <c r="K291" i="4"/>
  <c r="L291" i="4" s="1"/>
  <c r="K259" i="4"/>
  <c r="L259" i="4" s="1"/>
  <c r="K235" i="4"/>
  <c r="L235" i="4" s="1"/>
  <c r="K227" i="4"/>
  <c r="L227" i="4" s="1"/>
  <c r="K203" i="4"/>
  <c r="L203" i="4" s="1"/>
  <c r="K187" i="4"/>
  <c r="L187" i="4" s="1"/>
  <c r="K155" i="4"/>
  <c r="L155" i="4" s="1"/>
  <c r="K131" i="4"/>
  <c r="L131" i="4" s="1"/>
  <c r="K123" i="4"/>
  <c r="L123" i="4" s="1"/>
  <c r="K99" i="4"/>
  <c r="L99" i="4" s="1"/>
  <c r="K91" i="4"/>
  <c r="L91" i="4" s="1"/>
  <c r="K67" i="4"/>
  <c r="L67" i="4" s="1"/>
  <c r="K51" i="4"/>
  <c r="L51" i="4" s="1"/>
  <c r="K35" i="4"/>
  <c r="L35" i="4" s="1"/>
  <c r="K19" i="4"/>
  <c r="L19" i="4" s="1"/>
  <c r="K728" i="4"/>
  <c r="L728" i="4" s="1"/>
  <c r="K720" i="4"/>
  <c r="L720" i="4" s="1"/>
  <c r="K712" i="4"/>
  <c r="L712" i="4" s="1"/>
  <c r="K704" i="4"/>
  <c r="L704" i="4" s="1"/>
  <c r="K696" i="4"/>
  <c r="L696" i="4" s="1"/>
  <c r="K688" i="4"/>
  <c r="L688" i="4" s="1"/>
  <c r="K680" i="4"/>
  <c r="L680" i="4" s="1"/>
  <c r="K672" i="4"/>
  <c r="L672" i="4" s="1"/>
  <c r="K664" i="4"/>
  <c r="L664" i="4" s="1"/>
  <c r="K656" i="4"/>
  <c r="L656" i="4" s="1"/>
  <c r="K640" i="4"/>
  <c r="L640" i="4" s="1"/>
  <c r="K632" i="4"/>
  <c r="L632" i="4" s="1"/>
  <c r="K624" i="4"/>
  <c r="L624" i="4" s="1"/>
  <c r="K616" i="4"/>
  <c r="L616" i="4" s="1"/>
  <c r="K608" i="4"/>
  <c r="L608" i="4" s="1"/>
  <c r="K600" i="4"/>
  <c r="L600" i="4" s="1"/>
  <c r="K592" i="4"/>
  <c r="L592" i="4" s="1"/>
  <c r="K576" i="4"/>
  <c r="L576" i="4" s="1"/>
  <c r="K568" i="4"/>
  <c r="L568" i="4" s="1"/>
  <c r="K560" i="4"/>
  <c r="L560" i="4" s="1"/>
  <c r="K552" i="4"/>
  <c r="L552" i="4" s="1"/>
  <c r="K544" i="4"/>
  <c r="L544" i="4" s="1"/>
  <c r="K536" i="4"/>
  <c r="L536" i="4" s="1"/>
  <c r="K528" i="4"/>
  <c r="L528" i="4" s="1"/>
  <c r="K512" i="4"/>
  <c r="L512" i="4" s="1"/>
  <c r="K504" i="4"/>
  <c r="L504" i="4" s="1"/>
  <c r="K496" i="4"/>
  <c r="L496" i="4" s="1"/>
  <c r="K488" i="4"/>
  <c r="L488" i="4" s="1"/>
  <c r="K480" i="4"/>
  <c r="L480" i="4" s="1"/>
  <c r="K472" i="4"/>
  <c r="L472" i="4" s="1"/>
  <c r="K464" i="4"/>
  <c r="L464" i="4" s="1"/>
  <c r="K448" i="4"/>
  <c r="L448" i="4" s="1"/>
  <c r="K440" i="4"/>
  <c r="L440" i="4" s="1"/>
  <c r="K432" i="4"/>
  <c r="L432" i="4" s="1"/>
  <c r="K424" i="4"/>
  <c r="L424" i="4" s="1"/>
  <c r="K416" i="4"/>
  <c r="L416" i="4" s="1"/>
  <c r="K408" i="4"/>
  <c r="L408" i="4" s="1"/>
  <c r="K400" i="4"/>
  <c r="L400" i="4" s="1"/>
  <c r="K384" i="4"/>
  <c r="L384" i="4" s="1"/>
  <c r="K376" i="4"/>
  <c r="L376" i="4" s="1"/>
  <c r="K368" i="4"/>
  <c r="L368" i="4" s="1"/>
  <c r="K360" i="4"/>
  <c r="L360" i="4" s="1"/>
  <c r="K352" i="4"/>
  <c r="L352" i="4" s="1"/>
  <c r="K344" i="4"/>
  <c r="L344" i="4" s="1"/>
  <c r="K336" i="4"/>
  <c r="L336" i="4" s="1"/>
  <c r="K320" i="4"/>
  <c r="L320" i="4" s="1"/>
  <c r="K312" i="4"/>
  <c r="L312" i="4" s="1"/>
  <c r="K304" i="4"/>
  <c r="L304" i="4" s="1"/>
  <c r="K296" i="4"/>
  <c r="L296" i="4" s="1"/>
  <c r="K288" i="4"/>
  <c r="L288" i="4" s="1"/>
  <c r="K280" i="4"/>
  <c r="L280" i="4" s="1"/>
  <c r="K272" i="4"/>
  <c r="L272" i="4" s="1"/>
  <c r="K256" i="4"/>
  <c r="L256" i="4" s="1"/>
  <c r="K248" i="4"/>
  <c r="L248" i="4" s="1"/>
  <c r="K240" i="4"/>
  <c r="L240" i="4" s="1"/>
  <c r="K232" i="4"/>
  <c r="L232" i="4" s="1"/>
  <c r="K224" i="4"/>
  <c r="L224" i="4" s="1"/>
  <c r="K216" i="4"/>
  <c r="L216" i="4" s="1"/>
  <c r="K208" i="4"/>
  <c r="L208" i="4" s="1"/>
  <c r="K192" i="4"/>
  <c r="L192" i="4" s="1"/>
  <c r="K184" i="4"/>
  <c r="L184" i="4" s="1"/>
  <c r="K176" i="4"/>
  <c r="L176" i="4" s="1"/>
  <c r="K168" i="4"/>
  <c r="L168" i="4" s="1"/>
  <c r="K160" i="4"/>
  <c r="L160" i="4" s="1"/>
  <c r="K152" i="4"/>
  <c r="L152" i="4" s="1"/>
  <c r="K144" i="4"/>
  <c r="L144" i="4" s="1"/>
  <c r="K128" i="4"/>
  <c r="L128" i="4" s="1"/>
  <c r="K120" i="4"/>
  <c r="L120" i="4" s="1"/>
  <c r="K112" i="4"/>
  <c r="L112" i="4" s="1"/>
  <c r="K104" i="4"/>
  <c r="L104" i="4" s="1"/>
  <c r="K96" i="4"/>
  <c r="L96" i="4" s="1"/>
  <c r="K88" i="4"/>
  <c r="L88" i="4" s="1"/>
  <c r="K80" i="4"/>
  <c r="L80" i="4" s="1"/>
  <c r="K64" i="4"/>
  <c r="L64" i="4" s="1"/>
  <c r="K56" i="4"/>
  <c r="L56" i="4" s="1"/>
  <c r="K48" i="4"/>
  <c r="L48" i="4" s="1"/>
  <c r="K40" i="4"/>
  <c r="L40" i="4" s="1"/>
  <c r="K32" i="4"/>
  <c r="L32" i="4" s="1"/>
  <c r="K24" i="4"/>
  <c r="L24" i="4" s="1"/>
  <c r="K16" i="4"/>
  <c r="L16" i="4" s="1"/>
  <c r="K801" i="4"/>
  <c r="L801" i="4" s="1"/>
  <c r="K793" i="4"/>
  <c r="L793" i="4" s="1"/>
  <c r="K785" i="4"/>
  <c r="L785" i="4" s="1"/>
  <c r="K681" i="4"/>
  <c r="L681" i="4" s="1"/>
  <c r="K449" i="4"/>
  <c r="L449" i="4" s="1"/>
  <c r="K777" i="4"/>
  <c r="L777" i="4" s="1"/>
  <c r="K769" i="4"/>
  <c r="L769" i="4" s="1"/>
  <c r="K753" i="4"/>
  <c r="L753" i="4" s="1"/>
  <c r="K745" i="4"/>
  <c r="L745" i="4" s="1"/>
  <c r="K737" i="4"/>
  <c r="L737" i="4" s="1"/>
  <c r="K729" i="4"/>
  <c r="L729" i="4" s="1"/>
  <c r="K721" i="4"/>
  <c r="L721" i="4" s="1"/>
  <c r="K713" i="4"/>
  <c r="L713" i="4" s="1"/>
  <c r="K705" i="4"/>
  <c r="L705" i="4" s="1"/>
  <c r="K697" i="4"/>
  <c r="L697" i="4" s="1"/>
  <c r="K689" i="4"/>
  <c r="L689" i="4" s="1"/>
  <c r="K673" i="4"/>
  <c r="L673" i="4" s="1"/>
  <c r="K665" i="4"/>
  <c r="L665" i="4" s="1"/>
  <c r="K657" i="4"/>
  <c r="L657" i="4" s="1"/>
  <c r="K649" i="4"/>
  <c r="L649" i="4" s="1"/>
  <c r="K633" i="4"/>
  <c r="L633" i="4" s="1"/>
  <c r="K625" i="4"/>
  <c r="L625" i="4" s="1"/>
  <c r="K617" i="4"/>
  <c r="L617" i="4" s="1"/>
  <c r="K609" i="4"/>
  <c r="L609" i="4" s="1"/>
  <c r="K601" i="4"/>
  <c r="L601" i="4" s="1"/>
  <c r="K593" i="4"/>
  <c r="L593" i="4" s="1"/>
  <c r="K585" i="4"/>
  <c r="L585" i="4" s="1"/>
  <c r="K569" i="4"/>
  <c r="L569" i="4" s="1"/>
  <c r="K561" i="4"/>
  <c r="L561" i="4" s="1"/>
  <c r="K553" i="4"/>
  <c r="L553" i="4" s="1"/>
  <c r="K545" i="4"/>
  <c r="L545" i="4" s="1"/>
  <c r="K537" i="4"/>
  <c r="L537" i="4" s="1"/>
  <c r="K529" i="4"/>
  <c r="L529" i="4" s="1"/>
  <c r="K521" i="4"/>
  <c r="L521" i="4" s="1"/>
  <c r="K505" i="4"/>
  <c r="L505" i="4" s="1"/>
  <c r="K497" i="4"/>
  <c r="L497" i="4" s="1"/>
  <c r="K489" i="4"/>
  <c r="L489" i="4" s="1"/>
  <c r="K481" i="4"/>
  <c r="L481" i="4" s="1"/>
  <c r="K473" i="4"/>
  <c r="L473" i="4" s="1"/>
  <c r="K465" i="4"/>
  <c r="L465" i="4" s="1"/>
  <c r="K457" i="4"/>
  <c r="L457" i="4" s="1"/>
  <c r="K441" i="4"/>
  <c r="L441" i="4" s="1"/>
  <c r="K433" i="4"/>
  <c r="L433" i="4" s="1"/>
  <c r="K425" i="4"/>
  <c r="L425" i="4" s="1"/>
  <c r="K417" i="4"/>
  <c r="L417" i="4" s="1"/>
  <c r="K409" i="4"/>
  <c r="L409" i="4" s="1"/>
  <c r="K401" i="4"/>
  <c r="L401" i="4" s="1"/>
  <c r="K393" i="4"/>
  <c r="L393" i="4" s="1"/>
  <c r="K377" i="4"/>
  <c r="L377" i="4" s="1"/>
  <c r="K369" i="4"/>
  <c r="L369" i="4" s="1"/>
  <c r="K361" i="4"/>
  <c r="L361" i="4" s="1"/>
  <c r="K353" i="4"/>
  <c r="L353" i="4" s="1"/>
  <c r="K345" i="4"/>
  <c r="L345" i="4" s="1"/>
  <c r="K337" i="4"/>
  <c r="L337" i="4" s="1"/>
  <c r="K329" i="4"/>
  <c r="L329" i="4" s="1"/>
  <c r="K313" i="4"/>
  <c r="L313" i="4" s="1"/>
  <c r="K305" i="4"/>
  <c r="L305" i="4" s="1"/>
  <c r="K297" i="4"/>
  <c r="L297" i="4" s="1"/>
  <c r="K289" i="4"/>
  <c r="L289" i="4" s="1"/>
  <c r="K281" i="4"/>
  <c r="L281" i="4" s="1"/>
  <c r="K273" i="4"/>
  <c r="L273" i="4" s="1"/>
  <c r="K265" i="4"/>
  <c r="L265" i="4" s="1"/>
  <c r="K249" i="4"/>
  <c r="L249" i="4" s="1"/>
  <c r="K241" i="4"/>
  <c r="L241" i="4" s="1"/>
  <c r="K233" i="4"/>
  <c r="L233" i="4" s="1"/>
  <c r="K225" i="4"/>
  <c r="L225" i="4" s="1"/>
  <c r="K217" i="4"/>
  <c r="L217" i="4" s="1"/>
  <c r="K209" i="4"/>
  <c r="L209" i="4" s="1"/>
  <c r="K201" i="4"/>
  <c r="L201" i="4" s="1"/>
  <c r="K185" i="4"/>
  <c r="L185" i="4" s="1"/>
  <c r="K177" i="4"/>
  <c r="L177" i="4" s="1"/>
  <c r="K169" i="4"/>
  <c r="L169" i="4" s="1"/>
  <c r="K161" i="4"/>
  <c r="L161" i="4" s="1"/>
  <c r="K153" i="4"/>
  <c r="L153" i="4" s="1"/>
  <c r="K145" i="4"/>
  <c r="L145" i="4" s="1"/>
  <c r="K137" i="4"/>
  <c r="L137" i="4" s="1"/>
  <c r="K121" i="4"/>
  <c r="L121" i="4" s="1"/>
  <c r="K113" i="4"/>
  <c r="L113" i="4" s="1"/>
  <c r="K105" i="4"/>
  <c r="L105" i="4" s="1"/>
  <c r="K97" i="4"/>
  <c r="L97" i="4" s="1"/>
  <c r="K89" i="4"/>
  <c r="L89" i="4" s="1"/>
  <c r="K81" i="4"/>
  <c r="L81" i="4" s="1"/>
  <c r="K73" i="4"/>
  <c r="L73" i="4" s="1"/>
  <c r="K57" i="4"/>
  <c r="L57" i="4" s="1"/>
  <c r="K49" i="4"/>
  <c r="L49" i="4" s="1"/>
  <c r="K41" i="4"/>
  <c r="L41" i="4" s="1"/>
  <c r="K33" i="4"/>
  <c r="L33" i="4" s="1"/>
  <c r="K25" i="4"/>
  <c r="L25" i="4" s="1"/>
  <c r="K17" i="4"/>
  <c r="L17" i="4" s="1"/>
  <c r="K9" i="4"/>
  <c r="L9" i="4" s="1"/>
  <c r="L84" i="2" l="1"/>
  <c r="L26" i="2"/>
  <c r="L132" i="2"/>
  <c r="L168" i="2"/>
  <c r="L240" i="2"/>
  <c r="L304" i="2"/>
  <c r="L384" i="2"/>
  <c r="L456" i="2"/>
  <c r="L552" i="2"/>
  <c r="L656" i="2"/>
  <c r="L792" i="2"/>
  <c r="L444" i="2"/>
  <c r="L669" i="2"/>
  <c r="L341" i="2"/>
  <c r="L773" i="2"/>
  <c r="L49" i="2"/>
  <c r="L113" i="2"/>
  <c r="L177" i="2"/>
  <c r="L241" i="2"/>
  <c r="L369" i="2"/>
  <c r="L441" i="2"/>
  <c r="L513" i="2"/>
  <c r="L585" i="2"/>
  <c r="L657" i="2"/>
  <c r="L729" i="2"/>
  <c r="L308" i="2"/>
  <c r="L448" i="2"/>
  <c r="L274" i="2"/>
  <c r="L402" i="2"/>
  <c r="L498" i="2"/>
  <c r="L570" i="2"/>
  <c r="L634" i="2"/>
  <c r="L698" i="2"/>
  <c r="L762" i="2"/>
  <c r="L460" i="2"/>
  <c r="L796" i="2"/>
  <c r="L517" i="2"/>
  <c r="L788" i="2"/>
  <c r="L397" i="2"/>
  <c r="L757" i="2"/>
  <c r="L501" i="2"/>
  <c r="L462" i="2"/>
  <c r="L19" i="2"/>
  <c r="L51" i="2"/>
  <c r="L83" i="2"/>
  <c r="L115" i="2"/>
  <c r="L147" i="2"/>
  <c r="L179" i="2"/>
  <c r="L211" i="2"/>
  <c r="L243" i="2"/>
  <c r="L68" i="2"/>
  <c r="L172" i="2"/>
  <c r="L31" i="2"/>
  <c r="L71" i="2"/>
  <c r="L580" i="2"/>
  <c r="L136" i="2"/>
  <c r="L652" i="2"/>
  <c r="L229" i="2"/>
  <c r="L141" i="2"/>
  <c r="L301" i="2"/>
  <c r="L469" i="2"/>
  <c r="L629" i="2"/>
  <c r="L609" i="2"/>
  <c r="L250" i="2"/>
  <c r="L449" i="2"/>
  <c r="L299" i="2"/>
  <c r="L331" i="2"/>
  <c r="L363" i="2"/>
  <c r="L395" i="2"/>
  <c r="L427" i="2"/>
  <c r="L459" i="2"/>
  <c r="L491" i="2"/>
  <c r="L523" i="2"/>
  <c r="L555" i="2"/>
  <c r="L587" i="2"/>
  <c r="L619" i="2"/>
  <c r="L651" i="2"/>
  <c r="L683" i="2"/>
  <c r="L715" i="2"/>
  <c r="L747" i="2"/>
  <c r="L779" i="2"/>
  <c r="L157" i="2"/>
  <c r="L30" i="2"/>
  <c r="L62" i="2"/>
  <c r="L94" i="2"/>
  <c r="L126" i="2"/>
  <c r="L158" i="2"/>
  <c r="L190" i="2"/>
  <c r="L222" i="2"/>
  <c r="L262" i="2"/>
  <c r="L294" i="2"/>
  <c r="L326" i="2"/>
  <c r="L358" i="2"/>
  <c r="L398" i="2"/>
  <c r="L430" i="2"/>
  <c r="L526" i="2"/>
  <c r="L566" i="2"/>
  <c r="L598" i="2"/>
  <c r="L630" i="2"/>
  <c r="L662" i="2"/>
  <c r="L694" i="2"/>
  <c r="L726" i="2"/>
  <c r="L758" i="2"/>
  <c r="L798" i="2"/>
  <c r="L247" i="2"/>
  <c r="L279" i="2"/>
  <c r="L319" i="2"/>
  <c r="L351" i="2"/>
  <c r="L383" i="2"/>
  <c r="L415" i="2"/>
  <c r="L447" i="2"/>
  <c r="L479" i="2"/>
  <c r="L511" i="2"/>
  <c r="L543" i="2"/>
  <c r="L575" i="2"/>
  <c r="L607" i="2"/>
  <c r="L639" i="2"/>
  <c r="L671" i="2"/>
  <c r="L703" i="2"/>
  <c r="L735" i="2"/>
  <c r="L767" i="2"/>
  <c r="L799" i="2"/>
  <c r="L556" i="2"/>
  <c r="L724" i="2"/>
  <c r="L125" i="2"/>
  <c r="L429" i="2"/>
  <c r="L749" i="2"/>
  <c r="L100" i="2"/>
  <c r="L268" i="2"/>
  <c r="L390" i="2"/>
  <c r="L128" i="2"/>
  <c r="L208" i="2"/>
  <c r="L272" i="2"/>
  <c r="L344" i="2"/>
  <c r="L416" i="2"/>
  <c r="L520" i="2"/>
  <c r="L584" i="2"/>
  <c r="L760" i="2"/>
  <c r="L332" i="2"/>
  <c r="L165" i="2"/>
  <c r="L485" i="2"/>
  <c r="L645" i="2"/>
  <c r="L17" i="2"/>
  <c r="L81" i="2"/>
  <c r="L145" i="2"/>
  <c r="L209" i="2"/>
  <c r="L273" i="2"/>
  <c r="L337" i="2"/>
  <c r="L401" i="2"/>
  <c r="L481" i="2"/>
  <c r="L553" i="2"/>
  <c r="L625" i="2"/>
  <c r="L689" i="2"/>
  <c r="L769" i="2"/>
  <c r="L452" i="2"/>
  <c r="L242" i="2"/>
  <c r="L306" i="2"/>
  <c r="L370" i="2"/>
  <c r="L434" i="2"/>
  <c r="L466" i="2"/>
  <c r="L538" i="2"/>
  <c r="L602" i="2"/>
  <c r="L666" i="2"/>
  <c r="L730" i="2"/>
  <c r="L794" i="2"/>
  <c r="L628" i="2"/>
  <c r="L317" i="2"/>
  <c r="L287" i="2"/>
  <c r="L292" i="2"/>
  <c r="L524" i="2"/>
  <c r="L684" i="2"/>
  <c r="L133" i="2"/>
  <c r="L573" i="2"/>
  <c r="L781" i="2"/>
  <c r="L494" i="2"/>
  <c r="L34" i="2"/>
  <c r="L66" i="2"/>
  <c r="L98" i="2"/>
  <c r="L4" i="2"/>
  <c r="L36" i="2"/>
  <c r="L108" i="2"/>
  <c r="L140" i="2"/>
  <c r="L212" i="2"/>
  <c r="L244" i="2"/>
  <c r="L276" i="2"/>
  <c r="L713" i="2"/>
  <c r="L32" i="2"/>
  <c r="L72" i="2"/>
  <c r="L104" i="2"/>
  <c r="L176" i="2"/>
  <c r="L216" i="2"/>
  <c r="L248" i="2"/>
  <c r="L280" i="2"/>
  <c r="L312" i="2"/>
  <c r="L352" i="2"/>
  <c r="L392" i="2"/>
  <c r="L424" i="2"/>
  <c r="L464" i="2"/>
  <c r="L496" i="2"/>
  <c r="L528" i="2"/>
  <c r="L560" i="2"/>
  <c r="L592" i="2"/>
  <c r="L624" i="2"/>
  <c r="L664" i="2"/>
  <c r="L696" i="2"/>
  <c r="L728" i="2"/>
  <c r="L768" i="2"/>
  <c r="L800" i="2"/>
  <c r="L364" i="2"/>
  <c r="L476" i="2"/>
  <c r="L37" i="2"/>
  <c r="L213" i="2"/>
  <c r="L365" i="2"/>
  <c r="L525" i="2"/>
  <c r="L685" i="2"/>
  <c r="L417" i="2"/>
  <c r="L25" i="2"/>
  <c r="L57" i="2"/>
  <c r="L89" i="2"/>
  <c r="L121" i="2"/>
  <c r="L153" i="2"/>
  <c r="L185" i="2"/>
  <c r="L217" i="2"/>
  <c r="L249" i="2"/>
  <c r="L281" i="2"/>
  <c r="L313" i="2"/>
  <c r="L345" i="2"/>
  <c r="L377" i="2"/>
  <c r="L409" i="2"/>
  <c r="L457" i="2"/>
  <c r="L489" i="2"/>
  <c r="L529" i="2"/>
  <c r="L561" i="2"/>
  <c r="L593" i="2"/>
  <c r="L633" i="2"/>
  <c r="L665" i="2"/>
  <c r="L697" i="2"/>
  <c r="L737" i="2"/>
  <c r="L777" i="2"/>
  <c r="L340" i="2"/>
  <c r="L492" i="2"/>
  <c r="L620" i="2"/>
  <c r="L745" i="2"/>
  <c r="L282" i="2"/>
  <c r="L314" i="2"/>
  <c r="L346" i="2"/>
  <c r="L378" i="2"/>
  <c r="L410" i="2"/>
  <c r="L442" i="2"/>
  <c r="L474" i="2"/>
  <c r="L506" i="2"/>
  <c r="L546" i="2"/>
  <c r="L578" i="2"/>
  <c r="L610" i="2"/>
  <c r="L642" i="2"/>
  <c r="L674" i="2"/>
  <c r="L706" i="2"/>
  <c r="L738" i="2"/>
  <c r="L770" i="2"/>
  <c r="L516" i="2"/>
  <c r="L668" i="2"/>
  <c r="L45" i="2"/>
  <c r="L357" i="2"/>
  <c r="L661" i="2"/>
  <c r="L637" i="2"/>
  <c r="L324" i="2"/>
  <c r="L572" i="2"/>
  <c r="L708" i="2"/>
  <c r="L197" i="2"/>
  <c r="L437" i="2"/>
  <c r="L613" i="2"/>
  <c r="L149" i="2"/>
  <c r="L293" i="2"/>
  <c r="L541" i="2"/>
  <c r="L360" i="2"/>
  <c r="L406" i="2"/>
  <c r="L702" i="2"/>
  <c r="L734" i="2"/>
  <c r="L236" i="2"/>
  <c r="L56" i="2"/>
  <c r="L688" i="2"/>
  <c r="L52" i="2"/>
  <c r="L91" i="2"/>
  <c r="L187" i="2"/>
  <c r="L87" i="2"/>
  <c r="L536" i="2"/>
  <c r="L339" i="2"/>
  <c r="L467" i="2"/>
  <c r="L595" i="2"/>
  <c r="L691" i="2"/>
  <c r="L348" i="2"/>
  <c r="L38" i="2"/>
  <c r="L134" i="2"/>
  <c r="L270" i="2"/>
  <c r="L334" i="2"/>
  <c r="L438" i="2"/>
  <c r="L574" i="2"/>
  <c r="L638" i="2"/>
  <c r="L223" i="2"/>
  <c r="L327" i="2"/>
  <c r="L423" i="2"/>
  <c r="L487" i="2"/>
  <c r="L583" i="2"/>
  <c r="L647" i="2"/>
  <c r="L711" i="2"/>
  <c r="L775" i="2"/>
  <c r="L356" i="2"/>
  <c r="L173" i="2"/>
  <c r="L10" i="2"/>
  <c r="L42" i="2"/>
  <c r="L106" i="2"/>
  <c r="L12" i="2"/>
  <c r="L44" i="2"/>
  <c r="L116" i="2"/>
  <c r="L148" i="2"/>
  <c r="L188" i="2"/>
  <c r="L220" i="2"/>
  <c r="L252" i="2"/>
  <c r="L284" i="2"/>
  <c r="L8" i="2"/>
  <c r="L40" i="2"/>
  <c r="L80" i="2"/>
  <c r="L112" i="2"/>
  <c r="L144" i="2"/>
  <c r="L192" i="2"/>
  <c r="L224" i="2"/>
  <c r="L256" i="2"/>
  <c r="L288" i="2"/>
  <c r="L320" i="2"/>
  <c r="L368" i="2"/>
  <c r="L400" i="2"/>
  <c r="L432" i="2"/>
  <c r="L472" i="2"/>
  <c r="L504" i="2"/>
  <c r="L568" i="2"/>
  <c r="L600" i="2"/>
  <c r="L632" i="2"/>
  <c r="L672" i="2"/>
  <c r="L704" i="2"/>
  <c r="L736" i="2"/>
  <c r="L776" i="2"/>
  <c r="L180" i="2"/>
  <c r="L388" i="2"/>
  <c r="L69" i="2"/>
  <c r="L261" i="2"/>
  <c r="L413" i="2"/>
  <c r="L565" i="2"/>
  <c r="L709" i="2"/>
  <c r="L744" i="2"/>
  <c r="L33" i="2"/>
  <c r="L65" i="2"/>
  <c r="L97" i="2"/>
  <c r="L161" i="2"/>
  <c r="L193" i="2"/>
  <c r="L257" i="2"/>
  <c r="L289" i="2"/>
  <c r="L321" i="2"/>
  <c r="L353" i="2"/>
  <c r="L385" i="2"/>
  <c r="L425" i="2"/>
  <c r="L465" i="2"/>
  <c r="L497" i="2"/>
  <c r="L537" i="2"/>
  <c r="L569" i="2"/>
  <c r="L601" i="2"/>
  <c r="L641" i="2"/>
  <c r="L673" i="2"/>
  <c r="L705" i="2"/>
  <c r="L753" i="2"/>
  <c r="L785" i="2"/>
  <c r="L372" i="2"/>
  <c r="L532" i="2"/>
  <c r="L660" i="2"/>
  <c r="L258" i="2"/>
  <c r="L290" i="2"/>
  <c r="L322" i="2"/>
  <c r="L354" i="2"/>
  <c r="L386" i="2"/>
  <c r="L418" i="2"/>
  <c r="L450" i="2"/>
  <c r="L482" i="2"/>
  <c r="L514" i="2"/>
  <c r="L554" i="2"/>
  <c r="L586" i="2"/>
  <c r="L618" i="2"/>
  <c r="L650" i="2"/>
  <c r="L682" i="2"/>
  <c r="L714" i="2"/>
  <c r="L746" i="2"/>
  <c r="L778" i="2"/>
  <c r="L300" i="2"/>
  <c r="L548" i="2"/>
  <c r="L716" i="2"/>
  <c r="L93" i="2"/>
  <c r="L405" i="2"/>
  <c r="L725" i="2"/>
  <c r="L468" i="2"/>
  <c r="L612" i="2"/>
  <c r="L740" i="2"/>
  <c r="L29" i="2"/>
  <c r="L237" i="2"/>
  <c r="L493" i="2"/>
  <c r="L653" i="2"/>
  <c r="L21" i="2"/>
  <c r="L189" i="2"/>
  <c r="L333" i="2"/>
  <c r="L589" i="2"/>
  <c r="L389" i="2"/>
  <c r="L463" i="2"/>
  <c r="L488" i="2"/>
  <c r="L155" i="2"/>
  <c r="L508" i="2"/>
  <c r="L181" i="2"/>
  <c r="L741" i="2"/>
  <c r="L403" i="2"/>
  <c r="L531" i="2"/>
  <c r="L723" i="2"/>
  <c r="L198" i="2"/>
  <c r="L772" i="2"/>
  <c r="L3" i="2"/>
  <c r="D8" i="6"/>
  <c r="D10" i="6"/>
  <c r="D9" i="6"/>
  <c r="D7" i="6"/>
  <c r="L35" i="2"/>
  <c r="L67" i="2"/>
  <c r="L99" i="2"/>
  <c r="L131" i="2"/>
  <c r="L163" i="2"/>
  <c r="L195" i="2"/>
  <c r="L227" i="2"/>
  <c r="L259" i="2"/>
  <c r="L7" i="2"/>
  <c r="L55" i="2"/>
  <c r="L95" i="2"/>
  <c r="L376" i="2"/>
  <c r="L608" i="2"/>
  <c r="L712" i="2"/>
  <c r="L732" i="2"/>
  <c r="L733" i="2"/>
  <c r="L201" i="2"/>
  <c r="L361" i="2"/>
  <c r="L433" i="2"/>
  <c r="L649" i="2"/>
  <c r="L564" i="2"/>
  <c r="L61" i="2"/>
  <c r="L205" i="2"/>
  <c r="L381" i="2"/>
  <c r="L549" i="2"/>
  <c r="L789" i="2"/>
  <c r="L765" i="2"/>
  <c r="L283" i="2"/>
  <c r="L315" i="2"/>
  <c r="L347" i="2"/>
  <c r="L379" i="2"/>
  <c r="L411" i="2"/>
  <c r="L443" i="2"/>
  <c r="L475" i="2"/>
  <c r="L507" i="2"/>
  <c r="L539" i="2"/>
  <c r="L571" i="2"/>
  <c r="L603" i="2"/>
  <c r="L635" i="2"/>
  <c r="L667" i="2"/>
  <c r="L699" i="2"/>
  <c r="L731" i="2"/>
  <c r="L763" i="2"/>
  <c r="L795" i="2"/>
  <c r="L6" i="2"/>
  <c r="L46" i="2"/>
  <c r="L78" i="2"/>
  <c r="L110" i="2"/>
  <c r="L142" i="2"/>
  <c r="L174" i="2"/>
  <c r="L206" i="2"/>
  <c r="L238" i="2"/>
  <c r="L278" i="2"/>
  <c r="L310" i="2"/>
  <c r="L342" i="2"/>
  <c r="L374" i="2"/>
  <c r="L414" i="2"/>
  <c r="L446" i="2"/>
  <c r="L478" i="2"/>
  <c r="L510" i="2"/>
  <c r="L542" i="2"/>
  <c r="L582" i="2"/>
  <c r="L614" i="2"/>
  <c r="L646" i="2"/>
  <c r="L678" i="2"/>
  <c r="L710" i="2"/>
  <c r="L742" i="2"/>
  <c r="L782" i="2"/>
  <c r="L231" i="2"/>
  <c r="L263" i="2"/>
  <c r="L303" i="2"/>
  <c r="L335" i="2"/>
  <c r="L367" i="2"/>
  <c r="L399" i="2"/>
  <c r="L431" i="2"/>
  <c r="L495" i="2"/>
  <c r="L527" i="2"/>
  <c r="L559" i="2"/>
  <c r="L591" i="2"/>
  <c r="L623" i="2"/>
  <c r="L655" i="2"/>
  <c r="L687" i="2"/>
  <c r="L719" i="2"/>
  <c r="L751" i="2"/>
  <c r="L783" i="2"/>
  <c r="L436" i="2"/>
  <c r="L636" i="2"/>
  <c r="L5" i="2"/>
  <c r="L309" i="2"/>
  <c r="L621" i="2"/>
  <c r="L90" i="2"/>
  <c r="L28" i="2"/>
  <c r="L96" i="2"/>
  <c r="L616" i="2"/>
  <c r="L59" i="2"/>
  <c r="L251" i="2"/>
  <c r="L325" i="2"/>
  <c r="L581" i="2"/>
  <c r="L129" i="2"/>
  <c r="L225" i="2"/>
  <c r="L349" i="2"/>
  <c r="L766" i="2"/>
  <c r="L371" i="2"/>
  <c r="L499" i="2"/>
  <c r="L627" i="2"/>
  <c r="L755" i="2"/>
  <c r="L70" i="2"/>
  <c r="L166" i="2"/>
  <c r="L302" i="2"/>
  <c r="L502" i="2"/>
  <c r="L606" i="2"/>
  <c r="L774" i="2"/>
  <c r="L255" i="2"/>
  <c r="L359" i="2"/>
  <c r="L519" i="2"/>
  <c r="L557" i="2"/>
  <c r="L74" i="2"/>
  <c r="L18" i="2"/>
  <c r="L50" i="2"/>
  <c r="L82" i="2"/>
  <c r="L20" i="2"/>
  <c r="L92" i="2"/>
  <c r="L124" i="2"/>
  <c r="L196" i="2"/>
  <c r="L228" i="2"/>
  <c r="L260" i="2"/>
  <c r="L16" i="2"/>
  <c r="L48" i="2"/>
  <c r="L88" i="2"/>
  <c r="L120" i="2"/>
  <c r="L152" i="2"/>
  <c r="L200" i="2"/>
  <c r="L232" i="2"/>
  <c r="L264" i="2"/>
  <c r="L296" i="2"/>
  <c r="L336" i="2"/>
  <c r="L408" i="2"/>
  <c r="L440" i="2"/>
  <c r="L480" i="2"/>
  <c r="L512" i="2"/>
  <c r="L544" i="2"/>
  <c r="L576" i="2"/>
  <c r="L640" i="2"/>
  <c r="L680" i="2"/>
  <c r="L752" i="2"/>
  <c r="L784" i="2"/>
  <c r="L316" i="2"/>
  <c r="L412" i="2"/>
  <c r="L540" i="2"/>
  <c r="L117" i="2"/>
  <c r="L285" i="2"/>
  <c r="L445" i="2"/>
  <c r="L605" i="2"/>
  <c r="L9" i="2"/>
  <c r="L41" i="2"/>
  <c r="L73" i="2"/>
  <c r="L105" i="2"/>
  <c r="L137" i="2"/>
  <c r="L169" i="2"/>
  <c r="L233" i="2"/>
  <c r="L265" i="2"/>
  <c r="L297" i="2"/>
  <c r="L329" i="2"/>
  <c r="L393" i="2"/>
  <c r="L473" i="2"/>
  <c r="L505" i="2"/>
  <c r="L545" i="2"/>
  <c r="L577" i="2"/>
  <c r="L617" i="2"/>
  <c r="L681" i="2"/>
  <c r="L721" i="2"/>
  <c r="L761" i="2"/>
  <c r="L793" i="2"/>
  <c r="L420" i="2"/>
  <c r="L421" i="2"/>
  <c r="L14" i="2"/>
  <c r="L234" i="2"/>
  <c r="L266" i="2"/>
  <c r="L298" i="2"/>
  <c r="L330" i="2"/>
  <c r="L362" i="2"/>
  <c r="L394" i="2"/>
  <c r="L426" i="2"/>
  <c r="L458" i="2"/>
  <c r="L490" i="2"/>
  <c r="L530" i="2"/>
  <c r="L562" i="2"/>
  <c r="L594" i="2"/>
  <c r="L626" i="2"/>
  <c r="L658" i="2"/>
  <c r="L690" i="2"/>
  <c r="L722" i="2"/>
  <c r="L754" i="2"/>
  <c r="L786" i="2"/>
  <c r="L396" i="2"/>
  <c r="L588" i="2"/>
  <c r="L756" i="2"/>
  <c r="L245" i="2"/>
  <c r="L461" i="2"/>
  <c r="L477" i="2"/>
  <c r="L380" i="2"/>
  <c r="L484" i="2"/>
  <c r="L644" i="2"/>
  <c r="L764" i="2"/>
  <c r="L85" i="2"/>
  <c r="L277" i="2"/>
  <c r="L533" i="2"/>
  <c r="L677" i="2"/>
  <c r="L53" i="2"/>
  <c r="L221" i="2"/>
  <c r="L453" i="2"/>
  <c r="L717" i="2"/>
  <c r="L54" i="2"/>
  <c r="L182" i="2"/>
  <c r="L343" i="2"/>
  <c r="L375" i="2"/>
  <c r="L535" i="2"/>
  <c r="L567" i="2"/>
  <c r="L58" i="2"/>
  <c r="L156" i="2"/>
  <c r="L204" i="2"/>
  <c r="L24" i="2"/>
  <c r="L720" i="2"/>
  <c r="L27" i="2"/>
  <c r="L123" i="2"/>
  <c r="L219" i="2"/>
  <c r="L76" i="2"/>
  <c r="L39" i="2"/>
  <c r="L700" i="2"/>
  <c r="L13" i="2"/>
  <c r="L509" i="2"/>
  <c r="L307" i="2"/>
  <c r="L435" i="2"/>
  <c r="L563" i="2"/>
  <c r="L659" i="2"/>
  <c r="L787" i="2"/>
  <c r="L522" i="2"/>
  <c r="L102" i="2"/>
  <c r="L230" i="2"/>
  <c r="L366" i="2"/>
  <c r="L470" i="2"/>
  <c r="L534" i="2"/>
  <c r="L670" i="2"/>
  <c r="L295" i="2"/>
  <c r="L391" i="2"/>
  <c r="L455" i="2"/>
  <c r="L551" i="2"/>
  <c r="L615" i="2"/>
  <c r="L679" i="2"/>
  <c r="L743" i="2"/>
  <c r="L604" i="2"/>
  <c r="L797" i="2"/>
  <c r="L11" i="2"/>
  <c r="L43" i="2"/>
  <c r="L75" i="2"/>
  <c r="L107" i="2"/>
  <c r="L139" i="2"/>
  <c r="L171" i="2"/>
  <c r="L203" i="2"/>
  <c r="L235" i="2"/>
  <c r="L60" i="2"/>
  <c r="L164" i="2"/>
  <c r="L23" i="2"/>
  <c r="L63" i="2"/>
  <c r="L103" i="2"/>
  <c r="L184" i="2"/>
  <c r="L780" i="2"/>
  <c r="L305" i="2"/>
  <c r="L596" i="2"/>
  <c r="L748" i="2"/>
  <c r="L101" i="2"/>
  <c r="L253" i="2"/>
  <c r="L597" i="2"/>
  <c r="L246" i="2"/>
  <c r="L64" i="2"/>
  <c r="L291" i="2"/>
  <c r="L323" i="2"/>
  <c r="L355" i="2"/>
  <c r="L387" i="2"/>
  <c r="L419" i="2"/>
  <c r="L451" i="2"/>
  <c r="L483" i="2"/>
  <c r="L515" i="2"/>
  <c r="L547" i="2"/>
  <c r="L579" i="2"/>
  <c r="L611" i="2"/>
  <c r="L643" i="2"/>
  <c r="L675" i="2"/>
  <c r="L707" i="2"/>
  <c r="L739" i="2"/>
  <c r="L771" i="2"/>
  <c r="L404" i="2"/>
  <c r="L109" i="2"/>
  <c r="L269" i="2"/>
  <c r="L22" i="2"/>
  <c r="L86" i="2"/>
  <c r="L118" i="2"/>
  <c r="L150" i="2"/>
  <c r="L214" i="2"/>
  <c r="L254" i="2"/>
  <c r="L286" i="2"/>
  <c r="L318" i="2"/>
  <c r="L350" i="2"/>
  <c r="L382" i="2"/>
  <c r="L422" i="2"/>
  <c r="L454" i="2"/>
  <c r="L486" i="2"/>
  <c r="L518" i="2"/>
  <c r="L558" i="2"/>
  <c r="L590" i="2"/>
  <c r="L622" i="2"/>
  <c r="L654" i="2"/>
  <c r="L686" i="2"/>
  <c r="L718" i="2"/>
  <c r="L750" i="2"/>
  <c r="L790" i="2"/>
  <c r="L701" i="2"/>
  <c r="L239" i="2"/>
  <c r="L271" i="2"/>
  <c r="L311" i="2"/>
  <c r="L407" i="2"/>
  <c r="L439" i="2"/>
  <c r="L471" i="2"/>
  <c r="L503" i="2"/>
  <c r="L599" i="2"/>
  <c r="L631" i="2"/>
  <c r="L663" i="2"/>
  <c r="L695" i="2"/>
  <c r="L727" i="2"/>
  <c r="L759" i="2"/>
  <c r="L791" i="2"/>
  <c r="L500" i="2"/>
  <c r="L676" i="2"/>
  <c r="L77" i="2"/>
  <c r="L373" i="2"/>
  <c r="L693" i="2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106CBC95-530F-4160-82B0-D50A603FD3DA}" keepAlive="1" name="ThisWorkbookDataModel" description="Data Model" type="5" refreshedVersion="8" minRefreshableVersion="5" background="1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  <connection id="2" xr16:uid="{8B8CC4A4-BBE4-4B7D-89EA-930F5B742013}" name="WorksheetConnection_Rabot Energy - Pricing Associate case.xlsx!Q4_Q5_Table" type="102" refreshedVersion="8" minRefreshableVersion="5">
    <extLst>
      <ext xmlns:x15="http://schemas.microsoft.com/office/spreadsheetml/2010/11/main" uri="{DE250136-89BD-433C-8126-D09CA5730AF9}">
        <x15:connection id="Q4_Q5_Table" autoDelete="1">
          <x15:rangePr sourceName="_xlcn.WorksheetConnection_RabotEnergyPricingAssociatecase.xlsxQ4_Q5_Table1"/>
        </x15:connection>
      </ext>
    </extLst>
  </connection>
</connections>
</file>

<file path=xl/sharedStrings.xml><?xml version="1.0" encoding="utf-8"?>
<sst xmlns="http://schemas.openxmlformats.org/spreadsheetml/2006/main" count="10192" uniqueCount="1393">
  <si>
    <t>Pricing Associate Case Study</t>
  </si>
  <si>
    <t>Context</t>
  </si>
  <si>
    <t>Tasks</t>
  </si>
  <si>
    <r>
      <rPr>
        <b/>
        <sz val="10"/>
        <color rgb="FF000000"/>
        <rFont val="Arial"/>
        <family val="2"/>
      </rPr>
      <t xml:space="preserve">Data Preparation: </t>
    </r>
    <r>
      <rPr>
        <sz val="10"/>
        <color rgb="FF000000"/>
        <rFont val="Arial"/>
        <family val="2"/>
      </rPr>
      <t>Inspect the dataset carefully. In case you find data quality issues, flag them and consider whether this data is helpful</t>
    </r>
  </si>
  <si>
    <r>
      <rPr>
        <b/>
        <sz val="10"/>
        <color rgb="FF000000"/>
        <rFont val="Arial"/>
        <family val="2"/>
      </rPr>
      <t>Customer-level Profitability:</t>
    </r>
    <r>
      <rPr>
        <sz val="10"/>
        <color rgb="FF000000"/>
        <rFont val="Arial"/>
        <family val="2"/>
      </rPr>
      <t xml:space="preserve"> Calculate the total profit </t>
    </r>
    <r>
      <rPr>
        <b/>
        <sz val="10"/>
        <color rgb="FF000000"/>
        <rFont val="Arial"/>
        <family val="2"/>
      </rPr>
      <t xml:space="preserve">per customer per contract </t>
    </r>
    <r>
      <rPr>
        <sz val="10"/>
        <color rgb="FF000000"/>
        <rFont val="Arial"/>
        <family val="2"/>
      </rPr>
      <t>in two ways:
  a) In absolute terms (€)
  b) In relative terms (cents/kWh)</t>
    </r>
  </si>
  <si>
    <r>
      <rPr>
        <b/>
        <sz val="10"/>
        <color rgb="FF000000"/>
        <rFont val="Arial"/>
        <family val="2"/>
      </rPr>
      <t xml:space="preserve">Create a summary </t>
    </r>
    <r>
      <rPr>
        <sz val="10"/>
        <color rgb="FF000000"/>
        <rFont val="Arial"/>
        <family val="2"/>
      </rPr>
      <t>with the key figures describing this customer cohort. Use your judgement on what is relevant, there is no single right answer</t>
    </r>
    <r>
      <rPr>
        <sz val="10"/>
        <color rgb="FF000000"/>
        <rFont val="Arial"/>
        <family val="2"/>
      </rPr>
      <t>!</t>
    </r>
  </si>
  <si>
    <r>
      <rPr>
        <b/>
        <sz val="10"/>
        <color rgb="FF000000"/>
        <rFont val="Arial"/>
        <family val="2"/>
      </rPr>
      <t>How does profitability evolve across contract start months?</t>
    </r>
    <r>
      <rPr>
        <sz val="10"/>
        <color rgb="FF000000"/>
        <rFont val="Arial"/>
        <family val="2"/>
      </rPr>
      <t xml:space="preserve"> Describe what you observe and raise at least one hypothesis that could explain the pattern, drawing on common sense and your understanding of the energy market</t>
    </r>
  </si>
  <si>
    <r>
      <rPr>
        <b/>
        <sz val="10"/>
        <color rgb="FF000000"/>
        <rFont val="Arial"/>
        <family val="2"/>
      </rPr>
      <t xml:space="preserve">Which group of customers appears most and least profitable? </t>
    </r>
    <r>
      <rPr>
        <sz val="10"/>
        <color rgb="FF000000"/>
        <rFont val="Arial"/>
        <family val="2"/>
      </rPr>
      <t>Describe patterns you see and raise at least one hypothesis to explain them,</t>
    </r>
    <r>
      <rPr>
        <sz val="10"/>
        <color rgb="FF000000"/>
        <rFont val="Arial"/>
        <family val="2"/>
      </rPr>
      <t xml:space="preserve"> drawing on common sense and your understanding of the energy market</t>
    </r>
  </si>
  <si>
    <t>Definitions</t>
  </si>
  <si>
    <t>customer_ID</t>
  </si>
  <si>
    <t>Each Customer ID represents a single residential household</t>
  </si>
  <si>
    <t>contract_duration_months</t>
  </si>
  <si>
    <t>The number of month in which a customer is bound to a contract. We ofer mainly 2 contracts. They're named Fix12 (12 months duration) and Fix24 (24 months duration</t>
  </si>
  <si>
    <t>Aquisition channel</t>
  </si>
  <si>
    <t>The specific channel throught which the customers as offered a tariff and was given a contract</t>
  </si>
  <si>
    <t>Monthly consumption (kWh)</t>
  </si>
  <si>
    <t>The amount of electricity consumed by the household in a given month.</t>
  </si>
  <si>
    <t>Monthly bill (€, brutto)</t>
  </si>
  <si>
    <t>Procurement cost (cents /kWh)</t>
  </si>
  <si>
    <t>Profit (to be calculated)</t>
  </si>
  <si>
    <t>Guidelines and TIPS</t>
  </si>
  <si>
    <t>No Powerpoint or presentation needed; limit your work entirely to Excel</t>
  </si>
  <si>
    <t>Use your critical thinking to decide which data is relevant and which entries should be discarted</t>
  </si>
  <si>
    <t>Feel free to decide on the format of your answers</t>
  </si>
  <si>
    <t>There is no single correct answer; We are interested in how you think, not just the numbers!</t>
  </si>
  <si>
    <t>Time cap for this exercise is: approximately 4 hours. If you find yourself taking much longer, wrap up with your findinds and explain what blockers your found</t>
  </si>
  <si>
    <t>You'll be asked to present your findinds, keep that in mind when deciding on format and content</t>
  </si>
  <si>
    <t>customer_id</t>
  </si>
  <si>
    <t>consumption_tier</t>
  </si>
  <si>
    <t>acquisition_channel</t>
  </si>
  <si>
    <t>contract_start_date</t>
  </si>
  <si>
    <t>monthly_consumption_kwh</t>
  </si>
  <si>
    <t>BRUTTO_monthly_bill_eur</t>
  </si>
  <si>
    <t>NETTO_procurement_cost_ct_per_kwh</t>
  </si>
  <si>
    <t>C0001</t>
  </si>
  <si>
    <t>mid</t>
  </si>
  <si>
    <t>Check24</t>
  </si>
  <si>
    <t>24.04.2024</t>
  </si>
  <si>
    <t>C0002</t>
  </si>
  <si>
    <t>low</t>
  </si>
  <si>
    <t>26.01.2024</t>
  </si>
  <si>
    <t>C0003</t>
  </si>
  <si>
    <t>08.10.2024</t>
  </si>
  <si>
    <t>C0004</t>
  </si>
  <si>
    <t>07.09.2024</t>
  </si>
  <si>
    <t>C0005</t>
  </si>
  <si>
    <t>Website</t>
  </si>
  <si>
    <t>16.08.2024</t>
  </si>
  <si>
    <t>C0006</t>
  </si>
  <si>
    <t>22.05.2024</t>
  </si>
  <si>
    <t>C0007</t>
  </si>
  <si>
    <t>high</t>
  </si>
  <si>
    <t>14.04.2024</t>
  </si>
  <si>
    <t>C0008</t>
  </si>
  <si>
    <t>30.03.2024</t>
  </si>
  <si>
    <t>C0009</t>
  </si>
  <si>
    <t>Sales Representative</t>
  </si>
  <si>
    <t>08.03.2025</t>
  </si>
  <si>
    <t>C0010</t>
  </si>
  <si>
    <t>02.02.2024</t>
  </si>
  <si>
    <t>C0011</t>
  </si>
  <si>
    <t>31.01.2024</t>
  </si>
  <si>
    <t>C0012</t>
  </si>
  <si>
    <t>05.04.2024</t>
  </si>
  <si>
    <t>C0013</t>
  </si>
  <si>
    <t>11.08.2024</t>
  </si>
  <si>
    <t>C0014</t>
  </si>
  <si>
    <t>26.08.2024</t>
  </si>
  <si>
    <t>C0015</t>
  </si>
  <si>
    <t>01.06.2025</t>
  </si>
  <si>
    <t>C0016</t>
  </si>
  <si>
    <t>28.01.2024</t>
  </si>
  <si>
    <t>C0017</t>
  </si>
  <si>
    <t>2024-07-22</t>
  </si>
  <si>
    <t>C0018</t>
  </si>
  <si>
    <t>05.03.2025</t>
  </si>
  <si>
    <t>C0019</t>
  </si>
  <si>
    <t>13.08.2024</t>
  </si>
  <si>
    <t>C0020</t>
  </si>
  <si>
    <t>04.04.2025</t>
  </si>
  <si>
    <t>C0021</t>
  </si>
  <si>
    <t>11.10.2024</t>
  </si>
  <si>
    <t>C0022</t>
  </si>
  <si>
    <t>07.01.2024</t>
  </si>
  <si>
    <t>C0023</t>
  </si>
  <si>
    <t>12.06.2024</t>
  </si>
  <si>
    <t>C0024</t>
  </si>
  <si>
    <t>C0025</t>
  </si>
  <si>
    <t>14.12.2024</t>
  </si>
  <si>
    <t>C0026</t>
  </si>
  <si>
    <t>C0027</t>
  </si>
  <si>
    <t>08.06.2024</t>
  </si>
  <si>
    <t>C0028</t>
  </si>
  <si>
    <t>08.08.2024</t>
  </si>
  <si>
    <t>C0029</t>
  </si>
  <si>
    <t>10.12.2024</t>
  </si>
  <si>
    <t>C0030</t>
  </si>
  <si>
    <t>C0031</t>
  </si>
  <si>
    <t>04.04.2024</t>
  </si>
  <si>
    <t>C0032</t>
  </si>
  <si>
    <t>24.01.2025</t>
  </si>
  <si>
    <t>C0033</t>
  </si>
  <si>
    <t>09.04.2024</t>
  </si>
  <si>
    <t>C0034</t>
  </si>
  <si>
    <t>02.01.2025</t>
  </si>
  <si>
    <t>C0035</t>
  </si>
  <si>
    <t>18.12.2024</t>
  </si>
  <si>
    <t>C0036</t>
  </si>
  <si>
    <t>27.09.2024</t>
  </si>
  <si>
    <t>C0037</t>
  </si>
  <si>
    <t>14.02.2024</t>
  </si>
  <si>
    <t>C0038</t>
  </si>
  <si>
    <t>15.04.2025</t>
  </si>
  <si>
    <t>C0039</t>
  </si>
  <si>
    <t>07.05.2024</t>
  </si>
  <si>
    <t>C0040</t>
  </si>
  <si>
    <t>22.01.2025</t>
  </si>
  <si>
    <t>C0041</t>
  </si>
  <si>
    <t>21.03.2024</t>
  </si>
  <si>
    <t>C0042</t>
  </si>
  <si>
    <t>27.10.2024</t>
  </si>
  <si>
    <t>C0043</t>
  </si>
  <si>
    <t>2025-01-05</t>
  </si>
  <si>
    <t>C0044</t>
  </si>
  <si>
    <t>15.07.2024</t>
  </si>
  <si>
    <t>C0045</t>
  </si>
  <si>
    <t>12.03.2024</t>
  </si>
  <si>
    <t>C0046</t>
  </si>
  <si>
    <t>16.02.2024</t>
  </si>
  <si>
    <t>C0047</t>
  </si>
  <si>
    <t>21.08.2024</t>
  </si>
  <si>
    <t>C0048</t>
  </si>
  <si>
    <t>23.10.2024</t>
  </si>
  <si>
    <t>C0049</t>
  </si>
  <si>
    <t>22.03.2024</t>
  </si>
  <si>
    <t>C0050</t>
  </si>
  <si>
    <t>C0051</t>
  </si>
  <si>
    <t>13.04.2024</t>
  </si>
  <si>
    <t>C0052</t>
  </si>
  <si>
    <t>C0053</t>
  </si>
  <si>
    <t>C0054</t>
  </si>
  <si>
    <t>09.04.2025</t>
  </si>
  <si>
    <t>C0055</t>
  </si>
  <si>
    <t>08.01.2025</t>
  </si>
  <si>
    <t>C0056</t>
  </si>
  <si>
    <t>15.06.2024</t>
  </si>
  <si>
    <t>C0057</t>
  </si>
  <si>
    <t>14.01.2025</t>
  </si>
  <si>
    <t>C0058</t>
  </si>
  <si>
    <t>29.12.2024</t>
  </si>
  <si>
    <t>C0059</t>
  </si>
  <si>
    <t>02.08.2024</t>
  </si>
  <si>
    <t>C0060</t>
  </si>
  <si>
    <t>30.09.2024</t>
  </si>
  <si>
    <t>C0061</t>
  </si>
  <si>
    <t>14.03.2024</t>
  </si>
  <si>
    <t>C0062</t>
  </si>
  <si>
    <t>24.06.2024</t>
  </si>
  <si>
    <t>C0063</t>
  </si>
  <si>
    <t>C0064</t>
  </si>
  <si>
    <t>16.06.2024</t>
  </si>
  <si>
    <t>C0065</t>
  </si>
  <si>
    <t>18.04.2025</t>
  </si>
  <si>
    <t>C0066</t>
  </si>
  <si>
    <t>23.01.2025</t>
  </si>
  <si>
    <t>C0067</t>
  </si>
  <si>
    <t>03.10.2024</t>
  </si>
  <si>
    <t>C0068</t>
  </si>
  <si>
    <t>12.08.2024</t>
  </si>
  <si>
    <t>C0069</t>
  </si>
  <si>
    <t>28.11.2024</t>
  </si>
  <si>
    <t>C0070</t>
  </si>
  <si>
    <t>27.02.2024</t>
  </si>
  <si>
    <t>C0071</t>
  </si>
  <si>
    <t>22.08.2024</t>
  </si>
  <si>
    <t>C0072</t>
  </si>
  <si>
    <t>C0073</t>
  </si>
  <si>
    <t>19.11.2024</t>
  </si>
  <si>
    <t>C0074</t>
  </si>
  <si>
    <t>14.02.2025</t>
  </si>
  <si>
    <t>C0075</t>
  </si>
  <si>
    <t>01.10.2024</t>
  </si>
  <si>
    <t>C0076</t>
  </si>
  <si>
    <t>08.03.2024</t>
  </si>
  <si>
    <t>C0077</t>
  </si>
  <si>
    <t>04.08.2024</t>
  </si>
  <si>
    <t>C0078</t>
  </si>
  <si>
    <t>2024-11-18</t>
  </si>
  <si>
    <t>C0079</t>
  </si>
  <si>
    <t>05.08.2024</t>
  </si>
  <si>
    <t>C0080</t>
  </si>
  <si>
    <t>2025-05-26</t>
  </si>
  <si>
    <t>C0081</t>
  </si>
  <si>
    <t>09.02.2025</t>
  </si>
  <si>
    <t>C0082</t>
  </si>
  <si>
    <t>14.04.2025</t>
  </si>
  <si>
    <t>C0083</t>
  </si>
  <si>
    <t>26.05.2024</t>
  </si>
  <si>
    <t>C0084</t>
  </si>
  <si>
    <t>28.09.2024</t>
  </si>
  <si>
    <t>C0085</t>
  </si>
  <si>
    <t>C0086</t>
  </si>
  <si>
    <t>09.09.2024</t>
  </si>
  <si>
    <t>C0087</t>
  </si>
  <si>
    <t>26.09.2024</t>
  </si>
  <si>
    <t>C0088</t>
  </si>
  <si>
    <t>14.03.2025</t>
  </si>
  <si>
    <t>C0089</t>
  </si>
  <si>
    <t>12.02.2025</t>
  </si>
  <si>
    <t>C0090</t>
  </si>
  <si>
    <t>05.01.2025</t>
  </si>
  <si>
    <t>C0091</t>
  </si>
  <si>
    <t>C0092</t>
  </si>
  <si>
    <t>21.05.2024</t>
  </si>
  <si>
    <t>C0093</t>
  </si>
  <si>
    <t>05.06.2025</t>
  </si>
  <si>
    <t>C0094</t>
  </si>
  <si>
    <t>2025-05-20</t>
  </si>
  <si>
    <t>C0095</t>
  </si>
  <si>
    <t>03.04.2024</t>
  </si>
  <si>
    <t>C0096</t>
  </si>
  <si>
    <t>18.02.2024</t>
  </si>
  <si>
    <t>C0097</t>
  </si>
  <si>
    <t>2024-04-22</t>
  </si>
  <si>
    <t>C0098</t>
  </si>
  <si>
    <t>2024-06-05</t>
  </si>
  <si>
    <t>C0099</t>
  </si>
  <si>
    <t>C0100</t>
  </si>
  <si>
    <t>C0101</t>
  </si>
  <si>
    <t>06.03.2024</t>
  </si>
  <si>
    <t>C0102</t>
  </si>
  <si>
    <t>29.01.2025</t>
  </si>
  <si>
    <t>25.01.2025</t>
  </si>
  <si>
    <t>C0104</t>
  </si>
  <si>
    <t>24.04.2025</t>
  </si>
  <si>
    <t>C0105</t>
  </si>
  <si>
    <t>25.06.2025</t>
  </si>
  <si>
    <t>C0106</t>
  </si>
  <si>
    <t>14.09.2024</t>
  </si>
  <si>
    <t>C0107</t>
  </si>
  <si>
    <t>12.01.2024</t>
  </si>
  <si>
    <t>C0108</t>
  </si>
  <si>
    <t>27.04.2024</t>
  </si>
  <si>
    <t>C0109</t>
  </si>
  <si>
    <t>C0110</t>
  </si>
  <si>
    <t>C0111</t>
  </si>
  <si>
    <t>C0112</t>
  </si>
  <si>
    <t>C0113</t>
  </si>
  <si>
    <t>21.03.2025</t>
  </si>
  <si>
    <t>C0114</t>
  </si>
  <si>
    <t>10.06.2024</t>
  </si>
  <si>
    <t>C0115</t>
  </si>
  <si>
    <t>C0116</t>
  </si>
  <si>
    <t>04.01.2024</t>
  </si>
  <si>
    <t>C0117</t>
  </si>
  <si>
    <t>C0118</t>
  </si>
  <si>
    <t>27.05.2025</t>
  </si>
  <si>
    <t>C0119</t>
  </si>
  <si>
    <t>01.07.2024</t>
  </si>
  <si>
    <t>C0120</t>
  </si>
  <si>
    <t>03.06.2025</t>
  </si>
  <si>
    <t>C0121</t>
  </si>
  <si>
    <t>18.04.2024</t>
  </si>
  <si>
    <t>C0122</t>
  </si>
  <si>
    <t>01.11.2024</t>
  </si>
  <si>
    <t>C0123</t>
  </si>
  <si>
    <t>C0124</t>
  </si>
  <si>
    <t>22.07.2024</t>
  </si>
  <si>
    <t>C0125</t>
  </si>
  <si>
    <t>05.06.2024</t>
  </si>
  <si>
    <t>C0126</t>
  </si>
  <si>
    <t>17.01.2025</t>
  </si>
  <si>
    <t>C0127</t>
  </si>
  <si>
    <t>14.06.2024</t>
  </si>
  <si>
    <t>C0128</t>
  </si>
  <si>
    <t>27.06.2025</t>
  </si>
  <si>
    <t>C0129</t>
  </si>
  <si>
    <t>01.01.2024</t>
  </si>
  <si>
    <t>C0130</t>
  </si>
  <si>
    <t>27.11.2024</t>
  </si>
  <si>
    <t>C0131</t>
  </si>
  <si>
    <t>15.05.2025</t>
  </si>
  <si>
    <t>C0132</t>
  </si>
  <si>
    <t>20.01.2024</t>
  </si>
  <si>
    <t>C0133</t>
  </si>
  <si>
    <t>C0134</t>
  </si>
  <si>
    <t>2025-01-06</t>
  </si>
  <si>
    <t>C0135</t>
  </si>
  <si>
    <t>10.11.2024</t>
  </si>
  <si>
    <t>C0136</t>
  </si>
  <si>
    <t>02.09.2024</t>
  </si>
  <si>
    <t>C0137</t>
  </si>
  <si>
    <t>29.02.2024</t>
  </si>
  <si>
    <t>2024-09-03</t>
  </si>
  <si>
    <t>C0139</t>
  </si>
  <si>
    <t>C0140</t>
  </si>
  <si>
    <t>28.03.2024</t>
  </si>
  <si>
    <t>C0141</t>
  </si>
  <si>
    <t>12.05.2025</t>
  </si>
  <si>
    <t>C0142</t>
  </si>
  <si>
    <t>11.03.2024</t>
  </si>
  <si>
    <t>C0143</t>
  </si>
  <si>
    <t>29.06.2025</t>
  </si>
  <si>
    <t>C0144</t>
  </si>
  <si>
    <t>08.05.2024</t>
  </si>
  <si>
    <t>C0145</t>
  </si>
  <si>
    <t>11.05.2024</t>
  </si>
  <si>
    <t>C0146</t>
  </si>
  <si>
    <t>01.05.2025</t>
  </si>
  <si>
    <t>C0147</t>
  </si>
  <si>
    <t>18.06.2024</t>
  </si>
  <si>
    <t>C0148</t>
  </si>
  <si>
    <t>C0149</t>
  </si>
  <si>
    <t>24.06.2025</t>
  </si>
  <si>
    <t>C0150</t>
  </si>
  <si>
    <t>09.03.2025</t>
  </si>
  <si>
    <t>C0151</t>
  </si>
  <si>
    <t>C0152</t>
  </si>
  <si>
    <t>2024-07-24</t>
  </si>
  <si>
    <t>C0153</t>
  </si>
  <si>
    <t>15.11.2024</t>
  </si>
  <si>
    <t>C0154</t>
  </si>
  <si>
    <t>C0155</t>
  </si>
  <si>
    <t>2025-01-17</t>
  </si>
  <si>
    <t>C0156</t>
  </si>
  <si>
    <t>2025-03-24</t>
  </si>
  <si>
    <t>C0157</t>
  </si>
  <si>
    <t>13.06.2025</t>
  </si>
  <si>
    <t>C0158</t>
  </si>
  <si>
    <t>07.04.2025</t>
  </si>
  <si>
    <t>C0159</t>
  </si>
  <si>
    <t>03.05.2024</t>
  </si>
  <si>
    <t>C0160</t>
  </si>
  <si>
    <t>10.09.2024</t>
  </si>
  <si>
    <t>C0161</t>
  </si>
  <si>
    <t>18.08.2024</t>
  </si>
  <si>
    <t>C0162</t>
  </si>
  <si>
    <t>C0163</t>
  </si>
  <si>
    <t>12.12.2024</t>
  </si>
  <si>
    <t>C0164</t>
  </si>
  <si>
    <t>22.01.2024</t>
  </si>
  <si>
    <t>C0165</t>
  </si>
  <si>
    <t>23.08.2024</t>
  </si>
  <si>
    <t>C0166</t>
  </si>
  <si>
    <t>C0167</t>
  </si>
  <si>
    <t>08.01.2024</t>
  </si>
  <si>
    <t>C0168</t>
  </si>
  <si>
    <t>13.03.2024</t>
  </si>
  <si>
    <t>C0169</t>
  </si>
  <si>
    <t>01.03.2024</t>
  </si>
  <si>
    <t>C0171</t>
  </si>
  <si>
    <t>10.03.2024</t>
  </si>
  <si>
    <t>C0172</t>
  </si>
  <si>
    <t>C0173</t>
  </si>
  <si>
    <t>04.12.2024</t>
  </si>
  <si>
    <t>C0174</t>
  </si>
  <si>
    <t>C0175</t>
  </si>
  <si>
    <t>10.06.2025</t>
  </si>
  <si>
    <t>C0176</t>
  </si>
  <si>
    <t>31.08.2024</t>
  </si>
  <si>
    <t>C0177</t>
  </si>
  <si>
    <t>12.10.2024</t>
  </si>
  <si>
    <t>C0178</t>
  </si>
  <si>
    <t>2025-05-12</t>
  </si>
  <si>
    <t>C0179</t>
  </si>
  <si>
    <t>07.08.2024</t>
  </si>
  <si>
    <t>C0180</t>
  </si>
  <si>
    <t>15.05.2024</t>
  </si>
  <si>
    <t>C0181</t>
  </si>
  <si>
    <t>29.04.2025</t>
  </si>
  <si>
    <t>C0182</t>
  </si>
  <si>
    <t>05.09.2024</t>
  </si>
  <si>
    <t>C0183</t>
  </si>
  <si>
    <t>C0184</t>
  </si>
  <si>
    <t>20.02.2025</t>
  </si>
  <si>
    <t>C0185</t>
  </si>
  <si>
    <t>13.07.2024</t>
  </si>
  <si>
    <t>C0186</t>
  </si>
  <si>
    <t>06.04.2024</t>
  </si>
  <si>
    <t>C0187</t>
  </si>
  <si>
    <t>C0188</t>
  </si>
  <si>
    <t>17.03.2025</t>
  </si>
  <si>
    <t>C0189</t>
  </si>
  <si>
    <t>28.12.2024</t>
  </si>
  <si>
    <t>C0190</t>
  </si>
  <si>
    <t>2025-03-09</t>
  </si>
  <si>
    <t>C0191</t>
  </si>
  <si>
    <t>24.02.2025</t>
  </si>
  <si>
    <t>C0192</t>
  </si>
  <si>
    <t>23.04.2025</t>
  </si>
  <si>
    <t>C0193</t>
  </si>
  <si>
    <t>25.02.2024</t>
  </si>
  <si>
    <t>C0194</t>
  </si>
  <si>
    <t>10.04.2024</t>
  </si>
  <si>
    <t>C0195</t>
  </si>
  <si>
    <t>03.03.2024</t>
  </si>
  <si>
    <t>C0196</t>
  </si>
  <si>
    <t>16.02.2025</t>
  </si>
  <si>
    <t>C0197</t>
  </si>
  <si>
    <t>13.12.2024</t>
  </si>
  <si>
    <t>C0198</t>
  </si>
  <si>
    <t>21.04.2024</t>
  </si>
  <si>
    <t>C0199</t>
  </si>
  <si>
    <t>11.09.2024</t>
  </si>
  <si>
    <t>C0200</t>
  </si>
  <si>
    <t>C0201</t>
  </si>
  <si>
    <t>C0202</t>
  </si>
  <si>
    <t>C0203</t>
  </si>
  <si>
    <t>23.05.2024</t>
  </si>
  <si>
    <t>C0204</t>
  </si>
  <si>
    <t>C0205</t>
  </si>
  <si>
    <t>06.07.2024</t>
  </si>
  <si>
    <t>C0206</t>
  </si>
  <si>
    <t>C0207</t>
  </si>
  <si>
    <t>2025-04-18</t>
  </si>
  <si>
    <t>C0208</t>
  </si>
  <si>
    <t>12.09.2024</t>
  </si>
  <si>
    <t>C0209</t>
  </si>
  <si>
    <t>18.03.2024</t>
  </si>
  <si>
    <t>C0210</t>
  </si>
  <si>
    <t>29.03.2025</t>
  </si>
  <si>
    <t>C0211</t>
  </si>
  <si>
    <t>C0212</t>
  </si>
  <si>
    <t>21.02.2024</t>
  </si>
  <si>
    <t>C0213</t>
  </si>
  <si>
    <t>16.01.2024</t>
  </si>
  <si>
    <t>C0214</t>
  </si>
  <si>
    <t>C0215</t>
  </si>
  <si>
    <t>30.08.2024</t>
  </si>
  <si>
    <t>C0216</t>
  </si>
  <si>
    <t>2024-06-19</t>
  </si>
  <si>
    <t>C0217</t>
  </si>
  <si>
    <t>C0218</t>
  </si>
  <si>
    <t>C0219</t>
  </si>
  <si>
    <t>07.05.2025</t>
  </si>
  <si>
    <t>C0220</t>
  </si>
  <si>
    <t>06.08.2024</t>
  </si>
  <si>
    <t>C0221</t>
  </si>
  <si>
    <t>C0222</t>
  </si>
  <si>
    <t>C0223</t>
  </si>
  <si>
    <t>17.06.2024</t>
  </si>
  <si>
    <t>C0224</t>
  </si>
  <si>
    <t>C0225</t>
  </si>
  <si>
    <t>03.01.2024</t>
  </si>
  <si>
    <t>C0226</t>
  </si>
  <si>
    <t>03.02.2025</t>
  </si>
  <si>
    <t>C0227</t>
  </si>
  <si>
    <t>C0228</t>
  </si>
  <si>
    <t>10.04.2025</t>
  </si>
  <si>
    <t>C0229</t>
  </si>
  <si>
    <t>19.10.2024</t>
  </si>
  <si>
    <t>C0230</t>
  </si>
  <si>
    <t>C0231</t>
  </si>
  <si>
    <t>2025-05-13</t>
  </si>
  <si>
    <t>C0232</t>
  </si>
  <si>
    <t>07.06.2024</t>
  </si>
  <si>
    <t>C0233</t>
  </si>
  <si>
    <t>C0234</t>
  </si>
  <si>
    <t>30.10.2024</t>
  </si>
  <si>
    <t>C0235</t>
  </si>
  <si>
    <t>10.08.2024</t>
  </si>
  <si>
    <t>C0236</t>
  </si>
  <si>
    <t>C0237</t>
  </si>
  <si>
    <t>C0238</t>
  </si>
  <si>
    <t>17.11.2024</t>
  </si>
  <si>
    <t>C0239</t>
  </si>
  <si>
    <t>28.02.2024</t>
  </si>
  <si>
    <t>C0240</t>
  </si>
  <si>
    <t>C0241</t>
  </si>
  <si>
    <t>03.05.2025</t>
  </si>
  <si>
    <t>C0242</t>
  </si>
  <si>
    <t>29.05.2025</t>
  </si>
  <si>
    <t>C0243</t>
  </si>
  <si>
    <t>C0244</t>
  </si>
  <si>
    <t>C0245</t>
  </si>
  <si>
    <t>C0246</t>
  </si>
  <si>
    <t>04.06.2025</t>
  </si>
  <si>
    <t>C0247</t>
  </si>
  <si>
    <t>23.03.2024</t>
  </si>
  <si>
    <t>C0248</t>
  </si>
  <si>
    <t>09.07.2024</t>
  </si>
  <si>
    <t>C0249</t>
  </si>
  <si>
    <t>C0250</t>
  </si>
  <si>
    <t>C0251</t>
  </si>
  <si>
    <t>28.08.2024</t>
  </si>
  <si>
    <t>C0252</t>
  </si>
  <si>
    <t>17.02.2025</t>
  </si>
  <si>
    <t>C0253</t>
  </si>
  <si>
    <t>02.05.2024</t>
  </si>
  <si>
    <t>C0254</t>
  </si>
  <si>
    <t>C0255</t>
  </si>
  <si>
    <t>10.02.2024</t>
  </si>
  <si>
    <t>C0256</t>
  </si>
  <si>
    <t>24.03.2024</t>
  </si>
  <si>
    <t>C0257</t>
  </si>
  <si>
    <t>C0258</t>
  </si>
  <si>
    <t>19.06.2025</t>
  </si>
  <si>
    <t>C0259</t>
  </si>
  <si>
    <t>C0260</t>
  </si>
  <si>
    <t>24.09.2024</t>
  </si>
  <si>
    <t>C0261</t>
  </si>
  <si>
    <t>28.07.2024</t>
  </si>
  <si>
    <t>C0262</t>
  </si>
  <si>
    <t>C0263</t>
  </si>
  <si>
    <t>01.09.2024</t>
  </si>
  <si>
    <t>C0264</t>
  </si>
  <si>
    <t>C0265</t>
  </si>
  <si>
    <t>C0266</t>
  </si>
  <si>
    <t>14.05.2024</t>
  </si>
  <si>
    <t>C0267</t>
  </si>
  <si>
    <t>03.11.2024</t>
  </si>
  <si>
    <t>C0268</t>
  </si>
  <si>
    <t>13.04.2025</t>
  </si>
  <si>
    <t>C0269</t>
  </si>
  <si>
    <t>C0270</t>
  </si>
  <si>
    <t>15.03.2024</t>
  </si>
  <si>
    <t>C0271</t>
  </si>
  <si>
    <t>10.01.2024</t>
  </si>
  <si>
    <t>C0272</t>
  </si>
  <si>
    <t>C0273</t>
  </si>
  <si>
    <t>12.04.2024</t>
  </si>
  <si>
    <t>C0274</t>
  </si>
  <si>
    <t>16.03.2024</t>
  </si>
  <si>
    <t>C0275</t>
  </si>
  <si>
    <t>C0276</t>
  </si>
  <si>
    <t>02.06.2025</t>
  </si>
  <si>
    <t>C0277</t>
  </si>
  <si>
    <t>C0278</t>
  </si>
  <si>
    <t>C0279</t>
  </si>
  <si>
    <t>23.12.2024</t>
  </si>
  <si>
    <t>C0280</t>
  </si>
  <si>
    <t>C0281</t>
  </si>
  <si>
    <t>C0282</t>
  </si>
  <si>
    <t>13.01.2025</t>
  </si>
  <si>
    <t>C0283</t>
  </si>
  <si>
    <t>18.10.2024</t>
  </si>
  <si>
    <t>C0284</t>
  </si>
  <si>
    <t>2024-06-10</t>
  </si>
  <si>
    <t>C0285</t>
  </si>
  <si>
    <t>24.03.2025</t>
  </si>
  <si>
    <t>C0286</t>
  </si>
  <si>
    <t>05.11.2024</t>
  </si>
  <si>
    <t>C0287</t>
  </si>
  <si>
    <t>C0288</t>
  </si>
  <si>
    <t>09.01.2024</t>
  </si>
  <si>
    <t>C0289</t>
  </si>
  <si>
    <t>02.11.2024</t>
  </si>
  <si>
    <t>C0290</t>
  </si>
  <si>
    <t>16.04.2024</t>
  </si>
  <si>
    <t>C0291</t>
  </si>
  <si>
    <t>17.05.2024</t>
  </si>
  <si>
    <t>C0292</t>
  </si>
  <si>
    <t>C0293</t>
  </si>
  <si>
    <t>28.04.2024</t>
  </si>
  <si>
    <t>C0294</t>
  </si>
  <si>
    <t>19.04.2024</t>
  </si>
  <si>
    <t>C0295</t>
  </si>
  <si>
    <t>C0296</t>
  </si>
  <si>
    <t>05.10.2024</t>
  </si>
  <si>
    <t>C0297</t>
  </si>
  <si>
    <t>15.10.2024</t>
  </si>
  <si>
    <t>C0298</t>
  </si>
  <si>
    <t>03.08.2024</t>
  </si>
  <si>
    <t>C0299</t>
  </si>
  <si>
    <t>17.12.2024</t>
  </si>
  <si>
    <t>C0300</t>
  </si>
  <si>
    <t>27.07.2024</t>
  </si>
  <si>
    <t>C0301</t>
  </si>
  <si>
    <t>C0302</t>
  </si>
  <si>
    <t>C0303</t>
  </si>
  <si>
    <t>C0304</t>
  </si>
  <si>
    <t>C0305</t>
  </si>
  <si>
    <t>22.02.2024</t>
  </si>
  <si>
    <t>C0306</t>
  </si>
  <si>
    <t>2024-04-04</t>
  </si>
  <si>
    <t>C0307</t>
  </si>
  <si>
    <t>C0308</t>
  </si>
  <si>
    <t>10.10.2024</t>
  </si>
  <si>
    <t>C0309</t>
  </si>
  <si>
    <t>15.02.2024</t>
  </si>
  <si>
    <t>C0310</t>
  </si>
  <si>
    <t>2024-01-04</t>
  </si>
  <si>
    <t>C0311</t>
  </si>
  <si>
    <t>07.12.2024</t>
  </si>
  <si>
    <t>C0312</t>
  </si>
  <si>
    <t>13.05.2024</t>
  </si>
  <si>
    <t>C0313</t>
  </si>
  <si>
    <t>25.09.2024</t>
  </si>
  <si>
    <t>C0314</t>
  </si>
  <si>
    <t>2024-06-14</t>
  </si>
  <si>
    <t>C0315</t>
  </si>
  <si>
    <t>28.03.2025</t>
  </si>
  <si>
    <t>C0316</t>
  </si>
  <si>
    <t>13.03.2025</t>
  </si>
  <si>
    <t>C0317</t>
  </si>
  <si>
    <t>C0318</t>
  </si>
  <si>
    <t>C0319</t>
  </si>
  <si>
    <t>C0320</t>
  </si>
  <si>
    <t>01.06.2024</t>
  </si>
  <si>
    <t>C0321</t>
  </si>
  <si>
    <t>2024-02-06</t>
  </si>
  <si>
    <t>C0322</t>
  </si>
  <si>
    <t>C0323</t>
  </si>
  <si>
    <t>31.05.2024</t>
  </si>
  <si>
    <t>C0324</t>
  </si>
  <si>
    <t>16.03.2025</t>
  </si>
  <si>
    <t>C0325</t>
  </si>
  <si>
    <t>10.05.2024</t>
  </si>
  <si>
    <t>C0326</t>
  </si>
  <si>
    <t>12.02.2024</t>
  </si>
  <si>
    <t>C0327</t>
  </si>
  <si>
    <t>11.11.2024</t>
  </si>
  <si>
    <t>C0328</t>
  </si>
  <si>
    <t>C0329</t>
  </si>
  <si>
    <t>C0330</t>
  </si>
  <si>
    <t>01.01.2025</t>
  </si>
  <si>
    <t>C0331</t>
  </si>
  <si>
    <t>C0332</t>
  </si>
  <si>
    <t>C0333</t>
  </si>
  <si>
    <t>15.04.2024</t>
  </si>
  <si>
    <t>C0334</t>
  </si>
  <si>
    <t>C0335</t>
  </si>
  <si>
    <t>C0336</t>
  </si>
  <si>
    <t>C0337</t>
  </si>
  <si>
    <t>C0338</t>
  </si>
  <si>
    <t>C0339</t>
  </si>
  <si>
    <t>30.06.2024</t>
  </si>
  <si>
    <t>C0340</t>
  </si>
  <si>
    <t>26.02.2025</t>
  </si>
  <si>
    <t>C0341</t>
  </si>
  <si>
    <t>C0342</t>
  </si>
  <si>
    <t>02.07.2024</t>
  </si>
  <si>
    <t>C0343</t>
  </si>
  <si>
    <t>06.12.2024</t>
  </si>
  <si>
    <t>C0344</t>
  </si>
  <si>
    <t>25.02.2025</t>
  </si>
  <si>
    <t>C0345</t>
  </si>
  <si>
    <t>C0346</t>
  </si>
  <si>
    <t>C0347</t>
  </si>
  <si>
    <t>C0348</t>
  </si>
  <si>
    <t>2024-04-20</t>
  </si>
  <si>
    <t>C0349</t>
  </si>
  <si>
    <t>26.01.2025</t>
  </si>
  <si>
    <t>C0350</t>
  </si>
  <si>
    <t>2024-02-09</t>
  </si>
  <si>
    <t>C0351</t>
  </si>
  <si>
    <t>26.04.2025</t>
  </si>
  <si>
    <t>C0352</t>
  </si>
  <si>
    <t>15.08.2024</t>
  </si>
  <si>
    <t>C0353</t>
  </si>
  <si>
    <t>23.07.2024</t>
  </si>
  <si>
    <t>C0354</t>
  </si>
  <si>
    <t>16.04.2025</t>
  </si>
  <si>
    <t>C0355</t>
  </si>
  <si>
    <t>24.12.2024</t>
  </si>
  <si>
    <t>C0356</t>
  </si>
  <si>
    <t>08.11.2024</t>
  </si>
  <si>
    <t>C0357</t>
  </si>
  <si>
    <t>C0358</t>
  </si>
  <si>
    <t>C0359</t>
  </si>
  <si>
    <t>25.01.2024</t>
  </si>
  <si>
    <t>C0360</t>
  </si>
  <si>
    <t>16.07.2024</t>
  </si>
  <si>
    <t>C0361</t>
  </si>
  <si>
    <t>C0362</t>
  </si>
  <si>
    <t>02.12.2024</t>
  </si>
  <si>
    <t>C0363</t>
  </si>
  <si>
    <t>C0364</t>
  </si>
  <si>
    <t>C0365</t>
  </si>
  <si>
    <t>C0366</t>
  </si>
  <si>
    <t>2024-12-25</t>
  </si>
  <si>
    <t>C0367</t>
  </si>
  <si>
    <t>C0368</t>
  </si>
  <si>
    <t>13.02.2025</t>
  </si>
  <si>
    <t>C0369</t>
  </si>
  <si>
    <t>05.12.2024</t>
  </si>
  <si>
    <t>C0370</t>
  </si>
  <si>
    <t>2024-01-29</t>
  </si>
  <si>
    <t>C0371</t>
  </si>
  <si>
    <t>C0372</t>
  </si>
  <si>
    <t>C0373</t>
  </si>
  <si>
    <t>C0374</t>
  </si>
  <si>
    <t>C0375</t>
  </si>
  <si>
    <t>09.02.2024</t>
  </si>
  <si>
    <t>C0376</t>
  </si>
  <si>
    <t>C0377</t>
  </si>
  <si>
    <t>20.03.2025</t>
  </si>
  <si>
    <t>C0378</t>
  </si>
  <si>
    <t>19.12.2024</t>
  </si>
  <si>
    <t>C0379</t>
  </si>
  <si>
    <t>C0380</t>
  </si>
  <si>
    <t>22.03.2025</t>
  </si>
  <si>
    <t>C0381</t>
  </si>
  <si>
    <t>2025-06-07</t>
  </si>
  <si>
    <t>C0382</t>
  </si>
  <si>
    <t>C0383</t>
  </si>
  <si>
    <t>C0384</t>
  </si>
  <si>
    <t>C0385</t>
  </si>
  <si>
    <t>17.09.2024</t>
  </si>
  <si>
    <t>C0386</t>
  </si>
  <si>
    <t>C0387</t>
  </si>
  <si>
    <t>2025-03-22</t>
  </si>
  <si>
    <t>C0388</t>
  </si>
  <si>
    <t>02.01.2024</t>
  </si>
  <si>
    <t>C0389</t>
  </si>
  <si>
    <t>16.06.2025</t>
  </si>
  <si>
    <t>C0390</t>
  </si>
  <si>
    <t>20.07.2024</t>
  </si>
  <si>
    <t>C0391</t>
  </si>
  <si>
    <t>2025-01-07</t>
  </si>
  <si>
    <t>C0392</t>
  </si>
  <si>
    <t>C0393</t>
  </si>
  <si>
    <t>C0394</t>
  </si>
  <si>
    <t>C0395</t>
  </si>
  <si>
    <t>C0396</t>
  </si>
  <si>
    <t>2024-05-07</t>
  </si>
  <si>
    <t>C0397</t>
  </si>
  <si>
    <t>C0398</t>
  </si>
  <si>
    <t>C0399</t>
  </si>
  <si>
    <t>12.11.2024</t>
  </si>
  <si>
    <t>C0400</t>
  </si>
  <si>
    <t>2025-02-22</t>
  </si>
  <si>
    <t>C0401</t>
  </si>
  <si>
    <t>30.11.2024</t>
  </si>
  <si>
    <t>C0402</t>
  </si>
  <si>
    <t>C0403</t>
  </si>
  <si>
    <t>29.10.2024</t>
  </si>
  <si>
    <t>C0404</t>
  </si>
  <si>
    <t>C0405</t>
  </si>
  <si>
    <t>C0406</t>
  </si>
  <si>
    <t>06.03.2025</t>
  </si>
  <si>
    <t>C0407</t>
  </si>
  <si>
    <t>C0408</t>
  </si>
  <si>
    <t>27.06.2024</t>
  </si>
  <si>
    <t>C0409</t>
  </si>
  <si>
    <t>04.11.2024</t>
  </si>
  <si>
    <t>C0410</t>
  </si>
  <si>
    <t>19.02.2025</t>
  </si>
  <si>
    <t>C0411</t>
  </si>
  <si>
    <t>C0412</t>
  </si>
  <si>
    <t>07.11.2024</t>
  </si>
  <si>
    <t>C0413</t>
  </si>
  <si>
    <t>20.10.2024</t>
  </si>
  <si>
    <t>C0414</t>
  </si>
  <si>
    <t>C0415</t>
  </si>
  <si>
    <t>C0416</t>
  </si>
  <si>
    <t>2024-11-25</t>
  </si>
  <si>
    <t>C0417</t>
  </si>
  <si>
    <t>21.04.2025</t>
  </si>
  <si>
    <t>C0418</t>
  </si>
  <si>
    <t>C0419</t>
  </si>
  <si>
    <t>C0420</t>
  </si>
  <si>
    <t>C0421</t>
  </si>
  <si>
    <t>07.06.2025</t>
  </si>
  <si>
    <t>C0422</t>
  </si>
  <si>
    <t>C0423</t>
  </si>
  <si>
    <t>22.06.2024</t>
  </si>
  <si>
    <t>C0424</t>
  </si>
  <si>
    <t>27.03.2024</t>
  </si>
  <si>
    <t>C0425</t>
  </si>
  <si>
    <t>17.10.2024</t>
  </si>
  <si>
    <t>C0426</t>
  </si>
  <si>
    <t>11.06.2025</t>
  </si>
  <si>
    <t>C0427</t>
  </si>
  <si>
    <t>09.12.2024</t>
  </si>
  <si>
    <t>C0428</t>
  </si>
  <si>
    <t>C0429</t>
  </si>
  <si>
    <t>C0430</t>
  </si>
  <si>
    <t>13.11.2024</t>
  </si>
  <si>
    <t>C0431</t>
  </si>
  <si>
    <t>C0432</t>
  </si>
  <si>
    <t>C0433</t>
  </si>
  <si>
    <t>2024-05-30</t>
  </si>
  <si>
    <t>C0434</t>
  </si>
  <si>
    <t>C0435</t>
  </si>
  <si>
    <t>17.02.2024</t>
  </si>
  <si>
    <t>C0436</t>
  </si>
  <si>
    <t>C0437</t>
  </si>
  <si>
    <t>C0438</t>
  </si>
  <si>
    <t>2024-03-15</t>
  </si>
  <si>
    <t>C0439</t>
  </si>
  <si>
    <t>11.04.2025</t>
  </si>
  <si>
    <t>C0440</t>
  </si>
  <si>
    <t>28.02.2025</t>
  </si>
  <si>
    <t>C0441</t>
  </si>
  <si>
    <t>18.07.2024</t>
  </si>
  <si>
    <t>C0442</t>
  </si>
  <si>
    <t>28.01.2025</t>
  </si>
  <si>
    <t>C0443</t>
  </si>
  <si>
    <t>21.05.2025</t>
  </si>
  <si>
    <t>C0444</t>
  </si>
  <si>
    <t>C0445</t>
  </si>
  <si>
    <t>06.09.2024</t>
  </si>
  <si>
    <t>C0446</t>
  </si>
  <si>
    <t>C0447</t>
  </si>
  <si>
    <t>06.01.2024</t>
  </si>
  <si>
    <t>C0448</t>
  </si>
  <si>
    <t>C0449</t>
  </si>
  <si>
    <t>11.03.2025</t>
  </si>
  <si>
    <t>C0450</t>
  </si>
  <si>
    <t>C0451</t>
  </si>
  <si>
    <t>29.06.2024</t>
  </si>
  <si>
    <t>C0452</t>
  </si>
  <si>
    <t>14.06.2025</t>
  </si>
  <si>
    <t>C0453</t>
  </si>
  <si>
    <t>20.04.2025</t>
  </si>
  <si>
    <t>C0454</t>
  </si>
  <si>
    <t>C0455</t>
  </si>
  <si>
    <t>C0456</t>
  </si>
  <si>
    <t>04.05.2024</t>
  </si>
  <si>
    <t>C0457</t>
  </si>
  <si>
    <t>12.04.2025</t>
  </si>
  <si>
    <t>C0458</t>
  </si>
  <si>
    <t>16.05.2024</t>
  </si>
  <si>
    <t>C0459</t>
  </si>
  <si>
    <t>C0460</t>
  </si>
  <si>
    <t>C0461</t>
  </si>
  <si>
    <t>20.11.2024</t>
  </si>
  <si>
    <t>C0462</t>
  </si>
  <si>
    <t>C0463</t>
  </si>
  <si>
    <t>2025-05-31</t>
  </si>
  <si>
    <t>C0464</t>
  </si>
  <si>
    <t>12.03.2025</t>
  </si>
  <si>
    <t>C0465</t>
  </si>
  <si>
    <t>01.04.2025</t>
  </si>
  <si>
    <t>C0466</t>
  </si>
  <si>
    <t>11.06.2024</t>
  </si>
  <si>
    <t>C0467</t>
  </si>
  <si>
    <t>C0468</t>
  </si>
  <si>
    <t>05.04.2025</t>
  </si>
  <si>
    <t>C0469</t>
  </si>
  <si>
    <t>22.09.2024</t>
  </si>
  <si>
    <t>C0470</t>
  </si>
  <si>
    <t>2024-09-10</t>
  </si>
  <si>
    <t>C0471</t>
  </si>
  <si>
    <t>C0472</t>
  </si>
  <si>
    <t>17.06.2025</t>
  </si>
  <si>
    <t>C0473</t>
  </si>
  <si>
    <t>11.05.2025</t>
  </si>
  <si>
    <t>C0474</t>
  </si>
  <si>
    <t>C0475</t>
  </si>
  <si>
    <t>C0476</t>
  </si>
  <si>
    <t>26.03.2025</t>
  </si>
  <si>
    <t>C0477</t>
  </si>
  <si>
    <t>2024-03-20</t>
  </si>
  <si>
    <t>C0478</t>
  </si>
  <si>
    <t>C0479</t>
  </si>
  <si>
    <t>C0480</t>
  </si>
  <si>
    <t>2024-10-05</t>
  </si>
  <si>
    <t>C0481</t>
  </si>
  <si>
    <t>C0482</t>
  </si>
  <si>
    <t>23.11.2024</t>
  </si>
  <si>
    <t>C0483</t>
  </si>
  <si>
    <t>C0484</t>
  </si>
  <si>
    <t>C0485</t>
  </si>
  <si>
    <t>03.06.2024</t>
  </si>
  <si>
    <t>C0486</t>
  </si>
  <si>
    <t>24.08.2024</t>
  </si>
  <si>
    <t>C0487</t>
  </si>
  <si>
    <t>27.01.2025</t>
  </si>
  <si>
    <t>C0488</t>
  </si>
  <si>
    <t>C0489</t>
  </si>
  <si>
    <t>C0490</t>
  </si>
  <si>
    <t>C0491</t>
  </si>
  <si>
    <t>C0492</t>
  </si>
  <si>
    <t>21.02.2025</t>
  </si>
  <si>
    <t>C0493</t>
  </si>
  <si>
    <t>C0494</t>
  </si>
  <si>
    <t>22.04.2025</t>
  </si>
  <si>
    <t>C0495</t>
  </si>
  <si>
    <t>01.03.2025</t>
  </si>
  <si>
    <t>C0496</t>
  </si>
  <si>
    <t>04.03.2024</t>
  </si>
  <si>
    <t>C0497</t>
  </si>
  <si>
    <t>30.07.2024</t>
  </si>
  <si>
    <t>C0498</t>
  </si>
  <si>
    <t>C0499</t>
  </si>
  <si>
    <t>02.02.2025</t>
  </si>
  <si>
    <t>C0500</t>
  </si>
  <si>
    <t>21.01.2024</t>
  </si>
  <si>
    <t>C0501</t>
  </si>
  <si>
    <t>C0502</t>
  </si>
  <si>
    <t>C0503</t>
  </si>
  <si>
    <t>C0504</t>
  </si>
  <si>
    <t>26.12.2024</t>
  </si>
  <si>
    <t>C0505</t>
  </si>
  <si>
    <t>C0506</t>
  </si>
  <si>
    <t>C0507</t>
  </si>
  <si>
    <t>C0508</t>
  </si>
  <si>
    <t>2024-08-13</t>
  </si>
  <si>
    <t>C0509</t>
  </si>
  <si>
    <t>2025-05-14</t>
  </si>
  <si>
    <t>C0510</t>
  </si>
  <si>
    <t>C0511</t>
  </si>
  <si>
    <t>06.10.2024</t>
  </si>
  <si>
    <t>C0512</t>
  </si>
  <si>
    <t>C0513</t>
  </si>
  <si>
    <t>C0514</t>
  </si>
  <si>
    <t>30.01.2024</t>
  </si>
  <si>
    <t>C0515</t>
  </si>
  <si>
    <t>C0516</t>
  </si>
  <si>
    <t>C0517</t>
  </si>
  <si>
    <t>2025-02-18</t>
  </si>
  <si>
    <t>C0518</t>
  </si>
  <si>
    <t>C0519</t>
  </si>
  <si>
    <t>C0520</t>
  </si>
  <si>
    <t>C0521</t>
  </si>
  <si>
    <t>C0522</t>
  </si>
  <si>
    <t>07.02.2025</t>
  </si>
  <si>
    <t>C0523</t>
  </si>
  <si>
    <t>C0524</t>
  </si>
  <si>
    <t>26.03.2024</t>
  </si>
  <si>
    <t>C0525</t>
  </si>
  <si>
    <t>C0526</t>
  </si>
  <si>
    <t>18.05.2024</t>
  </si>
  <si>
    <t>C0527</t>
  </si>
  <si>
    <t>17.04.2025</t>
  </si>
  <si>
    <t>C0528</t>
  </si>
  <si>
    <t>05.07.2024</t>
  </si>
  <si>
    <t>C0529</t>
  </si>
  <si>
    <t>2024-02-21</t>
  </si>
  <si>
    <t>C0530</t>
  </si>
  <si>
    <t>23.09.2024</t>
  </si>
  <si>
    <t>C0531</t>
  </si>
  <si>
    <t>C0532</t>
  </si>
  <si>
    <t>2024-12-01</t>
  </si>
  <si>
    <t>C0533</t>
  </si>
  <si>
    <t>C0534</t>
  </si>
  <si>
    <t>C0535</t>
  </si>
  <si>
    <t>C0536</t>
  </si>
  <si>
    <t>11.12.2024</t>
  </si>
  <si>
    <t>C0537</t>
  </si>
  <si>
    <t>C0538</t>
  </si>
  <si>
    <t>C0539</t>
  </si>
  <si>
    <t>2025-03-07</t>
  </si>
  <si>
    <t>C0540</t>
  </si>
  <si>
    <t>15.09.2024</t>
  </si>
  <si>
    <t>C0541</t>
  </si>
  <si>
    <t>C0542</t>
  </si>
  <si>
    <t>C0543</t>
  </si>
  <si>
    <t>C0544</t>
  </si>
  <si>
    <t>23.02.2024</t>
  </si>
  <si>
    <t>C0545</t>
  </si>
  <si>
    <t>C0546</t>
  </si>
  <si>
    <t>17.08.2024</t>
  </si>
  <si>
    <t>C0547</t>
  </si>
  <si>
    <t>C0548</t>
  </si>
  <si>
    <t>11.02.2024</t>
  </si>
  <si>
    <t>C0549</t>
  </si>
  <si>
    <t>01.02.2024</t>
  </si>
  <si>
    <t>C0550</t>
  </si>
  <si>
    <t>C0551</t>
  </si>
  <si>
    <t>C0552</t>
  </si>
  <si>
    <t>C0553</t>
  </si>
  <si>
    <t>C0554</t>
  </si>
  <si>
    <t>2024-09-01</t>
  </si>
  <si>
    <t>C0555</t>
  </si>
  <si>
    <t>09.05.2024</t>
  </si>
  <si>
    <t>C0556</t>
  </si>
  <si>
    <t>C0557</t>
  </si>
  <si>
    <t>C0558</t>
  </si>
  <si>
    <t>C0559</t>
  </si>
  <si>
    <t>C0560</t>
  </si>
  <si>
    <t>19.09.2024</t>
  </si>
  <si>
    <t>C0561</t>
  </si>
  <si>
    <t>2025-01-12</t>
  </si>
  <si>
    <t>C0562</t>
  </si>
  <si>
    <t>20.06.2024</t>
  </si>
  <si>
    <t>C0563</t>
  </si>
  <si>
    <t>C0564</t>
  </si>
  <si>
    <t>2024-06-16</t>
  </si>
  <si>
    <t>C0565</t>
  </si>
  <si>
    <t>14.11.2024</t>
  </si>
  <si>
    <t>C0566</t>
  </si>
  <si>
    <t>20.04.2024</t>
  </si>
  <si>
    <t>C0567</t>
  </si>
  <si>
    <t>27.01.2024</t>
  </si>
  <si>
    <t>C0568</t>
  </si>
  <si>
    <t>C0569</t>
  </si>
  <si>
    <t>19.01.2025</t>
  </si>
  <si>
    <t>C0570</t>
  </si>
  <si>
    <t>10.02.2025</t>
  </si>
  <si>
    <t>C0571</t>
  </si>
  <si>
    <t>C0572</t>
  </si>
  <si>
    <t>C0573</t>
  </si>
  <si>
    <t>C0574</t>
  </si>
  <si>
    <t>C0575</t>
  </si>
  <si>
    <t>C0576</t>
  </si>
  <si>
    <t>C0577</t>
  </si>
  <si>
    <t>C0578</t>
  </si>
  <si>
    <t>21.12.2024</t>
  </si>
  <si>
    <t>C0579</t>
  </si>
  <si>
    <t>C0580</t>
  </si>
  <si>
    <t>C0581</t>
  </si>
  <si>
    <t>C0582</t>
  </si>
  <si>
    <t>C0583</t>
  </si>
  <si>
    <t>C0584</t>
  </si>
  <si>
    <t>15.12.2024</t>
  </si>
  <si>
    <t>C0585</t>
  </si>
  <si>
    <t>2024-01-13</t>
  </si>
  <si>
    <t>C0586</t>
  </si>
  <si>
    <t>C0587</t>
  </si>
  <si>
    <t>16.05.2025</t>
  </si>
  <si>
    <t>C0588</t>
  </si>
  <si>
    <t>C0589</t>
  </si>
  <si>
    <t>19.03.2025</t>
  </si>
  <si>
    <t>C0590</t>
  </si>
  <si>
    <t>C0591</t>
  </si>
  <si>
    <t>C0592</t>
  </si>
  <si>
    <t>C0593</t>
  </si>
  <si>
    <t>C0594</t>
  </si>
  <si>
    <t>C0595</t>
  </si>
  <si>
    <t>18.06.2025</t>
  </si>
  <si>
    <t>C0596</t>
  </si>
  <si>
    <t>C0597</t>
  </si>
  <si>
    <t>10.05.2025</t>
  </si>
  <si>
    <t>C0598</t>
  </si>
  <si>
    <t>C0599</t>
  </si>
  <si>
    <t>C0600</t>
  </si>
  <si>
    <t>C0601</t>
  </si>
  <si>
    <t>26.11.2024</t>
  </si>
  <si>
    <t>C0602</t>
  </si>
  <si>
    <t>08.09.2024</t>
  </si>
  <si>
    <t>C0603</t>
  </si>
  <si>
    <t>2024-03-29</t>
  </si>
  <si>
    <t>C0604</t>
  </si>
  <si>
    <t>2024-10-12</t>
  </si>
  <si>
    <t>C0605</t>
  </si>
  <si>
    <t>06.04.2025</t>
  </si>
  <si>
    <t>C0606</t>
  </si>
  <si>
    <t>C0607</t>
  </si>
  <si>
    <t>C0608</t>
  </si>
  <si>
    <t>C0609</t>
  </si>
  <si>
    <t>C0610</t>
  </si>
  <si>
    <t>C0611</t>
  </si>
  <si>
    <t>C0612</t>
  </si>
  <si>
    <t>C0613</t>
  </si>
  <si>
    <t>C0614</t>
  </si>
  <si>
    <t>14.05.2025</t>
  </si>
  <si>
    <t>C0615</t>
  </si>
  <si>
    <t>C0616</t>
  </si>
  <si>
    <t>C0617</t>
  </si>
  <si>
    <t>21.09.2024</t>
  </si>
  <si>
    <t>C0618</t>
  </si>
  <si>
    <t>C0619</t>
  </si>
  <si>
    <t>13.10.2024</t>
  </si>
  <si>
    <t>C0620</t>
  </si>
  <si>
    <t>09.10.2024</t>
  </si>
  <si>
    <t>C0621</t>
  </si>
  <si>
    <t>11.01.2024</t>
  </si>
  <si>
    <t>C0622</t>
  </si>
  <si>
    <t>C0623</t>
  </si>
  <si>
    <t>14.07.2024</t>
  </si>
  <si>
    <t>C0624</t>
  </si>
  <si>
    <t>C0625</t>
  </si>
  <si>
    <t>04.09.2024</t>
  </si>
  <si>
    <t>C0626</t>
  </si>
  <si>
    <t>C0627</t>
  </si>
  <si>
    <t>C0628</t>
  </si>
  <si>
    <t>03.09.2024</t>
  </si>
  <si>
    <t>C0629</t>
  </si>
  <si>
    <t>02.05.2025</t>
  </si>
  <si>
    <t>C0630</t>
  </si>
  <si>
    <t>2025-05-17</t>
  </si>
  <si>
    <t>C0631</t>
  </si>
  <si>
    <t>03.04.2025</t>
  </si>
  <si>
    <t>C0632</t>
  </si>
  <si>
    <t>18.01.2024</t>
  </si>
  <si>
    <t>C0633</t>
  </si>
  <si>
    <t>C0634</t>
  </si>
  <si>
    <t>28.10.2024</t>
  </si>
  <si>
    <t>C0635</t>
  </si>
  <si>
    <t>14.08.2024</t>
  </si>
  <si>
    <t>C0636</t>
  </si>
  <si>
    <t>18.02.2025</t>
  </si>
  <si>
    <t>C0637</t>
  </si>
  <si>
    <t>C0638</t>
  </si>
  <si>
    <t>09.11.2024</t>
  </si>
  <si>
    <t>C0639</t>
  </si>
  <si>
    <t>12.01.2025</t>
  </si>
  <si>
    <t>C0640</t>
  </si>
  <si>
    <t>C0641</t>
  </si>
  <si>
    <t>C0642</t>
  </si>
  <si>
    <t>C0643</t>
  </si>
  <si>
    <t>C0644</t>
  </si>
  <si>
    <t>C0645</t>
  </si>
  <si>
    <t>C0646</t>
  </si>
  <si>
    <t>C0647</t>
  </si>
  <si>
    <t>04.10.2024</t>
  </si>
  <si>
    <t>C0648</t>
  </si>
  <si>
    <t>C0649</t>
  </si>
  <si>
    <t>C0650</t>
  </si>
  <si>
    <t>C0651</t>
  </si>
  <si>
    <t>C0652</t>
  </si>
  <si>
    <t>C0653</t>
  </si>
  <si>
    <t>C0654</t>
  </si>
  <si>
    <t>2024-05-02</t>
  </si>
  <si>
    <t>C0655</t>
  </si>
  <si>
    <t>08.07.2024</t>
  </si>
  <si>
    <t>C0656</t>
  </si>
  <si>
    <t>C0657</t>
  </si>
  <si>
    <t>09.08.2024</t>
  </si>
  <si>
    <t>C0658</t>
  </si>
  <si>
    <t>C0659</t>
  </si>
  <si>
    <t>C0660</t>
  </si>
  <si>
    <t>21.06.2025</t>
  </si>
  <si>
    <t>C0661</t>
  </si>
  <si>
    <t>16.10.2024</t>
  </si>
  <si>
    <t>C0662</t>
  </si>
  <si>
    <t>2024-04-12</t>
  </si>
  <si>
    <t>C0663</t>
  </si>
  <si>
    <t>17.07.2024</t>
  </si>
  <si>
    <t>C0664</t>
  </si>
  <si>
    <t>C0665</t>
  </si>
  <si>
    <t>20.08.2024</t>
  </si>
  <si>
    <t>C0666</t>
  </si>
  <si>
    <t>04.01.2025</t>
  </si>
  <si>
    <t>C0667</t>
  </si>
  <si>
    <t>C0668</t>
  </si>
  <si>
    <t>C0669</t>
  </si>
  <si>
    <t>15.01.2024</t>
  </si>
  <si>
    <t>C0670</t>
  </si>
  <si>
    <t>C0671</t>
  </si>
  <si>
    <t>07.10.2024</t>
  </si>
  <si>
    <t>C0672</t>
  </si>
  <si>
    <t>C0673</t>
  </si>
  <si>
    <t>C0674</t>
  </si>
  <si>
    <t>26.10.2024</t>
  </si>
  <si>
    <t>C0675</t>
  </si>
  <si>
    <t>C0676</t>
  </si>
  <si>
    <t>17.05.2025</t>
  </si>
  <si>
    <t>C0677</t>
  </si>
  <si>
    <t>2024-04-15</t>
  </si>
  <si>
    <t>C0678</t>
  </si>
  <si>
    <t>13.01.2024</t>
  </si>
  <si>
    <t>C0679</t>
  </si>
  <si>
    <t>C0680</t>
  </si>
  <si>
    <t>25.04.2025</t>
  </si>
  <si>
    <t>C0681</t>
  </si>
  <si>
    <t>05.05.2025</t>
  </si>
  <si>
    <t>C0682</t>
  </si>
  <si>
    <t>27.03.2025</t>
  </si>
  <si>
    <t>C0683</t>
  </si>
  <si>
    <t>C0684</t>
  </si>
  <si>
    <t>07.07.2024</t>
  </si>
  <si>
    <t>C0685</t>
  </si>
  <si>
    <t>C0686</t>
  </si>
  <si>
    <t>C0687</t>
  </si>
  <si>
    <t>04.05.2025</t>
  </si>
  <si>
    <t>C0688</t>
  </si>
  <si>
    <t>26.04.2024</t>
  </si>
  <si>
    <t>C0689</t>
  </si>
  <si>
    <t>07.03.2024</t>
  </si>
  <si>
    <t>C0690</t>
  </si>
  <si>
    <t>C0691</t>
  </si>
  <si>
    <t>18.05.2025</t>
  </si>
  <si>
    <t>C0692</t>
  </si>
  <si>
    <t>C0693</t>
  </si>
  <si>
    <t>24.02.2024</t>
  </si>
  <si>
    <t>C0694</t>
  </si>
  <si>
    <t>04.06.2024</t>
  </si>
  <si>
    <t>C0695</t>
  </si>
  <si>
    <t>C0696</t>
  </si>
  <si>
    <t>C0697</t>
  </si>
  <si>
    <t>2024-03-28</t>
  </si>
  <si>
    <t>C0698</t>
  </si>
  <si>
    <t>C0699</t>
  </si>
  <si>
    <t>01.05.2024</t>
  </si>
  <si>
    <t>C0700</t>
  </si>
  <si>
    <t>02.03.2025</t>
  </si>
  <si>
    <t>C0701</t>
  </si>
  <si>
    <t>19.08.2024</t>
  </si>
  <si>
    <t>C0702</t>
  </si>
  <si>
    <t>C0703</t>
  </si>
  <si>
    <t>C0704</t>
  </si>
  <si>
    <t>C0705</t>
  </si>
  <si>
    <t>C0706</t>
  </si>
  <si>
    <t>31.10.2024</t>
  </si>
  <si>
    <t>C0707</t>
  </si>
  <si>
    <t>2025-03-15</t>
  </si>
  <si>
    <t>C0708</t>
  </si>
  <si>
    <t>C0709</t>
  </si>
  <si>
    <t>02.03.2024</t>
  </si>
  <si>
    <t>C0710</t>
  </si>
  <si>
    <t>11.04.2024</t>
  </si>
  <si>
    <t>C0711</t>
  </si>
  <si>
    <t>31.07.2024</t>
  </si>
  <si>
    <t>C0712</t>
  </si>
  <si>
    <t>C0713</t>
  </si>
  <si>
    <t>2024-09-27</t>
  </si>
  <si>
    <t>C0714</t>
  </si>
  <si>
    <t>C0715</t>
  </si>
  <si>
    <t>09.06.2024</t>
  </si>
  <si>
    <t>C0716</t>
  </si>
  <si>
    <t>C0717</t>
  </si>
  <si>
    <t>26.06.2024</t>
  </si>
  <si>
    <t>C0718</t>
  </si>
  <si>
    <t>17.03.2024</t>
  </si>
  <si>
    <t>C0719</t>
  </si>
  <si>
    <t>C0720</t>
  </si>
  <si>
    <t>C0721</t>
  </si>
  <si>
    <t>22.02.2025</t>
  </si>
  <si>
    <t>C0722</t>
  </si>
  <si>
    <t>C0723</t>
  </si>
  <si>
    <t>C0724</t>
  </si>
  <si>
    <t>25.10.2024</t>
  </si>
  <si>
    <t>C0725</t>
  </si>
  <si>
    <t>03.02.2024</t>
  </si>
  <si>
    <t>C0726</t>
  </si>
  <si>
    <t>25.08.2024</t>
  </si>
  <si>
    <t>C0727</t>
  </si>
  <si>
    <t>22.10.2024</t>
  </si>
  <si>
    <t>C0728</t>
  </si>
  <si>
    <t>2024-10-16</t>
  </si>
  <si>
    <t>C0729</t>
  </si>
  <si>
    <t>C0730</t>
  </si>
  <si>
    <t>C0731</t>
  </si>
  <si>
    <t>27.08.2024</t>
  </si>
  <si>
    <t>C0732</t>
  </si>
  <si>
    <t>C0733</t>
  </si>
  <si>
    <t>21.07.2024</t>
  </si>
  <si>
    <t>C0734</t>
  </si>
  <si>
    <t>C0735</t>
  </si>
  <si>
    <t>2024-04-27</t>
  </si>
  <si>
    <t>C0736</t>
  </si>
  <si>
    <t>2024-08-18</t>
  </si>
  <si>
    <t>C0737</t>
  </si>
  <si>
    <t>C0738</t>
  </si>
  <si>
    <t>29.09.2024</t>
  </si>
  <si>
    <t>C0739</t>
  </si>
  <si>
    <t>25.05.2024</t>
  </si>
  <si>
    <t>C0740</t>
  </si>
  <si>
    <t>C0741</t>
  </si>
  <si>
    <t>2024-03-02</t>
  </si>
  <si>
    <t>C0742</t>
  </si>
  <si>
    <t>C0743</t>
  </si>
  <si>
    <t>C0744</t>
  </si>
  <si>
    <t>C0745</t>
  </si>
  <si>
    <t>25.03.2025</t>
  </si>
  <si>
    <t>C0746</t>
  </si>
  <si>
    <t>C0747</t>
  </si>
  <si>
    <t>C0748</t>
  </si>
  <si>
    <t>C0749</t>
  </si>
  <si>
    <t>C0750</t>
  </si>
  <si>
    <t>C0751</t>
  </si>
  <si>
    <t>C0752</t>
  </si>
  <si>
    <t>20.05.2025</t>
  </si>
  <si>
    <t>C0753</t>
  </si>
  <si>
    <t>C0754</t>
  </si>
  <si>
    <t>C0755</t>
  </si>
  <si>
    <t>C0756</t>
  </si>
  <si>
    <t>18.03.2025</t>
  </si>
  <si>
    <t>C0757</t>
  </si>
  <si>
    <t>C0758</t>
  </si>
  <si>
    <t>13.09.2024</t>
  </si>
  <si>
    <t>C0759</t>
  </si>
  <si>
    <t>C0760</t>
  </si>
  <si>
    <t>C0761</t>
  </si>
  <si>
    <t>2024-08-22</t>
  </si>
  <si>
    <t>C0762</t>
  </si>
  <si>
    <t>C0763</t>
  </si>
  <si>
    <t>02.10.2024</t>
  </si>
  <si>
    <t>C0764</t>
  </si>
  <si>
    <t>C0765</t>
  </si>
  <si>
    <t>28.06.2024</t>
  </si>
  <si>
    <t>C0766</t>
  </si>
  <si>
    <t>C0767</t>
  </si>
  <si>
    <t>2025-06-15</t>
  </si>
  <si>
    <t>C0768</t>
  </si>
  <si>
    <t>2025-03-28</t>
  </si>
  <si>
    <t>C0769</t>
  </si>
  <si>
    <t>C0770</t>
  </si>
  <si>
    <t>04.07.2024</t>
  </si>
  <si>
    <t>C0771</t>
  </si>
  <si>
    <t>C0772</t>
  </si>
  <si>
    <t>C0773</t>
  </si>
  <si>
    <t>C0774</t>
  </si>
  <si>
    <t>C0775</t>
  </si>
  <si>
    <t>22.12.2024</t>
  </si>
  <si>
    <t>C0776</t>
  </si>
  <si>
    <t>C0777</t>
  </si>
  <si>
    <t>C0778</t>
  </si>
  <si>
    <t>24.11.2024</t>
  </si>
  <si>
    <t>C0779</t>
  </si>
  <si>
    <t>17.04.2024</t>
  </si>
  <si>
    <t>C0780</t>
  </si>
  <si>
    <t>13.06.2024</t>
  </si>
  <si>
    <t>C0781</t>
  </si>
  <si>
    <t>03.12.2024</t>
  </si>
  <si>
    <t>C0782</t>
  </si>
  <si>
    <t>C0783</t>
  </si>
  <si>
    <t>22.05.2025</t>
  </si>
  <si>
    <t>C0784</t>
  </si>
  <si>
    <t>C0785</t>
  </si>
  <si>
    <t>C0786</t>
  </si>
  <si>
    <t>07.02.2024</t>
  </si>
  <si>
    <t>C0787</t>
  </si>
  <si>
    <t>C0788</t>
  </si>
  <si>
    <t>31.03.2024</t>
  </si>
  <si>
    <t>C0789</t>
  </si>
  <si>
    <t>18.11.2024</t>
  </si>
  <si>
    <t>C0790</t>
  </si>
  <si>
    <t>C0791</t>
  </si>
  <si>
    <t>C0792</t>
  </si>
  <si>
    <t>C0793</t>
  </si>
  <si>
    <t>C0794</t>
  </si>
  <si>
    <t>C0795</t>
  </si>
  <si>
    <t>C0796</t>
  </si>
  <si>
    <t>C0797</t>
  </si>
  <si>
    <t>27.02.2025</t>
  </si>
  <si>
    <t>C0798</t>
  </si>
  <si>
    <t>2024-02-25</t>
  </si>
  <si>
    <t>C0799</t>
  </si>
  <si>
    <t>11.07.2024</t>
  </si>
  <si>
    <t>C0800</t>
  </si>
  <si>
    <t>procurement_cost_(€)</t>
  </si>
  <si>
    <t>NETTO_monthly_revenue(€)</t>
  </si>
  <si>
    <t>ptofit_(€)</t>
  </si>
  <si>
    <t>profit_(ct/kWh)</t>
  </si>
  <si>
    <t>contract_start_month</t>
  </si>
  <si>
    <t>net_revenue</t>
  </si>
  <si>
    <t>negative_consumption</t>
  </si>
  <si>
    <t>duplicate</t>
  </si>
  <si>
    <t>zero_consumption</t>
  </si>
  <si>
    <t>net_revenue_(€)</t>
  </si>
  <si>
    <t>Profit(€)</t>
  </si>
  <si>
    <t>Profit(ct/kWh)</t>
  </si>
  <si>
    <t>Row Labels</t>
  </si>
  <si>
    <t>Grand Total</t>
  </si>
  <si>
    <t>Sum of Profit(€)</t>
  </si>
  <si>
    <t>KPI</t>
  </si>
  <si>
    <t>Value</t>
  </si>
  <si>
    <t>Total Customers</t>
  </si>
  <si>
    <t>Total Contracts</t>
  </si>
  <si>
    <t>Avg Monthly Consumption(kWh)</t>
  </si>
  <si>
    <t>Avg Monthly Bill(€)</t>
  </si>
  <si>
    <t>Avg Procurement Cost(cents/kWh)</t>
  </si>
  <si>
    <t>Avg Profit(€)</t>
  </si>
  <si>
    <t>Highest profit(€)</t>
  </si>
  <si>
    <t>Lowest Profit(€)</t>
  </si>
  <si>
    <t>Median profit(€)</t>
  </si>
  <si>
    <t>Sum of ptofit_(€)</t>
  </si>
  <si>
    <t>Average of ptofit_(€)</t>
  </si>
  <si>
    <t>Average Profit by Contract Duration</t>
  </si>
  <si>
    <t>Average Profit by Aquisition Channel</t>
  </si>
  <si>
    <t>Average Profit by Consumption Tier</t>
  </si>
  <si>
    <t>April</t>
  </si>
  <si>
    <t>August</t>
  </si>
  <si>
    <t>December</t>
  </si>
  <si>
    <t>February</t>
  </si>
  <si>
    <t>January</t>
  </si>
  <si>
    <t>July</t>
  </si>
  <si>
    <t>June</t>
  </si>
  <si>
    <t>March</t>
  </si>
  <si>
    <t>May</t>
  </si>
  <si>
    <t>November</t>
  </si>
  <si>
    <t>October</t>
  </si>
  <si>
    <t>September</t>
  </si>
  <si>
    <t>Average of Profit(€)</t>
  </si>
  <si>
    <t>Contract Start Month</t>
  </si>
  <si>
    <t>Sum of Profit(ct/kWh)</t>
  </si>
  <si>
    <t>Acquisition Channel</t>
  </si>
  <si>
    <t>Contract Duration</t>
  </si>
  <si>
    <t>Consumption Tier</t>
  </si>
  <si>
    <t>Contract Duration in Months</t>
  </si>
  <si>
    <t>Sum of monthly_consumption_kwh</t>
  </si>
  <si>
    <t>Observations</t>
  </si>
  <si>
    <t>3. A few customers have low or negative profitability, suggesting opportunities to review pricing strategies, or data quality.</t>
  </si>
  <si>
    <t>Customer_Id</t>
  </si>
  <si>
    <t>1. Higher consumption customers generate greater total profit because larger electricity usage increases revenue although higher procurement costs.</t>
  </si>
  <si>
    <t>2. Profit per kWh provides a fair comparison across customers since it measures the profit for each unit of electricity sold.</t>
  </si>
  <si>
    <t>Customer having 24- months(fix24) contract are generating higher profit than customers with 12-months(fix12) contract.</t>
  </si>
  <si>
    <t>Customer aquired from Check24 channel are more profitable whie customers aquird from other channel has the lowest average profit.</t>
  </si>
  <si>
    <t>Higher consumption customer generates higher average monthly profit, making them valuable for retention.</t>
  </si>
  <si>
    <t>Further investigation of these extreme negative-profit contracts is recommended before drawing pricing conclusions.</t>
  </si>
  <si>
    <t>Observation</t>
  </si>
  <si>
    <t>Business Hypothesis</t>
  </si>
  <si>
    <t>1. Seasonal marketing campaigns or promotional discounts may have reduced profitability during summer months.</t>
  </si>
  <si>
    <t>2. Electricity procurement costs may have been lower during certain months, resulting in higher margins.</t>
  </si>
  <si>
    <r>
      <t xml:space="preserve">The Dataset contain total </t>
    </r>
    <r>
      <rPr>
        <b/>
        <sz val="12"/>
        <color theme="1"/>
        <rFont val="Calibri"/>
        <family val="2"/>
        <scheme val="minor"/>
      </rPr>
      <t>800 contracts</t>
    </r>
    <r>
      <rPr>
        <sz val="12"/>
        <color theme="1"/>
        <rFont val="Calibri"/>
        <family val="2"/>
        <scheme val="minor"/>
      </rPr>
      <t>, havin</t>
    </r>
    <r>
      <rPr>
        <b/>
        <sz val="12"/>
        <color theme="1"/>
        <rFont val="Calibri"/>
        <family val="2"/>
        <scheme val="minor"/>
      </rPr>
      <t>g 797 unique</t>
    </r>
    <r>
      <rPr>
        <sz val="12"/>
        <color theme="1"/>
        <rFont val="Calibri"/>
        <family val="2"/>
        <scheme val="minor"/>
      </rPr>
      <t xml:space="preserve"> customer due to three duplicates customer ID.</t>
    </r>
  </si>
  <si>
    <r>
      <t xml:space="preserve">Average monthly consumption is </t>
    </r>
    <r>
      <rPr>
        <b/>
        <sz val="12"/>
        <color theme="1"/>
        <rFont val="Calibri"/>
        <family val="2"/>
        <scheme val="minor"/>
      </rPr>
      <t>379.08 kWh</t>
    </r>
    <r>
      <rPr>
        <sz val="12"/>
        <color theme="1"/>
        <rFont val="Calibri"/>
        <family val="2"/>
        <scheme val="minor"/>
      </rPr>
      <t xml:space="preserve">, with an average monthly bill of </t>
    </r>
    <r>
      <rPr>
        <b/>
        <sz val="12"/>
        <color theme="1"/>
        <rFont val="Calibri"/>
        <family val="2"/>
        <scheme val="minor"/>
      </rPr>
      <t>€98.89</t>
    </r>
    <r>
      <rPr>
        <sz val="12"/>
        <color theme="1"/>
        <rFont val="Calibri"/>
        <family val="2"/>
        <scheme val="minor"/>
      </rPr>
      <t>.</t>
    </r>
  </si>
  <si>
    <r>
      <t xml:space="preserve">Although the </t>
    </r>
    <r>
      <rPr>
        <b/>
        <sz val="12"/>
        <color theme="1"/>
        <rFont val="Calibri"/>
        <family val="2"/>
        <scheme val="minor"/>
      </rPr>
      <t>average profit is -€8.72</t>
    </r>
    <r>
      <rPr>
        <sz val="12"/>
        <color theme="1"/>
        <rFont val="Calibri"/>
        <family val="2"/>
        <scheme val="minor"/>
      </rPr>
      <t xml:space="preserve">, the </t>
    </r>
    <r>
      <rPr>
        <b/>
        <sz val="12"/>
        <color theme="1"/>
        <rFont val="Calibri"/>
        <family val="2"/>
        <scheme val="minor"/>
      </rPr>
      <t>median profit is €18.22</t>
    </r>
    <r>
      <rPr>
        <sz val="12"/>
        <color theme="1"/>
        <rFont val="Calibri"/>
        <family val="2"/>
        <scheme val="minor"/>
      </rPr>
      <t xml:space="preserve">, suggesting that </t>
    </r>
    <r>
      <rPr>
        <b/>
        <sz val="12"/>
        <color theme="1"/>
        <rFont val="Calibri"/>
        <family val="2"/>
        <scheme val="minor"/>
      </rPr>
      <t>most customers are profitable</t>
    </r>
    <r>
      <rPr>
        <sz val="12"/>
        <color theme="1"/>
        <rFont val="Calibri"/>
        <family val="2"/>
        <scheme val="minor"/>
      </rPr>
      <t>.</t>
    </r>
  </si>
  <si>
    <r>
      <t>The extremely low profit (</t>
    </r>
    <r>
      <rPr>
        <b/>
        <sz val="12"/>
        <color theme="1"/>
        <rFont val="Calibri"/>
        <family val="2"/>
        <scheme val="minor"/>
      </rPr>
      <t>-€13,668.20</t>
    </r>
    <r>
      <rPr>
        <sz val="12"/>
        <color theme="1"/>
        <rFont val="Calibri"/>
        <family val="2"/>
        <scheme val="minor"/>
      </rPr>
      <t xml:space="preserve">) appears to be an </t>
    </r>
    <r>
      <rPr>
        <b/>
        <sz val="12"/>
        <color theme="1"/>
        <rFont val="Calibri"/>
        <family val="2"/>
        <scheme val="minor"/>
      </rPr>
      <t>outlier</t>
    </r>
    <r>
      <rPr>
        <sz val="12"/>
        <color theme="1"/>
        <rFont val="Calibri"/>
        <family val="2"/>
        <scheme val="minor"/>
      </rPr>
      <t xml:space="preserve"> that significantly reduces the overall average.</t>
    </r>
  </si>
  <si>
    <t>Hypothesis</t>
  </si>
  <si>
    <t>Hypthesis</t>
  </si>
  <si>
    <t>Customers with longer contracts remain with the company for a longer period, providing more stable revenue and reducing the costs associated with frequent customer acquisition.</t>
  </si>
  <si>
    <t>Customers with higher electricity usage generate more revenue each month. Although procurement costs also increase, the higher revenue may result in greater overall profit.</t>
  </si>
  <si>
    <t>Check24 may attract more profitable customers, while Sales Representative and Website channels may involve higher acquisition costs or discounts, leading to lower average profitability.</t>
  </si>
  <si>
    <t>Average profitability is relatively stable across months, ranging between approximately €22 and €25. However, contracts starting in June show a significantly lower average profit of -€376.15, making June a clear outlier.</t>
  </si>
  <si>
    <t>You are a Pricing Analyst. You have been tasked with analysing a cohort of ~800 household customers to understand how profitable this group is, identify patterns, and surface any relevant observations for the pricing team.</t>
  </si>
  <si>
    <t>The cost Company pays to source the electricity delivered to the customer</t>
  </si>
  <si>
    <t xml:space="preserve">The total amount invoiced to the customer, including VAT (Mehrwertsteuer). Company applies a VAT rate of 19% </t>
  </si>
  <si>
    <t>The difference between what Company earns from the customer and what Company pays to procure the electricity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</si>
</sst>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F800]dddd\,\ mmmm\ dd\,\ yyyy"/>
  </numFmts>
  <fonts count="18">
    <font>
      <sz val="11"/>
      <color theme="1"/>
      <name val="Calibri"/>
      <family val="2"/>
      <scheme val="minor"/>
    </font>
    <font>
      <sz val="10"/>
      <color rgb="FF000000"/>
      <name val="Arial"/>
      <family val="2"/>
    </font>
    <font>
      <b/>
      <sz val="10"/>
      <color rgb="FF000000"/>
      <name val="Arial"/>
      <family val="2"/>
    </font>
    <font>
      <sz val="10"/>
      <name val="Arial"/>
      <family val="2"/>
    </font>
    <font>
      <b/>
      <sz val="16"/>
      <name val="Arial"/>
      <family val="2"/>
    </font>
    <font>
      <sz val="11"/>
      <name val="Calibri"/>
      <family val="2"/>
      <scheme val="minor"/>
    </font>
    <font>
      <sz val="10"/>
      <color rgb="FF000000"/>
      <name val="Arial"/>
      <family val="2"/>
    </font>
    <font>
      <b/>
      <sz val="10"/>
      <name val="Arial"/>
      <family val="2"/>
    </font>
    <font>
      <b/>
      <sz val="10"/>
      <color rgb="FF000000"/>
      <name val="Arial"/>
      <family val="2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theme="1"/>
      <name val="Arial Unicode MS"/>
    </font>
    <font>
      <b/>
      <sz val="12"/>
      <color rgb="FF595959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4"/>
      <color theme="0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theme="1"/>
      <name val="Arial Unicode MS"/>
    </font>
    <font>
      <b/>
      <sz val="12"/>
      <color theme="0" tint="-0.499984740745262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52B788"/>
      </patternFill>
    </fill>
    <fill>
      <patternFill patternType="solid">
        <fgColor rgb="FF52B788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4" tint="0.59999389629810485"/>
        <bgColor indexed="64"/>
      </patternFill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62">
    <xf numFmtId="0" fontId="0" fillId="0" borderId="0" xfId="0"/>
    <xf numFmtId="0" fontId="1" fillId="0" borderId="0" xfId="0" applyFont="1" applyAlignment="1">
      <alignment vertical="top" wrapText="1"/>
    </xf>
    <xf numFmtId="0" fontId="2" fillId="0" borderId="0" xfId="0" applyFont="1" applyAlignment="1">
      <alignment vertical="top" wrapText="1"/>
    </xf>
    <xf numFmtId="0" fontId="6" fillId="0" borderId="0" xfId="0" applyFont="1" applyAlignment="1">
      <alignment vertical="top" wrapText="1"/>
    </xf>
    <xf numFmtId="0" fontId="7" fillId="0" borderId="0" xfId="0" applyFont="1" applyAlignment="1">
      <alignment horizontal="center" vertical="top"/>
    </xf>
    <xf numFmtId="0" fontId="3" fillId="0" borderId="0" xfId="0" applyFont="1" applyAlignment="1">
      <alignment vertical="center"/>
    </xf>
    <xf numFmtId="0" fontId="8" fillId="0" borderId="0" xfId="0" applyFont="1" applyAlignment="1">
      <alignment vertical="top" wrapText="1"/>
    </xf>
    <xf numFmtId="0" fontId="6" fillId="0" borderId="0" xfId="0" applyFont="1" applyAlignment="1">
      <alignment vertical="top"/>
    </xf>
    <xf numFmtId="0" fontId="3" fillId="0" borderId="1" xfId="0" applyFont="1" applyBorder="1" applyAlignment="1">
      <alignment vertical="center"/>
    </xf>
    <xf numFmtId="0" fontId="3" fillId="0" borderId="2" xfId="0" applyFont="1" applyBorder="1" applyAlignment="1">
      <alignment vertical="center"/>
    </xf>
    <xf numFmtId="0" fontId="3" fillId="0" borderId="3" xfId="0" applyFont="1" applyBorder="1" applyAlignment="1">
      <alignment vertical="center"/>
    </xf>
    <xf numFmtId="0" fontId="7" fillId="2" borderId="4" xfId="0" applyFont="1" applyFill="1" applyBorder="1" applyAlignment="1">
      <alignment vertical="center"/>
    </xf>
    <xf numFmtId="0" fontId="7" fillId="2" borderId="5" xfId="0" applyFont="1" applyFill="1" applyBorder="1" applyAlignment="1">
      <alignment vertical="center"/>
    </xf>
    <xf numFmtId="0" fontId="7" fillId="2" borderId="6" xfId="0" applyFont="1" applyFill="1" applyBorder="1" applyAlignment="1">
      <alignment vertical="center"/>
    </xf>
    <xf numFmtId="0" fontId="3" fillId="0" borderId="7" xfId="0" applyFont="1" applyBorder="1" applyAlignment="1">
      <alignment vertical="center"/>
    </xf>
    <xf numFmtId="0" fontId="3" fillId="0" borderId="8" xfId="0" applyFont="1" applyBorder="1" applyAlignment="1">
      <alignment vertical="center"/>
    </xf>
    <xf numFmtId="0" fontId="3" fillId="0" borderId="9" xfId="0" applyFont="1" applyBorder="1" applyAlignment="1">
      <alignment vertical="center"/>
    </xf>
    <xf numFmtId="0" fontId="7" fillId="3" borderId="5" xfId="0" applyFont="1" applyFill="1" applyBorder="1" applyAlignment="1">
      <alignment vertical="center"/>
    </xf>
    <xf numFmtId="0" fontId="11" fillId="0" borderId="0" xfId="0" applyFont="1" applyAlignment="1">
      <alignment vertical="center"/>
    </xf>
    <xf numFmtId="2" fontId="7" fillId="3" borderId="5" xfId="0" applyNumberFormat="1" applyFont="1" applyFill="1" applyBorder="1" applyAlignment="1">
      <alignment vertical="center"/>
    </xf>
    <xf numFmtId="2" fontId="0" fillId="0" borderId="0" xfId="0" applyNumberFormat="1"/>
    <xf numFmtId="2" fontId="3" fillId="0" borderId="1" xfId="0" applyNumberFormat="1" applyFont="1" applyBorder="1" applyAlignment="1">
      <alignment vertical="center"/>
    </xf>
    <xf numFmtId="2" fontId="3" fillId="0" borderId="8" xfId="0" applyNumberFormat="1" applyFont="1" applyBorder="1" applyAlignment="1">
      <alignment vertical="center"/>
    </xf>
    <xf numFmtId="2" fontId="3" fillId="0" borderId="5" xfId="0" applyNumberFormat="1" applyFont="1" applyBorder="1" applyAlignment="1">
      <alignment vertical="center"/>
    </xf>
    <xf numFmtId="2" fontId="11" fillId="0" borderId="0" xfId="0" applyNumberFormat="1" applyFont="1" applyAlignment="1">
      <alignment vertical="center"/>
    </xf>
    <xf numFmtId="2" fontId="3" fillId="0" borderId="0" xfId="0" applyNumberFormat="1" applyFont="1" applyAlignment="1">
      <alignment vertical="center"/>
    </xf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  <xf numFmtId="0" fontId="10" fillId="0" borderId="0" xfId="0" applyFont="1"/>
    <xf numFmtId="0" fontId="3" fillId="0" borderId="1" xfId="0" applyNumberFormat="1" applyFont="1" applyBorder="1" applyAlignment="1">
      <alignment vertical="center"/>
    </xf>
    <xf numFmtId="0" fontId="3" fillId="0" borderId="8" xfId="0" applyNumberFormat="1" applyFont="1" applyBorder="1" applyAlignment="1">
      <alignment vertical="center"/>
    </xf>
    <xf numFmtId="49" fontId="7" fillId="3" borderId="5" xfId="0" applyNumberFormat="1" applyFont="1" applyFill="1" applyBorder="1" applyAlignment="1">
      <alignment vertical="center"/>
    </xf>
    <xf numFmtId="49" fontId="0" fillId="0" borderId="0" xfId="0" applyNumberFormat="1"/>
    <xf numFmtId="164" fontId="3" fillId="0" borderId="1" xfId="0" applyNumberFormat="1" applyFont="1" applyBorder="1" applyAlignment="1">
      <alignment vertical="center"/>
    </xf>
    <xf numFmtId="164" fontId="3" fillId="0" borderId="8" xfId="0" applyNumberFormat="1" applyFont="1" applyBorder="1" applyAlignment="1">
      <alignment vertical="center"/>
    </xf>
    <xf numFmtId="49" fontId="7" fillId="2" borderId="5" xfId="0" applyNumberFormat="1" applyFont="1" applyFill="1" applyBorder="1" applyAlignment="1">
      <alignment vertical="center"/>
    </xf>
    <xf numFmtId="14" fontId="3" fillId="0" borderId="1" xfId="0" applyNumberFormat="1" applyFont="1" applyBorder="1" applyAlignment="1">
      <alignment vertical="center"/>
    </xf>
    <xf numFmtId="0" fontId="0" fillId="0" borderId="1" xfId="0" applyBorder="1" applyAlignment="1">
      <alignment horizontal="left"/>
    </xf>
    <xf numFmtId="2" fontId="0" fillId="0" borderId="1" xfId="0" applyNumberFormat="1" applyBorder="1"/>
    <xf numFmtId="0" fontId="0" fillId="0" borderId="1" xfId="0" pivotButton="1" applyBorder="1"/>
    <xf numFmtId="0" fontId="0" fillId="0" borderId="1" xfId="0" applyBorder="1"/>
    <xf numFmtId="0" fontId="0" fillId="0" borderId="0" xfId="0" applyAlignment="1">
      <alignment wrapText="1"/>
    </xf>
    <xf numFmtId="0" fontId="10" fillId="0" borderId="0" xfId="0" applyFont="1" applyAlignment="1">
      <alignment vertical="center" wrapText="1"/>
    </xf>
    <xf numFmtId="0" fontId="9" fillId="4" borderId="0" xfId="0" applyFont="1" applyFill="1" applyAlignment="1">
      <alignment horizontal="center" vertical="center" wrapText="1"/>
    </xf>
    <xf numFmtId="0" fontId="14" fillId="4" borderId="0" xfId="0" applyFont="1" applyFill="1" applyAlignment="1">
      <alignment wrapText="1"/>
    </xf>
    <xf numFmtId="0" fontId="9" fillId="4" borderId="0" xfId="0" applyFont="1" applyFill="1"/>
    <xf numFmtId="0" fontId="15" fillId="0" borderId="0" xfId="0" applyFont="1" applyAlignment="1">
      <alignment wrapText="1"/>
    </xf>
    <xf numFmtId="0" fontId="0" fillId="0" borderId="0" xfId="0" applyFont="1" applyAlignment="1">
      <alignment wrapText="1"/>
    </xf>
    <xf numFmtId="0" fontId="15" fillId="0" borderId="1" xfId="0" applyFont="1" applyBorder="1"/>
    <xf numFmtId="0" fontId="16" fillId="0" borderId="1" xfId="0" applyFont="1" applyBorder="1" applyAlignment="1">
      <alignment vertical="center"/>
    </xf>
    <xf numFmtId="2" fontId="16" fillId="0" borderId="1" xfId="0" applyNumberFormat="1" applyFont="1" applyBorder="1" applyAlignment="1">
      <alignment vertical="center"/>
    </xf>
    <xf numFmtId="0" fontId="13" fillId="5" borderId="1" xfId="0" applyFont="1" applyFill="1" applyBorder="1"/>
    <xf numFmtId="0" fontId="7" fillId="2" borderId="0" xfId="0" applyFont="1" applyFill="1" applyAlignment="1">
      <alignment horizontal="center" vertical="center"/>
    </xf>
    <xf numFmtId="0" fontId="5" fillId="0" borderId="0" xfId="0" applyFont="1" applyAlignment="1"/>
    <xf numFmtId="0" fontId="4" fillId="0" borderId="0" xfId="0" applyFont="1" applyAlignment="1">
      <alignment horizontal="center" vertical="center"/>
    </xf>
    <xf numFmtId="0" fontId="6" fillId="0" borderId="0" xfId="0" applyFont="1" applyAlignment="1">
      <alignment horizontal="center" vertical="top" wrapText="1"/>
    </xf>
    <xf numFmtId="0" fontId="12" fillId="0" borderId="0" xfId="0" applyFont="1" applyAlignment="1">
      <alignment horizontal="center" vertical="center" readingOrder="1"/>
    </xf>
    <xf numFmtId="0" fontId="15" fillId="0" borderId="0" xfId="0" applyFont="1" applyAlignment="1">
      <alignment horizontal="left" wrapText="1"/>
    </xf>
    <xf numFmtId="0" fontId="17" fillId="0" borderId="10" xfId="0" applyFont="1" applyBorder="1" applyAlignment="1">
      <alignment horizontal="center"/>
    </xf>
    <xf numFmtId="0" fontId="17" fillId="0" borderId="0" xfId="0" applyFont="1" applyAlignment="1">
      <alignment horizontal="center"/>
    </xf>
    <xf numFmtId="0" fontId="1" fillId="0" borderId="0" xfId="0" applyFont="1" applyAlignment="1">
      <alignment horizontal="center" vertical="top" wrapText="1"/>
    </xf>
  </cellXfs>
  <cellStyles count="1">
    <cellStyle name="Normal" xfId="0" builtinId="0"/>
  </cellStyles>
  <dxfs count="76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0" formatCode="General"/>
      <alignment horizontal="general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0" formatCode="General"/>
      <alignment horizontal="general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2" formatCode="0.00"/>
      <alignment horizontal="general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2" formatCode="0.00"/>
      <alignment horizontal="general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2" formatCode="0.00"/>
      <alignment horizontal="general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alignment horizontal="general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alignment horizontal="general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alignment horizontal="general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4" formatCode="[$-F800]dddd\,\ mmmm\ dd\,\ yyyy"/>
      <alignment horizontal="general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alignment horizontal="general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alignment horizontal="general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alignment horizontal="general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alignment horizontal="general" vertical="center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alignment horizontal="general" vertical="center" textRotation="0" wrapText="0" indent="0" justifyLastLine="0" shrinkToFit="0" readingOrder="0"/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rgb="FF52B788"/>
        </patternFill>
      </fill>
      <alignment horizontal="general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2" formatCode="0.00"/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2" formatCode="0.00"/>
    </dxf>
    <dxf>
      <numFmt numFmtId="2" formatCode="0.00"/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2" formatCode="0.00"/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0" formatCode="General"/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0" formatCode="General"/>
      <alignment horizontal="general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0" formatCode="General"/>
      <alignment horizontal="general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alignment horizontal="general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alignment horizontal="general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alignment horizontal="general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alignment horizontal="general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alignment horizontal="general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alignment horizontal="general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alignment horizontal="general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alignment horizontal="general" vertical="center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alignment horizontal="general" vertical="center" textRotation="0" wrapText="0" indent="0" justifyLastLine="0" shrinkToFit="0" readingOrder="0"/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rgb="FF52B788"/>
        </patternFill>
      </fill>
      <alignment horizontal="general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numFmt numFmtId="2" formatCode="0.00"/>
    </dxf>
    <dxf>
      <numFmt numFmtId="2" formatCode="0.0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2" formatCode="0.00"/>
      <alignment horizontal="general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2" formatCode="0.00"/>
      <alignment horizontal="general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2" formatCode="0.00"/>
      <alignment horizontal="general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2" formatCode="0.00"/>
      <alignment horizontal="general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2" formatCode="0.00"/>
      <alignment horizontal="general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2" formatCode="0.00"/>
      <alignment horizontal="general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alignment horizontal="general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alignment horizontal="general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alignment horizontal="general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alignment horizontal="general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alignment horizontal="general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alignment horizontal="general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alignment horizontal="general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alignment horizontal="general" vertical="center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alignment horizontal="general" vertical="center" textRotation="0" wrapText="0" indent="0" justifyLastLine="0" shrinkToFit="0" readingOrder="0"/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rgb="FF52B788"/>
        </patternFill>
      </fill>
      <alignment horizontal="general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pivotCacheDefinition" Target="pivotCache/pivotCacheDefinition3.xml"/><Relationship Id="rId18" Type="http://schemas.openxmlformats.org/officeDocument/2006/relationships/powerPivotData" Target="model/item.data"/><Relationship Id="rId26" Type="http://schemas.openxmlformats.org/officeDocument/2006/relationships/customXml" Target="../customXml/item7.xml"/><Relationship Id="rId3" Type="http://schemas.openxmlformats.org/officeDocument/2006/relationships/worksheet" Target="worksheets/sheet3.xml"/><Relationship Id="rId21" Type="http://schemas.openxmlformats.org/officeDocument/2006/relationships/customXml" Target="../customXml/item2.xml"/><Relationship Id="rId7" Type="http://schemas.openxmlformats.org/officeDocument/2006/relationships/worksheet" Target="worksheets/sheet7.xml"/><Relationship Id="rId12" Type="http://schemas.openxmlformats.org/officeDocument/2006/relationships/pivotCacheDefinition" Target="pivotCache/pivotCacheDefinition2.xml"/><Relationship Id="rId17" Type="http://schemas.openxmlformats.org/officeDocument/2006/relationships/sharedStrings" Target="sharedStrings.xml"/><Relationship Id="rId25" Type="http://schemas.openxmlformats.org/officeDocument/2006/relationships/customXml" Target="../customXml/item6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20" Type="http://schemas.openxmlformats.org/officeDocument/2006/relationships/customXml" Target="../customXml/item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pivotCacheDefinition" Target="pivotCache/pivotCacheDefinition1.xml"/><Relationship Id="rId24" Type="http://schemas.openxmlformats.org/officeDocument/2006/relationships/customXml" Target="../customXml/item5.xml"/><Relationship Id="rId5" Type="http://schemas.openxmlformats.org/officeDocument/2006/relationships/worksheet" Target="worksheets/sheet5.xml"/><Relationship Id="rId15" Type="http://schemas.openxmlformats.org/officeDocument/2006/relationships/connections" Target="connections.xml"/><Relationship Id="rId23" Type="http://schemas.openxmlformats.org/officeDocument/2006/relationships/customXml" Target="../customXml/item4.xml"/><Relationship Id="rId10" Type="http://schemas.openxmlformats.org/officeDocument/2006/relationships/worksheet" Target="worksheets/sheet10.xml"/><Relationship Id="rId19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Relationship Id="rId22" Type="http://schemas.openxmlformats.org/officeDocument/2006/relationships/customXml" Target="../customXml/item3.xml"/><Relationship Id="rId27" Type="http://schemas.openxmlformats.org/officeDocument/2006/relationships/customXml" Target="../customXml/item8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[Energy Pricing Analysis.xlsx]Q3 Pivot_1!PivotTable2</c:name>
    <c:fmtId val="1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'Q3 Pivot_1'!$B$3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'Q3 Pivot_1'!$A$4:$A$6</c:f>
              <c:strCache>
                <c:ptCount val="2"/>
                <c:pt idx="0">
                  <c:v>12</c:v>
                </c:pt>
                <c:pt idx="1">
                  <c:v>24</c:v>
                </c:pt>
              </c:strCache>
            </c:strRef>
          </c:cat>
          <c:val>
            <c:numRef>
              <c:f>'Q3 Pivot_1'!$B$4:$B$6</c:f>
              <c:numCache>
                <c:formatCode>General</c:formatCode>
                <c:ptCount val="2"/>
                <c:pt idx="0">
                  <c:v>-15878.975686554624</c:v>
                </c:pt>
                <c:pt idx="1">
                  <c:v>8906.7178000000004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C32-4D32-95C9-07DDB293B1E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134932432"/>
        <c:axId val="1900734384"/>
      </c:barChart>
      <c:catAx>
        <c:axId val="213493243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00734384"/>
        <c:crosses val="autoZero"/>
        <c:auto val="1"/>
        <c:lblAlgn val="ctr"/>
        <c:lblOffset val="100"/>
        <c:noMultiLvlLbl val="0"/>
      </c:catAx>
      <c:valAx>
        <c:axId val="190073438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3493243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[Energy Pricing Analysis.xlsx]Q3 Pivot_2!PivotTable3</c:name>
    <c:fmtId val="0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bestFi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</c:pivotFmts>
    <c:plotArea>
      <c:layout/>
      <c:pieChart>
        <c:varyColors val="1"/>
        <c:ser>
          <c:idx val="0"/>
          <c:order val="0"/>
          <c:tx>
            <c:strRef>
              <c:f>'Q3 Pivot_2'!$B$3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8979-4B0E-8598-A22157DA00B2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8979-4B0E-8598-A22157DA00B2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8979-4B0E-8598-A22157DA00B2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bestFit"/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'Q3 Pivot_2'!$A$4:$A$7</c:f>
              <c:strCache>
                <c:ptCount val="3"/>
                <c:pt idx="0">
                  <c:v>Check24</c:v>
                </c:pt>
                <c:pt idx="1">
                  <c:v>Sales Representative</c:v>
                </c:pt>
                <c:pt idx="2">
                  <c:v>Website</c:v>
                </c:pt>
              </c:strCache>
            </c:strRef>
          </c:cat>
          <c:val>
            <c:numRef>
              <c:f>'Q3 Pivot_2'!$B$4:$B$7</c:f>
              <c:numCache>
                <c:formatCode>0.00</c:formatCode>
                <c:ptCount val="3"/>
                <c:pt idx="0">
                  <c:v>22.652564293250926</c:v>
                </c:pt>
                <c:pt idx="1">
                  <c:v>-61.376467248031268</c:v>
                </c:pt>
                <c:pt idx="2">
                  <c:v>-37.520221891833671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02D-434A-BDA9-81432B89BF12}"/>
            </c:ext>
          </c:extLst>
        </c:ser>
        <c:dLbls>
          <c:dLblPos val="bestFit"/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[Energy Pricing Analysis.xlsx]Q3_Summary!PivotTable5</c:name>
    <c:fmtId val="4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Average Profit</a:t>
            </a:r>
            <a:r>
              <a:rPr lang="en-US" baseline="0"/>
              <a:t> by Contract Duration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Q3_Summary!$B$14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Q3_Summary!$A$15:$A$16</c:f>
              <c:strCache>
                <c:ptCount val="2"/>
                <c:pt idx="0">
                  <c:v>12</c:v>
                </c:pt>
                <c:pt idx="1">
                  <c:v>24</c:v>
                </c:pt>
              </c:strCache>
            </c:strRef>
          </c:cat>
          <c:val>
            <c:numRef>
              <c:f>Q3_Summary!$B$15:$B$16</c:f>
              <c:numCache>
                <c:formatCode>0.00</c:formatCode>
                <c:ptCount val="2"/>
                <c:pt idx="0">
                  <c:v>-36.006747588559236</c:v>
                </c:pt>
                <c:pt idx="1">
                  <c:v>24.809798885793874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1DB-4786-82F1-5657C435B9C0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81213104"/>
        <c:axId val="81213584"/>
      </c:barChart>
      <c:catAx>
        <c:axId val="8121310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1213584"/>
        <c:crosses val="autoZero"/>
        <c:auto val="1"/>
        <c:lblAlgn val="ctr"/>
        <c:lblOffset val="100"/>
        <c:noMultiLvlLbl val="0"/>
      </c:catAx>
      <c:valAx>
        <c:axId val="8121358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121310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[Energy Pricing Analysis.xlsx]Q3_Summary!PivotTable7</c:name>
    <c:fmtId val="4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Average Profit by Consumption Tier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Q3_Summary!$B$48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Q3_Summary!$A$49:$A$51</c:f>
              <c:strCache>
                <c:ptCount val="3"/>
                <c:pt idx="0">
                  <c:v>high</c:v>
                </c:pt>
                <c:pt idx="1">
                  <c:v>low</c:v>
                </c:pt>
                <c:pt idx="2">
                  <c:v>mid</c:v>
                </c:pt>
              </c:strCache>
            </c:strRef>
          </c:cat>
          <c:val>
            <c:numRef>
              <c:f>Q3_Summary!$B$49:$B$51</c:f>
              <c:numCache>
                <c:formatCode>0.00</c:formatCode>
                <c:ptCount val="3"/>
                <c:pt idx="0">
                  <c:v>48.082203742925742</c:v>
                </c:pt>
                <c:pt idx="1">
                  <c:v>-39.92077080654326</c:v>
                </c:pt>
                <c:pt idx="2">
                  <c:v>-16.032920196685488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E94-49CB-A00C-6CB364217F07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92052400"/>
        <c:axId val="92063440"/>
      </c:barChart>
      <c:catAx>
        <c:axId val="9205240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2063440"/>
        <c:crosses val="autoZero"/>
        <c:auto val="1"/>
        <c:lblAlgn val="ctr"/>
        <c:lblOffset val="100"/>
        <c:noMultiLvlLbl val="0"/>
      </c:catAx>
      <c:valAx>
        <c:axId val="920634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205240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[Energy Pricing Analysis.xlsx]Q3_Summary!PivotTable6</c:name>
    <c:fmtId val="6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Average Profit by Aquisition Channel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Q3_Summary!$B$31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Q3_Summary!$A$32:$A$34</c:f>
              <c:strCache>
                <c:ptCount val="3"/>
                <c:pt idx="0">
                  <c:v>Check24</c:v>
                </c:pt>
                <c:pt idx="1">
                  <c:v>Sales Representative</c:v>
                </c:pt>
                <c:pt idx="2">
                  <c:v>Website</c:v>
                </c:pt>
              </c:strCache>
            </c:strRef>
          </c:cat>
          <c:val>
            <c:numRef>
              <c:f>Q3_Summary!$B$32:$B$34</c:f>
              <c:numCache>
                <c:formatCode>0.00</c:formatCode>
                <c:ptCount val="3"/>
                <c:pt idx="0">
                  <c:v>22.652564293250926</c:v>
                </c:pt>
                <c:pt idx="1">
                  <c:v>-61.376467248031268</c:v>
                </c:pt>
                <c:pt idx="2">
                  <c:v>-37.520221891833671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AFD-4E07-B8C3-B51C3F870B12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82"/>
        <c:axId val="2134928112"/>
        <c:axId val="95297568"/>
      </c:barChart>
      <c:catAx>
        <c:axId val="2134928112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5297568"/>
        <c:crosses val="autoZero"/>
        <c:auto val="1"/>
        <c:lblAlgn val="ctr"/>
        <c:lblOffset val="100"/>
        <c:noMultiLvlLbl val="0"/>
      </c:catAx>
      <c:valAx>
        <c:axId val="9529756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3492811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[Energy Pricing Analysis.xlsx]Q4_Contract_Start_Month!PivotTable13</c:name>
    <c:fmtId val="16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Avg</a:t>
            </a:r>
            <a:r>
              <a:rPr lang="en-US" baseline="0"/>
              <a:t> Profit by Contract Start Month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Q4_Contract_Start_Month!$B$3</c:f>
              <c:strCache>
                <c:ptCount val="1"/>
                <c:pt idx="0">
                  <c:v>Total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Q4_Contract_Start_Month!$A$4:$A$15</c:f>
              <c:strCache>
                <c:ptCount val="12"/>
                <c:pt idx="0">
                  <c:v>January</c:v>
                </c:pt>
                <c:pt idx="1">
                  <c:v>February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</c:strCache>
            </c:strRef>
          </c:cat>
          <c:val>
            <c:numRef>
              <c:f>Q4_Contract_Start_Month!$B$4:$B$15</c:f>
              <c:numCache>
                <c:formatCode>0.00</c:formatCode>
                <c:ptCount val="12"/>
                <c:pt idx="0">
                  <c:v>24.905960321051509</c:v>
                </c:pt>
                <c:pt idx="1">
                  <c:v>22.82120441776711</c:v>
                </c:pt>
                <c:pt idx="2">
                  <c:v>22.707506552733452</c:v>
                </c:pt>
                <c:pt idx="3">
                  <c:v>22.209904201680676</c:v>
                </c:pt>
                <c:pt idx="4">
                  <c:v>22.660271170006467</c:v>
                </c:pt>
                <c:pt idx="5">
                  <c:v>-376.15252187499999</c:v>
                </c:pt>
                <c:pt idx="6">
                  <c:v>23.823666154737758</c:v>
                </c:pt>
                <c:pt idx="7">
                  <c:v>24.66087052598817</c:v>
                </c:pt>
                <c:pt idx="8">
                  <c:v>23.073237704918036</c:v>
                </c:pt>
                <c:pt idx="9">
                  <c:v>23.39449297969189</c:v>
                </c:pt>
                <c:pt idx="10">
                  <c:v>23.674891377420533</c:v>
                </c:pt>
                <c:pt idx="11">
                  <c:v>22.058275894802367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98A3-47E6-973D-A38C85A5199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92056720"/>
        <c:axId val="92059600"/>
      </c:lineChart>
      <c:catAx>
        <c:axId val="9205672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2059600"/>
        <c:crosses val="autoZero"/>
        <c:auto val="1"/>
        <c:lblAlgn val="ctr"/>
        <c:lblOffset val="100"/>
        <c:noMultiLvlLbl val="0"/>
      </c:catAx>
      <c:valAx>
        <c:axId val="9205960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205672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[Energy Pricing Analysis.xlsx]Q5_Customer_Groups!PivotTable14</c:name>
    <c:fmtId val="1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Profit by Aquisition Channel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Q5_Customer_Groups!$B$2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Q5_Customer_Groups!$A$3:$A$5</c:f>
              <c:strCache>
                <c:ptCount val="3"/>
                <c:pt idx="0">
                  <c:v>Check24</c:v>
                </c:pt>
                <c:pt idx="1">
                  <c:v>Sales Representative</c:v>
                </c:pt>
                <c:pt idx="2">
                  <c:v>Website</c:v>
                </c:pt>
              </c:strCache>
            </c:strRef>
          </c:cat>
          <c:val>
            <c:numRef>
              <c:f>Q5_Customer_Groups!$B$3:$B$5</c:f>
              <c:numCache>
                <c:formatCode>0.00</c:formatCode>
                <c:ptCount val="3"/>
                <c:pt idx="0">
                  <c:v>22.652564293250926</c:v>
                </c:pt>
                <c:pt idx="1">
                  <c:v>-61.376467248031268</c:v>
                </c:pt>
                <c:pt idx="2">
                  <c:v>-37.520221891833671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C85-4F2F-8E29-694B22F0CBCB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94086080"/>
        <c:axId val="94078880"/>
      </c:barChart>
      <c:catAx>
        <c:axId val="9408608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4078880"/>
        <c:crosses val="autoZero"/>
        <c:auto val="1"/>
        <c:lblAlgn val="ctr"/>
        <c:lblOffset val="100"/>
        <c:noMultiLvlLbl val="0"/>
      </c:catAx>
      <c:valAx>
        <c:axId val="940788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408608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[Energy Pricing Analysis.xlsx]Q5_Customer_Groups!PivotTable16</c:name>
    <c:fmtId val="4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Profit</a:t>
            </a:r>
            <a:r>
              <a:rPr lang="en-US" baseline="0"/>
              <a:t> by Consumption Tier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Q5_Customer_Groups!$B$18</c:f>
              <c:strCache>
                <c:ptCount val="1"/>
                <c:pt idx="0">
                  <c:v>Total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Q5_Customer_Groups!$A$19:$A$21</c:f>
              <c:strCache>
                <c:ptCount val="3"/>
                <c:pt idx="0">
                  <c:v>high</c:v>
                </c:pt>
                <c:pt idx="1">
                  <c:v>low</c:v>
                </c:pt>
                <c:pt idx="2">
                  <c:v>mid</c:v>
                </c:pt>
              </c:strCache>
            </c:strRef>
          </c:cat>
          <c:val>
            <c:numRef>
              <c:f>Q5_Customer_Groups!$B$19:$B$21</c:f>
              <c:numCache>
                <c:formatCode>0.00</c:formatCode>
                <c:ptCount val="3"/>
                <c:pt idx="0">
                  <c:v>48.082203742925742</c:v>
                </c:pt>
                <c:pt idx="1">
                  <c:v>-39.92077080654326</c:v>
                </c:pt>
                <c:pt idx="2">
                  <c:v>-16.032920196685488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EBF-4290-8461-84B0CFBEC7D7}"/>
            </c:ext>
          </c:extLst>
        </c:ser>
        <c:dLbls>
          <c:dLblPos val="t"/>
          <c:showLegendKey val="0"/>
          <c:showVal val="1"/>
          <c:showCatName val="0"/>
          <c:showSerName val="0"/>
          <c:showPercent val="0"/>
          <c:showBubbleSize val="0"/>
        </c:dLbls>
        <c:smooth val="0"/>
        <c:axId val="95302368"/>
        <c:axId val="95301888"/>
      </c:lineChart>
      <c:catAx>
        <c:axId val="9530236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5301888"/>
        <c:crosses val="autoZero"/>
        <c:auto val="1"/>
        <c:lblAlgn val="ctr"/>
        <c:lblOffset val="100"/>
        <c:noMultiLvlLbl val="0"/>
      </c:catAx>
      <c:valAx>
        <c:axId val="9530188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530236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[Energy Pricing Analysis.xlsx]Q5_Customer_Groups!PivotTable15</c:name>
    <c:fmtId val="4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Profit by Contract</a:t>
            </a:r>
            <a:r>
              <a:rPr lang="en-US" baseline="0"/>
              <a:t> Duration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bestFi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bestFi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bestFi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</c:pivotFmts>
    <c:plotArea>
      <c:layout/>
      <c:pieChart>
        <c:varyColors val="1"/>
        <c:ser>
          <c:idx val="0"/>
          <c:order val="0"/>
          <c:tx>
            <c:strRef>
              <c:f>Q5_Customer_Groups!$B$34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F5A7-45A0-9F01-9AB2A3A5E7FA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F5A7-45A0-9F01-9AB2A3A5E7FA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bestFit"/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Q5_Customer_Groups!$A$35:$A$36</c:f>
              <c:strCache>
                <c:ptCount val="2"/>
                <c:pt idx="0">
                  <c:v>12</c:v>
                </c:pt>
                <c:pt idx="1">
                  <c:v>24</c:v>
                </c:pt>
              </c:strCache>
            </c:strRef>
          </c:cat>
          <c:val>
            <c:numRef>
              <c:f>Q5_Customer_Groups!$B$35:$B$36</c:f>
              <c:numCache>
                <c:formatCode>0.00</c:formatCode>
                <c:ptCount val="2"/>
                <c:pt idx="0">
                  <c:v>-36.006747588559236</c:v>
                </c:pt>
                <c:pt idx="1">
                  <c:v>24.809798885793874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F5A7-45A0-9F01-9AB2A3A5E7FA}"/>
            </c:ext>
          </c:extLst>
        </c:ser>
        <c:dLbls>
          <c:dLblPos val="bestFit"/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chart" Target="../charts/chart5.xml"/><Relationship Id="rId2" Type="http://schemas.openxmlformats.org/officeDocument/2006/relationships/chart" Target="../charts/chart4.xml"/><Relationship Id="rId1" Type="http://schemas.openxmlformats.org/officeDocument/2006/relationships/chart" Target="../charts/chart3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6.xml"/></Relationships>
</file>

<file path=xl/drawings/_rels/drawing6.xml.rels><?xml version="1.0" encoding="UTF-8" standalone="yes"?>
<Relationships xmlns="http://schemas.openxmlformats.org/package/2006/relationships"><Relationship Id="rId3" Type="http://schemas.openxmlformats.org/officeDocument/2006/relationships/chart" Target="../charts/chart9.xml"/><Relationship Id="rId2" Type="http://schemas.openxmlformats.org/officeDocument/2006/relationships/chart" Target="../charts/chart8.xml"/><Relationship Id="rId1" Type="http://schemas.openxmlformats.org/officeDocument/2006/relationships/chart" Target="../charts/chart7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31750</xdr:colOff>
      <xdr:row>7</xdr:row>
      <xdr:rowOff>133350</xdr:rowOff>
    </xdr:from>
    <xdr:to>
      <xdr:col>3</xdr:col>
      <xdr:colOff>330200</xdr:colOff>
      <xdr:row>7</xdr:row>
      <xdr:rowOff>438150</xdr:rowOff>
    </xdr:to>
    <xdr:sp macro="" textlink="">
      <xdr:nvSpPr>
        <xdr:cNvPr id="1025" name="AutoShape 1">
          <a:extLst>
            <a:ext uri="{FF2B5EF4-FFF2-40B4-BE49-F238E27FC236}">
              <a16:creationId xmlns:a16="http://schemas.microsoft.com/office/drawing/2014/main" id="{E3EACC76-9D2F-6FD1-9E03-F45961D222B4}"/>
            </a:ext>
          </a:extLst>
        </xdr:cNvPr>
        <xdr:cNvSpPr>
          <a:spLocks noChangeAspect="1" noChangeArrowheads="1"/>
        </xdr:cNvSpPr>
      </xdr:nvSpPr>
      <xdr:spPr bwMode="auto">
        <a:xfrm>
          <a:off x="7715250" y="23939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4</xdr:row>
      <xdr:rowOff>0</xdr:rowOff>
    </xdr:from>
    <xdr:to>
      <xdr:col>3</xdr:col>
      <xdr:colOff>304800</xdr:colOff>
      <xdr:row>5</xdr:row>
      <xdr:rowOff>196850</xdr:rowOff>
    </xdr:to>
    <xdr:sp macro="" textlink="">
      <xdr:nvSpPr>
        <xdr:cNvPr id="1026" name="AutoShape 2">
          <a:extLst>
            <a:ext uri="{FF2B5EF4-FFF2-40B4-BE49-F238E27FC236}">
              <a16:creationId xmlns:a16="http://schemas.microsoft.com/office/drawing/2014/main" id="{46F55516-1EB4-3A07-0A4D-E1BD000C652C}"/>
            </a:ext>
          </a:extLst>
        </xdr:cNvPr>
        <xdr:cNvSpPr>
          <a:spLocks noChangeAspect="1" noChangeArrowheads="1"/>
        </xdr:cNvSpPr>
      </xdr:nvSpPr>
      <xdr:spPr bwMode="auto">
        <a:xfrm>
          <a:off x="7683500" y="1397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4</xdr:col>
      <xdr:colOff>0</xdr:colOff>
      <xdr:row>3</xdr:row>
      <xdr:rowOff>0</xdr:rowOff>
    </xdr:from>
    <xdr:to>
      <xdr:col>4</xdr:col>
      <xdr:colOff>304800</xdr:colOff>
      <xdr:row>3</xdr:row>
      <xdr:rowOff>304800</xdr:rowOff>
    </xdr:to>
    <xdr:sp macro="" textlink="">
      <xdr:nvSpPr>
        <xdr:cNvPr id="1027" name="AutoShape 3">
          <a:extLst>
            <a:ext uri="{FF2B5EF4-FFF2-40B4-BE49-F238E27FC236}">
              <a16:creationId xmlns:a16="http://schemas.microsoft.com/office/drawing/2014/main" id="{EAB6EF42-CD17-6CE5-3828-C919F4CECD6F}"/>
            </a:ext>
          </a:extLst>
        </xdr:cNvPr>
        <xdr:cNvSpPr>
          <a:spLocks noChangeAspect="1" noChangeArrowheads="1"/>
        </xdr:cNvSpPr>
      </xdr:nvSpPr>
      <xdr:spPr bwMode="auto">
        <a:xfrm>
          <a:off x="8293100" y="889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594360</xdr:colOff>
      <xdr:row>6</xdr:row>
      <xdr:rowOff>83820</xdr:rowOff>
    </xdr:from>
    <xdr:to>
      <xdr:col>11</xdr:col>
      <xdr:colOff>289560</xdr:colOff>
      <xdr:row>21</xdr:row>
      <xdr:rowOff>83820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92CFEF96-B8ED-4268-8589-EF6005BE6B1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0</xdr:colOff>
      <xdr:row>6</xdr:row>
      <xdr:rowOff>83820</xdr:rowOff>
    </xdr:from>
    <xdr:to>
      <xdr:col>10</xdr:col>
      <xdr:colOff>304800</xdr:colOff>
      <xdr:row>21</xdr:row>
      <xdr:rowOff>83820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53C23511-1B37-BE49-DA93-26DFE930F6B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898358</xdr:colOff>
      <xdr:row>11</xdr:row>
      <xdr:rowOff>176465</xdr:rowOff>
    </xdr:from>
    <xdr:to>
      <xdr:col>8</xdr:col>
      <xdr:colOff>72191</xdr:colOff>
      <xdr:row>27</xdr:row>
      <xdr:rowOff>160421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4BAE4147-D39B-4898-9B66-073A08B4307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</xdr:col>
      <xdr:colOff>890336</xdr:colOff>
      <xdr:row>46</xdr:row>
      <xdr:rowOff>8021</xdr:rowOff>
    </xdr:from>
    <xdr:to>
      <xdr:col>8</xdr:col>
      <xdr:colOff>88231</xdr:colOff>
      <xdr:row>61</xdr:row>
      <xdr:rowOff>136358</xdr:rowOff>
    </xdr:to>
    <xdr:graphicFrame macro="">
      <xdr:nvGraphicFramePr>
        <xdr:cNvPr id="11" name="Chart 10">
          <a:extLst>
            <a:ext uri="{FF2B5EF4-FFF2-40B4-BE49-F238E27FC236}">
              <a16:creationId xmlns:a16="http://schemas.microsoft.com/office/drawing/2014/main" id="{2289F464-5739-44F0-ABF6-3FFE63C324A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2</xdr:col>
      <xdr:colOff>890337</xdr:colOff>
      <xdr:row>29</xdr:row>
      <xdr:rowOff>4010</xdr:rowOff>
    </xdr:from>
    <xdr:to>
      <xdr:col>8</xdr:col>
      <xdr:colOff>112295</xdr:colOff>
      <xdr:row>44</xdr:row>
      <xdr:rowOff>40105</xdr:rowOff>
    </xdr:to>
    <xdr:graphicFrame macro="">
      <xdr:nvGraphicFramePr>
        <xdr:cNvPr id="12" name="Chart 11">
          <a:extLst>
            <a:ext uri="{FF2B5EF4-FFF2-40B4-BE49-F238E27FC236}">
              <a16:creationId xmlns:a16="http://schemas.microsoft.com/office/drawing/2014/main" id="{FE6431EF-3027-023B-3916-4C710395F06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612204</xdr:colOff>
      <xdr:row>2</xdr:row>
      <xdr:rowOff>0</xdr:rowOff>
    </xdr:from>
    <xdr:to>
      <xdr:col>11</xdr:col>
      <xdr:colOff>13025</xdr:colOff>
      <xdr:row>14</xdr:row>
      <xdr:rowOff>149794</xdr:rowOff>
    </xdr:to>
    <xdr:graphicFrame macro="">
      <xdr:nvGraphicFramePr>
        <xdr:cNvPr id="11" name="Chart 10">
          <a:extLst>
            <a:ext uri="{FF2B5EF4-FFF2-40B4-BE49-F238E27FC236}">
              <a16:creationId xmlns:a16="http://schemas.microsoft.com/office/drawing/2014/main" id="{8014B9DE-365C-441F-ADD7-26AE0D02979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0</xdr:colOff>
      <xdr:row>0</xdr:row>
      <xdr:rowOff>0</xdr:rowOff>
    </xdr:from>
    <xdr:to>
      <xdr:col>11</xdr:col>
      <xdr:colOff>0</xdr:colOff>
      <xdr:row>14</xdr:row>
      <xdr:rowOff>22860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011B3F42-1712-4A9C-8B7B-DB8AA5F8728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4</xdr:col>
      <xdr:colOff>7620</xdr:colOff>
      <xdr:row>16</xdr:row>
      <xdr:rowOff>0</xdr:rowOff>
    </xdr:from>
    <xdr:to>
      <xdr:col>11</xdr:col>
      <xdr:colOff>15240</xdr:colOff>
      <xdr:row>30</xdr:row>
      <xdr:rowOff>15240</xdr:rowOff>
    </xdr:to>
    <xdr:graphicFrame macro="">
      <xdr:nvGraphicFramePr>
        <xdr:cNvPr id="13" name="Chart 12">
          <a:extLst>
            <a:ext uri="{FF2B5EF4-FFF2-40B4-BE49-F238E27FC236}">
              <a16:creationId xmlns:a16="http://schemas.microsoft.com/office/drawing/2014/main" id="{096067C0-873B-4634-9C2C-30D69752CAD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4</xdr:col>
      <xdr:colOff>0</xdr:colOff>
      <xdr:row>32</xdr:row>
      <xdr:rowOff>0</xdr:rowOff>
    </xdr:from>
    <xdr:to>
      <xdr:col>11</xdr:col>
      <xdr:colOff>22860</xdr:colOff>
      <xdr:row>46</xdr:row>
      <xdr:rowOff>15240</xdr:rowOff>
    </xdr:to>
    <xdr:graphicFrame macro="">
      <xdr:nvGraphicFramePr>
        <xdr:cNvPr id="14" name="Chart 13">
          <a:extLst>
            <a:ext uri="{FF2B5EF4-FFF2-40B4-BE49-F238E27FC236}">
              <a16:creationId xmlns:a16="http://schemas.microsoft.com/office/drawing/2014/main" id="{F4ECBCAC-2AD8-452C-B97F-B97DEE1EF7E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Nirmal Dahad" refreshedDate="46212.823815509262" createdVersion="8" refreshedVersion="8" minRefreshableVersion="3" recordCount="800" xr:uid="{E57A9A63-A7C1-4FEC-82D3-2653AE0FA4D6}">
  <cacheSource type="worksheet">
    <worksheetSource name="Q4_Q5_Table"/>
  </cacheSource>
  <cacheFields count="12">
    <cacheField name="customer_id" numFmtId="0">
      <sharedItems count="797">
        <s v="C0001"/>
        <s v="C0002"/>
        <s v="C0003"/>
        <s v="C0004"/>
        <s v="C0005"/>
        <s v="C0006"/>
        <s v="C0007"/>
        <s v="C0008"/>
        <s v="C0009"/>
        <s v="C0010"/>
        <s v="C0011"/>
        <s v="C0012"/>
        <s v="C0013"/>
        <s v="C0014"/>
        <s v="C0015"/>
        <s v="C0016"/>
        <s v="C0017"/>
        <s v="C0018"/>
        <s v="C0019"/>
        <s v="C0020"/>
        <s v="C0021"/>
        <s v="C0022"/>
        <s v="C0023"/>
        <s v="C0024"/>
        <s v="C0025"/>
        <s v="C0026"/>
        <s v="C0027"/>
        <s v="C0028"/>
        <s v="C0029"/>
        <s v="C0030"/>
        <s v="C0031"/>
        <s v="C0032"/>
        <s v="C0033"/>
        <s v="C0034"/>
        <s v="C0035"/>
        <s v="C0036"/>
        <s v="C0037"/>
        <s v="C0038"/>
        <s v="C0039"/>
        <s v="C0040"/>
        <s v="C0041"/>
        <s v="C0042"/>
        <s v="C0043"/>
        <s v="C0044"/>
        <s v="C0045"/>
        <s v="C0046"/>
        <s v="C0047"/>
        <s v="C0048"/>
        <s v="C0049"/>
        <s v="C0050"/>
        <s v="C0051"/>
        <s v="C0052"/>
        <s v="C0053"/>
        <s v="C0054"/>
        <s v="C0055"/>
        <s v="C0056"/>
        <s v="C0057"/>
        <s v="C0058"/>
        <s v="C0059"/>
        <s v="C0060"/>
        <s v="C0061"/>
        <s v="C0062"/>
        <s v="C0063"/>
        <s v="C0064"/>
        <s v="C0065"/>
        <s v="C0066"/>
        <s v="C0067"/>
        <s v="C0068"/>
        <s v="C0069"/>
        <s v="C0070"/>
        <s v="C0071"/>
        <s v="C0072"/>
        <s v="C0073"/>
        <s v="C0074"/>
        <s v="C0075"/>
        <s v="C0076"/>
        <s v="C0077"/>
        <s v="C0078"/>
        <s v="C0079"/>
        <s v="C0080"/>
        <s v="C0081"/>
        <s v="C0082"/>
        <s v="C0083"/>
        <s v="C0084"/>
        <s v="C0085"/>
        <s v="C0086"/>
        <s v="C0087"/>
        <s v="C0088"/>
        <s v="C0089"/>
        <s v="C0090"/>
        <s v="C0091"/>
        <s v="C0092"/>
        <s v="C0093"/>
        <s v="C0094"/>
        <s v="C0095"/>
        <s v="C0096"/>
        <s v="C0097"/>
        <s v="C0098"/>
        <s v="C0099"/>
        <s v="C0100"/>
        <s v="C0101"/>
        <s v="C0102"/>
        <s v="C0104"/>
        <s v="C0105"/>
        <s v="C0106"/>
        <s v="C0107"/>
        <s v="C0108"/>
        <s v="C0109"/>
        <s v="C0110"/>
        <s v="C0111"/>
        <s v="C0112"/>
        <s v="C0113"/>
        <s v="C0114"/>
        <s v="C0115"/>
        <s v="C0116"/>
        <s v="C0117"/>
        <s v="C0118"/>
        <s v="C0119"/>
        <s v="C0120"/>
        <s v="C0121"/>
        <s v="C0122"/>
        <s v="C0123"/>
        <s v="C0124"/>
        <s v="C0125"/>
        <s v="C0126"/>
        <s v="C0127"/>
        <s v="C0128"/>
        <s v="C0129"/>
        <s v="C0130"/>
        <s v="C0131"/>
        <s v="C0132"/>
        <s v="C0133"/>
        <s v="C0134"/>
        <s v="C0135"/>
        <s v="C0136"/>
        <s v="C0137"/>
        <s v="C0139"/>
        <s v="C0140"/>
        <s v="C0141"/>
        <s v="C0142"/>
        <s v="C0143"/>
        <s v="C0144"/>
        <s v="C0145"/>
        <s v="C0146"/>
        <s v="C0147"/>
        <s v="C0148"/>
        <s v="C0149"/>
        <s v="C0150"/>
        <s v="C0151"/>
        <s v="C0152"/>
        <s v="C0153"/>
        <s v="C0154"/>
        <s v="C0155"/>
        <s v="C0156"/>
        <s v="C0157"/>
        <s v="C0158"/>
        <s v="C0159"/>
        <s v="C0160"/>
        <s v="C0161"/>
        <s v="C0162"/>
        <s v="C0163"/>
        <s v="C0164"/>
        <s v="C0165"/>
        <s v="C0166"/>
        <s v="C0167"/>
        <s v="C0168"/>
        <s v="C0169"/>
        <s v="C0171"/>
        <s v="C0172"/>
        <s v="C0173"/>
        <s v="C0174"/>
        <s v="C0175"/>
        <s v="C0176"/>
        <s v="C0177"/>
        <s v="C0178"/>
        <s v="C0179"/>
        <s v="C0180"/>
        <s v="C0181"/>
        <s v="C0182"/>
        <s v="C0183"/>
        <s v="C0184"/>
        <s v="C0185"/>
        <s v="C0186"/>
        <s v="C0187"/>
        <s v="C0188"/>
        <s v="C0189"/>
        <s v="C0190"/>
        <s v="C0191"/>
        <s v="C0192"/>
        <s v="C0193"/>
        <s v="C0194"/>
        <s v="C0195"/>
        <s v="C0196"/>
        <s v="C0197"/>
        <s v="C0198"/>
        <s v="C0199"/>
        <s v="C0200"/>
        <s v="C0201"/>
        <s v="C0202"/>
        <s v="C0203"/>
        <s v="C0204"/>
        <s v="C0205"/>
        <s v="C0206"/>
        <s v="C0207"/>
        <s v="C0208"/>
        <s v="C0209"/>
        <s v="C0210"/>
        <s v="C0211"/>
        <s v="C0212"/>
        <s v="C0213"/>
        <s v="C0214"/>
        <s v="C0215"/>
        <s v="C0216"/>
        <s v="C0217"/>
        <s v="C0218"/>
        <s v="C0219"/>
        <s v="C0220"/>
        <s v="C0221"/>
        <s v="C0222"/>
        <s v="C0223"/>
        <s v="C0224"/>
        <s v="C0225"/>
        <s v="C0226"/>
        <s v="C0227"/>
        <s v="C0228"/>
        <s v="C0229"/>
        <s v="C0230"/>
        <s v="C0231"/>
        <s v="C0232"/>
        <s v="C0233"/>
        <s v="C0234"/>
        <s v="C0235"/>
        <s v="C0236"/>
        <s v="C0237"/>
        <s v="C0238"/>
        <s v="C0239"/>
        <s v="C0240"/>
        <s v="C0241"/>
        <s v="C0242"/>
        <s v="C0243"/>
        <s v="C0244"/>
        <s v="C0245"/>
        <s v="C0246"/>
        <s v="C0247"/>
        <s v="C0248"/>
        <s v="C0249"/>
        <s v="C0250"/>
        <s v="C0251"/>
        <s v="C0252"/>
        <s v="C0253"/>
        <s v="C0254"/>
        <s v="C0255"/>
        <s v="C0256"/>
        <s v="C0257"/>
        <s v="C0258"/>
        <s v="C0259"/>
        <s v="C0260"/>
        <s v="C0261"/>
        <s v="C0262"/>
        <s v="C0263"/>
        <s v="C0264"/>
        <s v="C0265"/>
        <s v="C0266"/>
        <s v="C0267"/>
        <s v="C0268"/>
        <s v="C0269"/>
        <s v="C0270"/>
        <s v="C0271"/>
        <s v="C0272"/>
        <s v="C0273"/>
        <s v="C0274"/>
        <s v="C0275"/>
        <s v="C0276"/>
        <s v="C0277"/>
        <s v="C0278"/>
        <s v="C0279"/>
        <s v="C0280"/>
        <s v="C0281"/>
        <s v="C0282"/>
        <s v="C0283"/>
        <s v="C0284"/>
        <s v="C0285"/>
        <s v="C0286"/>
        <s v="C0287"/>
        <s v="C0288"/>
        <s v="C0289"/>
        <s v="C0290"/>
        <s v="C0291"/>
        <s v="C0292"/>
        <s v="C0293"/>
        <s v="C0294"/>
        <s v="C0295"/>
        <s v="C0296"/>
        <s v="C0297"/>
        <s v="C0298"/>
        <s v="C0299"/>
        <s v="C0300"/>
        <s v="C0301"/>
        <s v="C0302"/>
        <s v="C0303"/>
        <s v="C0304"/>
        <s v="C0305"/>
        <s v="C0306"/>
        <s v="C0307"/>
        <s v="C0308"/>
        <s v="C0309"/>
        <s v="C0310"/>
        <s v="C0311"/>
        <s v="C0312"/>
        <s v="C0313"/>
        <s v="C0314"/>
        <s v="C0315"/>
        <s v="C0316"/>
        <s v="C0317"/>
        <s v="C0318"/>
        <s v="C0319"/>
        <s v="C0320"/>
        <s v="C0321"/>
        <s v="C0322"/>
        <s v="C0323"/>
        <s v="C0324"/>
        <s v="C0325"/>
        <s v="C0326"/>
        <s v="C0327"/>
        <s v="C0328"/>
        <s v="C0329"/>
        <s v="C0330"/>
        <s v="C0331"/>
        <s v="C0332"/>
        <s v="C0333"/>
        <s v="C0334"/>
        <s v="C0335"/>
        <s v="C0336"/>
        <s v="C0337"/>
        <s v="C0338"/>
        <s v="C0339"/>
        <s v="C0340"/>
        <s v="C0341"/>
        <s v="C0342"/>
        <s v="C0343"/>
        <s v="C0344"/>
        <s v="C0345"/>
        <s v="C0346"/>
        <s v="C0347"/>
        <s v="C0348"/>
        <s v="C0349"/>
        <s v="C0350"/>
        <s v="C0351"/>
        <s v="C0352"/>
        <s v="C0353"/>
        <s v="C0354"/>
        <s v="C0355"/>
        <s v="C0356"/>
        <s v="C0357"/>
        <s v="C0358"/>
        <s v="C0359"/>
        <s v="C0360"/>
        <s v="C0361"/>
        <s v="C0362"/>
        <s v="C0363"/>
        <s v="C0364"/>
        <s v="C0365"/>
        <s v="C0366"/>
        <s v="C0367"/>
        <s v="C0368"/>
        <s v="C0369"/>
        <s v="C0370"/>
        <s v="C0371"/>
        <s v="C0372"/>
        <s v="C0373"/>
        <s v="C0374"/>
        <s v="C0375"/>
        <s v="C0376"/>
        <s v="C0377"/>
        <s v="C0378"/>
        <s v="C0379"/>
        <s v="C0380"/>
        <s v="C0381"/>
        <s v="C0382"/>
        <s v="C0383"/>
        <s v="C0384"/>
        <s v="C0385"/>
        <s v="C0386"/>
        <s v="C0387"/>
        <s v="C0388"/>
        <s v="C0389"/>
        <s v="C0390"/>
        <s v="C0391"/>
        <s v="C0392"/>
        <s v="C0393"/>
        <s v="C0394"/>
        <s v="C0395"/>
        <s v="C0396"/>
        <s v="C0397"/>
        <s v="C0398"/>
        <s v="C0399"/>
        <s v="C0400"/>
        <s v="C0401"/>
        <s v="C0402"/>
        <s v="C0403"/>
        <s v="C0404"/>
        <s v="C0405"/>
        <s v="C0406"/>
        <s v="C0407"/>
        <s v="C0408"/>
        <s v="C0409"/>
        <s v="C0410"/>
        <s v="C0411"/>
        <s v="C0412"/>
        <s v="C0413"/>
        <s v="C0414"/>
        <s v="C0415"/>
        <s v="C0416"/>
        <s v="C0417"/>
        <s v="C0418"/>
        <s v="C0419"/>
        <s v="C0420"/>
        <s v="C0421"/>
        <s v="C0422"/>
        <s v="C0423"/>
        <s v="C0424"/>
        <s v="C0425"/>
        <s v="C0426"/>
        <s v="C0427"/>
        <s v="C0428"/>
        <s v="C0429"/>
        <s v="C0430"/>
        <s v="C0431"/>
        <s v="C0432"/>
        <s v="C0433"/>
        <s v="C0434"/>
        <s v="C0435"/>
        <s v="C0436"/>
        <s v="C0437"/>
        <s v="C0438"/>
        <s v="C0439"/>
        <s v="C0440"/>
        <s v="C0441"/>
        <s v="C0442"/>
        <s v="C0443"/>
        <s v="C0444"/>
        <s v="C0445"/>
        <s v="C0446"/>
        <s v="C0447"/>
        <s v="C0448"/>
        <s v="C0449"/>
        <s v="C0450"/>
        <s v="C0451"/>
        <s v="C0452"/>
        <s v="C0453"/>
        <s v="C0454"/>
        <s v="C0455"/>
        <s v="C0456"/>
        <s v="C0457"/>
        <s v="C0458"/>
        <s v="C0459"/>
        <s v="C0460"/>
        <s v="C0461"/>
        <s v="C0462"/>
        <s v="C0463"/>
        <s v="C0464"/>
        <s v="C0465"/>
        <s v="C0466"/>
        <s v="C0467"/>
        <s v="C0468"/>
        <s v="C0469"/>
        <s v="C0470"/>
        <s v="C0471"/>
        <s v="C0472"/>
        <s v="C0473"/>
        <s v="C0474"/>
        <s v="C0475"/>
        <s v="C0476"/>
        <s v="C0477"/>
        <s v="C0478"/>
        <s v="C0479"/>
        <s v="C0480"/>
        <s v="C0481"/>
        <s v="C0482"/>
        <s v="C0483"/>
        <s v="C0484"/>
        <s v="C0485"/>
        <s v="C0486"/>
        <s v="C0487"/>
        <s v="C0488"/>
        <s v="C0489"/>
        <s v="C0490"/>
        <s v="C0491"/>
        <s v="C0492"/>
        <s v="C0493"/>
        <s v="C0494"/>
        <s v="C0495"/>
        <s v="C0496"/>
        <s v="C0497"/>
        <s v="C0498"/>
        <s v="C0499"/>
        <s v="C0500"/>
        <s v="C0501"/>
        <s v="C0502"/>
        <s v="C0503"/>
        <s v="C0504"/>
        <s v="C0505"/>
        <s v="C0506"/>
        <s v="C0507"/>
        <s v="C0508"/>
        <s v="C0509"/>
        <s v="C0510"/>
        <s v="C0511"/>
        <s v="C0512"/>
        <s v="C0513"/>
        <s v="C0514"/>
        <s v="C0515"/>
        <s v="C0516"/>
        <s v="C0517"/>
        <s v="C0518"/>
        <s v="C0519"/>
        <s v="C0520"/>
        <s v="C0521"/>
        <s v="C0522"/>
        <s v="C0523"/>
        <s v="C0524"/>
        <s v="C0525"/>
        <s v="C0526"/>
        <s v="C0527"/>
        <s v="C0528"/>
        <s v="C0529"/>
        <s v="C0530"/>
        <s v="C0531"/>
        <s v="C0532"/>
        <s v="C0533"/>
        <s v="C0534"/>
        <s v="C0535"/>
        <s v="C0536"/>
        <s v="C0537"/>
        <s v="C0538"/>
        <s v="C0539"/>
        <s v="C0540"/>
        <s v="C0541"/>
        <s v="C0542"/>
        <s v="C0543"/>
        <s v="C0544"/>
        <s v="C0545"/>
        <s v="C0546"/>
        <s v="C0547"/>
        <s v="C0548"/>
        <s v="C0549"/>
        <s v="C0550"/>
        <s v="C0551"/>
        <s v="C0552"/>
        <s v="C0553"/>
        <s v="C0554"/>
        <s v="C0555"/>
        <s v="C0556"/>
        <s v="C0557"/>
        <s v="C0558"/>
        <s v="C0559"/>
        <s v="C0560"/>
        <s v="C0561"/>
        <s v="C0562"/>
        <s v="C0563"/>
        <s v="C0564"/>
        <s v="C0565"/>
        <s v="C0566"/>
        <s v="C0567"/>
        <s v="C0568"/>
        <s v="C0569"/>
        <s v="C0570"/>
        <s v="C0571"/>
        <s v="C0572"/>
        <s v="C0573"/>
        <s v="C0574"/>
        <s v="C0575"/>
        <s v="C0576"/>
        <s v="C0577"/>
        <s v="C0578"/>
        <s v="C0579"/>
        <s v="C0580"/>
        <s v="C0581"/>
        <s v="C0582"/>
        <s v="C0583"/>
        <s v="C0584"/>
        <s v="C0585"/>
        <s v="C0586"/>
        <s v="C0587"/>
        <s v="C0588"/>
        <s v="C0589"/>
        <s v="C0590"/>
        <s v="C0591"/>
        <s v="C0592"/>
        <s v="C0593"/>
        <s v="C0594"/>
        <s v="C0595"/>
        <s v="C0596"/>
        <s v="C0597"/>
        <s v="C0598"/>
        <s v="C0599"/>
        <s v="C0600"/>
        <s v="C0601"/>
        <s v="C0602"/>
        <s v="C0603"/>
        <s v="C0604"/>
        <s v="C0605"/>
        <s v="C0606"/>
        <s v="C0607"/>
        <s v="C0608"/>
        <s v="C0609"/>
        <s v="C0610"/>
        <s v="C0611"/>
        <s v="C0612"/>
        <s v="C0613"/>
        <s v="C0614"/>
        <s v="C0615"/>
        <s v="C0616"/>
        <s v="C0617"/>
        <s v="C0618"/>
        <s v="C0619"/>
        <s v="C0620"/>
        <s v="C0621"/>
        <s v="C0622"/>
        <s v="C0623"/>
        <s v="C0624"/>
        <s v="C0625"/>
        <s v="C0626"/>
        <s v="C0627"/>
        <s v="C0628"/>
        <s v="C0629"/>
        <s v="C0630"/>
        <s v="C0631"/>
        <s v="C0632"/>
        <s v="C0633"/>
        <s v="C0634"/>
        <s v="C0635"/>
        <s v="C0636"/>
        <s v="C0637"/>
        <s v="C0638"/>
        <s v="C0639"/>
        <s v="C0640"/>
        <s v="C0641"/>
        <s v="C0642"/>
        <s v="C0643"/>
        <s v="C0644"/>
        <s v="C0645"/>
        <s v="C0646"/>
        <s v="C0647"/>
        <s v="C0648"/>
        <s v="C0649"/>
        <s v="C0650"/>
        <s v="C0651"/>
        <s v="C0652"/>
        <s v="C0653"/>
        <s v="C0654"/>
        <s v="C0655"/>
        <s v="C0656"/>
        <s v="C0657"/>
        <s v="C0658"/>
        <s v="C0659"/>
        <s v="C0660"/>
        <s v="C0661"/>
        <s v="C0662"/>
        <s v="C0663"/>
        <s v="C0664"/>
        <s v="C0665"/>
        <s v="C0666"/>
        <s v="C0667"/>
        <s v="C0668"/>
        <s v="C0669"/>
        <s v="C0670"/>
        <s v="C0671"/>
        <s v="C0672"/>
        <s v="C0673"/>
        <s v="C0674"/>
        <s v="C0675"/>
        <s v="C0676"/>
        <s v="C0677"/>
        <s v="C0678"/>
        <s v="C0679"/>
        <s v="C0680"/>
        <s v="C0681"/>
        <s v="C0682"/>
        <s v="C0683"/>
        <s v="C0684"/>
        <s v="C0685"/>
        <s v="C0686"/>
        <s v="C0687"/>
        <s v="C0688"/>
        <s v="C0689"/>
        <s v="C0690"/>
        <s v="C0691"/>
        <s v="C0692"/>
        <s v="C0693"/>
        <s v="C0694"/>
        <s v="C0695"/>
        <s v="C0696"/>
        <s v="C0697"/>
        <s v="C0698"/>
        <s v="C0699"/>
        <s v="C0700"/>
        <s v="C0701"/>
        <s v="C0702"/>
        <s v="C0703"/>
        <s v="C0704"/>
        <s v="C0705"/>
        <s v="C0706"/>
        <s v="C0707"/>
        <s v="C0708"/>
        <s v="C0709"/>
        <s v="C0710"/>
        <s v="C0711"/>
        <s v="C0712"/>
        <s v="C0713"/>
        <s v="C0714"/>
        <s v="C0715"/>
        <s v="C0716"/>
        <s v="C0717"/>
        <s v="C0718"/>
        <s v="C0719"/>
        <s v="C0720"/>
        <s v="C0721"/>
        <s v="C0722"/>
        <s v="C0723"/>
        <s v="C0724"/>
        <s v="C0725"/>
        <s v="C0726"/>
        <s v="C0727"/>
        <s v="C0728"/>
        <s v="C0729"/>
        <s v="C0730"/>
        <s v="C0731"/>
        <s v="C0732"/>
        <s v="C0733"/>
        <s v="C0734"/>
        <s v="C0735"/>
        <s v="C0736"/>
        <s v="C0737"/>
        <s v="C0738"/>
        <s v="C0739"/>
        <s v="C0740"/>
        <s v="C0741"/>
        <s v="C0742"/>
        <s v="C0743"/>
        <s v="C0744"/>
        <s v="C0745"/>
        <s v="C0746"/>
        <s v="C0747"/>
        <s v="C0748"/>
        <s v="C0749"/>
        <s v="C0750"/>
        <s v="C0751"/>
        <s v="C0752"/>
        <s v="C0753"/>
        <s v="C0754"/>
        <s v="C0755"/>
        <s v="C0756"/>
        <s v="C0757"/>
        <s v="C0758"/>
        <s v="C0759"/>
        <s v="C0760"/>
        <s v="C0761"/>
        <s v="C0762"/>
        <s v="C0763"/>
        <s v="C0764"/>
        <s v="C0765"/>
        <s v="C0766"/>
        <s v="C0767"/>
        <s v="C0768"/>
        <s v="C0769"/>
        <s v="C0770"/>
        <s v="C0771"/>
        <s v="C0772"/>
        <s v="C0773"/>
        <s v="C0774"/>
        <s v="C0775"/>
        <s v="C0776"/>
        <s v="C0777"/>
        <s v="C0778"/>
        <s v="C0779"/>
        <s v="C0780"/>
        <s v="C0781"/>
        <s v="C0782"/>
        <s v="C0783"/>
        <s v="C0784"/>
        <s v="C0785"/>
        <s v="C0786"/>
        <s v="C0787"/>
        <s v="C0788"/>
        <s v="C0789"/>
        <s v="C0790"/>
        <s v="C0791"/>
        <s v="C0792"/>
        <s v="C0793"/>
        <s v="C0794"/>
        <s v="C0795"/>
        <s v="C0796"/>
        <s v="C0797"/>
        <s v="C0798"/>
        <s v="C0799"/>
        <s v="C0800"/>
      </sharedItems>
    </cacheField>
    <cacheField name="contract_duration_months" numFmtId="0">
      <sharedItems containsSemiMixedTypes="0" containsString="0" containsNumber="1" containsInteger="1" minValue="12" maxValue="24" count="2">
        <n v="12"/>
        <n v="24"/>
      </sharedItems>
    </cacheField>
    <cacheField name="consumption_tier" numFmtId="0">
      <sharedItems count="3">
        <s v="mid"/>
        <s v="low"/>
        <s v="high"/>
      </sharedItems>
    </cacheField>
    <cacheField name="acquisition_channel" numFmtId="0">
      <sharedItems count="3">
        <s v="Check24"/>
        <s v="Website"/>
        <s v="Sales Representative"/>
      </sharedItems>
    </cacheField>
    <cacheField name="contract_start_date" numFmtId="0">
      <sharedItems count="478">
        <s v="24.04.2024"/>
        <s v="26.01.2024"/>
        <s v="08.10.2024"/>
        <s v="07.09.2024"/>
        <s v="16.08.2024"/>
        <s v="22.05.2024"/>
        <s v="14.04.2024"/>
        <s v="30.03.2024"/>
        <s v="08.03.2025"/>
        <s v="02.02.2024"/>
        <s v="31.01.2024"/>
        <s v="05.04.2024"/>
        <s v="11.08.2024"/>
        <s v="26.08.2024"/>
        <s v="01.06.2025"/>
        <s v="28.01.2024"/>
        <s v="2024-07-22"/>
        <s v="05.03.2025"/>
        <s v="13.08.2024"/>
        <s v="04.04.2025"/>
        <s v="11.10.2024"/>
        <s v="07.01.2024"/>
        <s v="12.06.2024"/>
        <s v="14.12.2024"/>
        <s v="08.06.2024"/>
        <s v="08.08.2024"/>
        <s v="10.12.2024"/>
        <s v="04.04.2024"/>
        <s v="24.01.2025"/>
        <s v="09.04.2024"/>
        <s v="02.01.2025"/>
        <s v="18.12.2024"/>
        <s v="27.09.2024"/>
        <s v="14.02.2024"/>
        <s v="15.04.2025"/>
        <s v="07.05.2024"/>
        <s v="22.01.2025"/>
        <s v="21.03.2024"/>
        <s v="27.10.2024"/>
        <s v="2025-01-05"/>
        <s v="15.07.2024"/>
        <s v="12.03.2024"/>
        <s v="16.02.2024"/>
        <s v="21.08.2024"/>
        <s v="23.10.2024"/>
        <s v="22.03.2024"/>
        <s v="13.04.2024"/>
        <s v="09.04.2025"/>
        <s v="08.01.2025"/>
        <s v="15.06.2024"/>
        <s v="14.01.2025"/>
        <s v="29.12.2024"/>
        <s v="02.08.2024"/>
        <s v="30.09.2024"/>
        <s v="14.03.2024"/>
        <s v="24.06.2024"/>
        <s v="16.06.2024"/>
        <s v="18.04.2025"/>
        <s v="23.01.2025"/>
        <s v="03.10.2024"/>
        <s v="12.08.2024"/>
        <s v="28.11.2024"/>
        <s v="27.02.2024"/>
        <s v="22.08.2024"/>
        <s v="19.11.2024"/>
        <s v="14.02.2025"/>
        <s v="01.10.2024"/>
        <s v="08.03.2024"/>
        <s v="04.08.2024"/>
        <s v="2024-11-18"/>
        <s v="05.08.2024"/>
        <s v="2025-05-26"/>
        <s v="09.02.2025"/>
        <s v="14.04.2025"/>
        <s v="26.05.2024"/>
        <s v="28.09.2024"/>
        <s v="09.09.2024"/>
        <s v="26.09.2024"/>
        <s v="14.03.2025"/>
        <s v="12.02.2025"/>
        <s v="05.01.2025"/>
        <s v="21.05.2024"/>
        <s v="05.06.2025"/>
        <s v="2025-05-20"/>
        <s v="03.04.2024"/>
        <s v="18.02.2024"/>
        <s v="2024-04-22"/>
        <s v="2024-06-05"/>
        <s v="06.03.2024"/>
        <s v="29.01.2025"/>
        <s v="25.01.2025"/>
        <s v="24.04.2025"/>
        <s v="25.06.2025"/>
        <s v="14.09.2024"/>
        <s v="12.01.2024"/>
        <s v="27.04.2024"/>
        <s v="21.03.2025"/>
        <s v="10.06.2024"/>
        <s v="04.01.2024"/>
        <s v="27.05.2025"/>
        <s v="01.07.2024"/>
        <s v="03.06.2025"/>
        <s v="18.04.2024"/>
        <s v="01.11.2024"/>
        <s v="22.07.2024"/>
        <s v="05.06.2024"/>
        <s v="17.01.2025"/>
        <s v="14.06.2024"/>
        <s v="27.06.2025"/>
        <s v="01.01.2024"/>
        <s v="27.11.2024"/>
        <s v="15.05.2025"/>
        <s v="20.01.2024"/>
        <s v="2025-01-06"/>
        <s v="10.11.2024"/>
        <s v="02.09.2024"/>
        <s v="29.02.2024"/>
        <s v="2024-09-03"/>
        <s v="28.03.2024"/>
        <s v="12.05.2025"/>
        <s v="11.03.2024"/>
        <s v="29.06.2025"/>
        <s v="08.05.2024"/>
        <s v="11.05.2024"/>
        <s v="01.05.2025"/>
        <s v="18.06.2024"/>
        <s v="24.06.2025"/>
        <s v="09.03.2025"/>
        <s v="2024-07-24"/>
        <s v="15.11.2024"/>
        <s v="2025-01-17"/>
        <s v="2025-03-24"/>
        <s v="13.06.2025"/>
        <s v="07.04.2025"/>
        <s v="03.05.2024"/>
        <s v="10.09.2024"/>
        <s v="18.08.2024"/>
        <s v="12.12.2024"/>
        <s v="22.01.2024"/>
        <s v="23.08.2024"/>
        <s v="08.01.2024"/>
        <s v="13.03.2024"/>
        <s v="01.03.2024"/>
        <s v="10.03.2024"/>
        <s v="04.12.2024"/>
        <s v="10.06.2025"/>
        <s v="31.08.2024"/>
        <s v="12.10.2024"/>
        <s v="2025-05-12"/>
        <s v="07.08.2024"/>
        <s v="15.05.2024"/>
        <s v="29.04.2025"/>
        <s v="05.09.2024"/>
        <s v="20.02.2025"/>
        <s v="13.07.2024"/>
        <s v="06.04.2024"/>
        <s v="17.03.2025"/>
        <s v="28.12.2024"/>
        <s v="2025-03-09"/>
        <s v="24.02.2025"/>
        <s v="23.04.2025"/>
        <s v="25.02.2024"/>
        <s v="10.04.2024"/>
        <s v="03.03.2024"/>
        <s v="16.02.2025"/>
        <s v="13.12.2024"/>
        <s v="21.04.2024"/>
        <s v="11.09.2024"/>
        <s v="23.05.2024"/>
        <s v="06.07.2024"/>
        <s v="2025-04-18"/>
        <s v="12.09.2024"/>
        <s v="18.03.2024"/>
        <s v="29.03.2025"/>
        <s v="21.02.2024"/>
        <s v="16.01.2024"/>
        <s v="30.08.2024"/>
        <s v="2024-06-19"/>
        <s v="07.05.2025"/>
        <s v="06.08.2024"/>
        <s v="17.06.2024"/>
        <s v="03.01.2024"/>
        <s v="03.02.2025"/>
        <s v="10.04.2025"/>
        <s v="19.10.2024"/>
        <s v="2025-05-13"/>
        <s v="07.06.2024"/>
        <s v="30.10.2024"/>
        <s v="10.08.2024"/>
        <s v="17.11.2024"/>
        <s v="28.02.2024"/>
        <s v="03.05.2025"/>
        <s v="29.05.2025"/>
        <s v="04.06.2025"/>
        <s v="23.03.2024"/>
        <s v="09.07.2024"/>
        <s v="28.08.2024"/>
        <s v="17.02.2025"/>
        <s v="02.05.2024"/>
        <s v="10.02.2024"/>
        <s v="24.03.2024"/>
        <s v="19.06.2025"/>
        <s v="24.09.2024"/>
        <s v="28.07.2024"/>
        <s v="01.09.2024"/>
        <s v="14.05.2024"/>
        <s v="03.11.2024"/>
        <s v="13.04.2025"/>
        <s v="15.03.2024"/>
        <s v="10.01.2024"/>
        <s v="12.04.2024"/>
        <s v="16.03.2024"/>
        <s v="02.06.2025"/>
        <s v="23.12.2024"/>
        <s v="13.01.2025"/>
        <s v="18.10.2024"/>
        <s v="2024-06-10"/>
        <s v="24.03.2025"/>
        <s v="05.11.2024"/>
        <s v="09.01.2024"/>
        <s v="02.11.2024"/>
        <s v="16.04.2024"/>
        <s v="17.05.2024"/>
        <s v="28.04.2024"/>
        <s v="19.04.2024"/>
        <s v="05.10.2024"/>
        <s v="15.10.2024"/>
        <s v="03.08.2024"/>
        <s v="17.12.2024"/>
        <s v="27.07.2024"/>
        <s v="22.02.2024"/>
        <s v="2024-04-04"/>
        <s v="10.10.2024"/>
        <s v="15.02.2024"/>
        <s v="2024-01-04"/>
        <s v="07.12.2024"/>
        <s v="13.05.2024"/>
        <s v="25.09.2024"/>
        <s v="2024-06-14"/>
        <s v="28.03.2025"/>
        <s v="13.03.2025"/>
        <s v="01.06.2024"/>
        <s v="2024-02-06"/>
        <s v="31.05.2024"/>
        <s v="16.03.2025"/>
        <s v="10.05.2024"/>
        <s v="12.02.2024"/>
        <s v="11.11.2024"/>
        <s v="01.01.2025"/>
        <s v="15.04.2024"/>
        <s v="30.06.2024"/>
        <s v="26.02.2025"/>
        <s v="02.07.2024"/>
        <s v="06.12.2024"/>
        <s v="25.02.2025"/>
        <s v="2024-04-20"/>
        <s v="26.01.2025"/>
        <s v="2024-02-09"/>
        <s v="26.04.2025"/>
        <s v="15.08.2024"/>
        <s v="23.07.2024"/>
        <s v="16.04.2025"/>
        <s v="24.12.2024"/>
        <s v="08.11.2024"/>
        <s v="25.01.2024"/>
        <s v="16.07.2024"/>
        <s v="02.12.2024"/>
        <s v="2024-12-25"/>
        <s v="13.02.2025"/>
        <s v="05.12.2024"/>
        <s v="2024-01-29"/>
        <s v="09.02.2024"/>
        <s v="20.03.2025"/>
        <s v="19.12.2024"/>
        <s v="22.03.2025"/>
        <s v="2025-06-07"/>
        <s v="17.09.2024"/>
        <s v="2025-03-22"/>
        <s v="02.01.2024"/>
        <s v="16.06.2025"/>
        <s v="20.07.2024"/>
        <s v="2025-01-07"/>
        <s v="2024-05-07"/>
        <s v="12.11.2024"/>
        <s v="2025-02-22"/>
        <s v="30.11.2024"/>
        <s v="29.10.2024"/>
        <s v="06.03.2025"/>
        <s v="27.06.2024"/>
        <s v="04.11.2024"/>
        <s v="19.02.2025"/>
        <s v="07.11.2024"/>
        <s v="20.10.2024"/>
        <s v="2024-11-25"/>
        <s v="21.04.2025"/>
        <s v="07.06.2025"/>
        <s v="22.06.2024"/>
        <s v="27.03.2024"/>
        <s v="17.10.2024"/>
        <s v="11.06.2025"/>
        <s v="09.12.2024"/>
        <s v="13.11.2024"/>
        <s v="2024-05-30"/>
        <s v="17.02.2024"/>
        <s v="2024-03-15"/>
        <s v="11.04.2025"/>
        <s v="28.02.2025"/>
        <s v="18.07.2024"/>
        <s v="28.01.2025"/>
        <s v="21.05.2025"/>
        <s v="06.09.2024"/>
        <s v="06.01.2024"/>
        <s v="11.03.2025"/>
        <s v="29.06.2024"/>
        <s v="14.06.2025"/>
        <s v="20.04.2025"/>
        <s v="04.05.2024"/>
        <s v="12.04.2025"/>
        <s v="16.05.2024"/>
        <s v="20.11.2024"/>
        <s v="2025-05-31"/>
        <s v="12.03.2025"/>
        <s v="01.04.2025"/>
        <s v="11.06.2024"/>
        <s v="05.04.2025"/>
        <s v="22.09.2024"/>
        <s v="2024-09-10"/>
        <s v="17.06.2025"/>
        <s v="11.05.2025"/>
        <s v="26.03.2025"/>
        <s v="2024-03-20"/>
        <s v="2024-10-05"/>
        <s v="23.11.2024"/>
        <s v="03.06.2024"/>
        <s v="24.08.2024"/>
        <s v="27.01.2025"/>
        <s v="21.02.2025"/>
        <s v="22.04.2025"/>
        <s v="01.03.2025"/>
        <s v="04.03.2024"/>
        <s v="30.07.2024"/>
        <s v="02.02.2025"/>
        <s v="21.01.2024"/>
        <s v="26.12.2024"/>
        <s v="2024-08-13"/>
        <s v="2025-05-14"/>
        <s v="06.10.2024"/>
        <s v="30.01.2024"/>
        <s v="2025-02-18"/>
        <s v="07.02.2025"/>
        <s v="26.03.2024"/>
        <s v="18.05.2024"/>
        <s v="17.04.2025"/>
        <s v="05.07.2024"/>
        <s v="2024-02-21"/>
        <s v="23.09.2024"/>
        <s v="2024-12-01"/>
        <s v="11.12.2024"/>
        <s v="2025-03-07"/>
        <s v="15.09.2024"/>
        <s v="23.02.2024"/>
        <s v="17.08.2024"/>
        <s v="11.02.2024"/>
        <s v="01.02.2024"/>
        <s v="2024-09-01"/>
        <s v="09.05.2024"/>
        <s v="19.09.2024"/>
        <s v="2025-01-12"/>
        <s v="20.06.2024"/>
        <s v="2024-06-16"/>
        <s v="14.11.2024"/>
        <s v="20.04.2024"/>
        <s v="27.01.2024"/>
        <s v="19.01.2025"/>
        <s v="10.02.2025"/>
        <s v="21.12.2024"/>
        <s v="15.12.2024"/>
        <s v="2024-01-13"/>
        <s v="16.05.2025"/>
        <s v="19.03.2025"/>
        <s v="18.06.2025"/>
        <s v="10.05.2025"/>
        <s v="26.11.2024"/>
        <s v="08.09.2024"/>
        <s v="2024-03-29"/>
        <s v="2024-10-12"/>
        <s v="06.04.2025"/>
        <s v="14.05.2025"/>
        <s v="21.09.2024"/>
        <s v="13.10.2024"/>
        <s v="09.10.2024"/>
        <s v="11.01.2024"/>
        <s v="14.07.2024"/>
        <s v="04.09.2024"/>
        <s v="03.09.2024"/>
        <s v="02.05.2025"/>
        <s v="2025-05-17"/>
        <s v="03.04.2025"/>
        <s v="18.01.2024"/>
        <s v="28.10.2024"/>
        <s v="14.08.2024"/>
        <s v="18.02.2025"/>
        <s v="09.11.2024"/>
        <s v="12.01.2025"/>
        <s v="04.10.2024"/>
        <s v="2024-05-02"/>
        <s v="08.07.2024"/>
        <s v="09.08.2024"/>
        <s v="21.06.2025"/>
        <s v="16.10.2024"/>
        <s v="2024-04-12"/>
        <s v="17.07.2024"/>
        <s v="20.08.2024"/>
        <s v="04.01.2025"/>
        <s v="15.01.2024"/>
        <s v="07.10.2024"/>
        <s v="26.10.2024"/>
        <s v="17.05.2025"/>
        <s v="2024-04-15"/>
        <s v="13.01.2024"/>
        <s v="25.04.2025"/>
        <s v="05.05.2025"/>
        <s v="27.03.2025"/>
        <s v="07.07.2024"/>
        <s v="04.05.2025"/>
        <s v="26.04.2024"/>
        <s v="07.03.2024"/>
        <s v="18.05.2025"/>
        <s v="24.02.2024"/>
        <s v="04.06.2024"/>
        <s v="2024-03-28"/>
        <s v="01.05.2024"/>
        <s v="02.03.2025"/>
        <s v="19.08.2024"/>
        <s v="31.10.2024"/>
        <s v="2025-03-15"/>
        <s v="02.03.2024"/>
        <s v="11.04.2024"/>
        <s v="31.07.2024"/>
        <s v="2024-09-27"/>
        <s v="09.06.2024"/>
        <s v="26.06.2024"/>
        <s v="17.03.2024"/>
        <s v="22.02.2025"/>
        <s v="25.10.2024"/>
        <s v="03.02.2024"/>
        <s v="25.08.2024"/>
        <s v="22.10.2024"/>
        <s v="2024-10-16"/>
        <s v="27.08.2024"/>
        <s v="21.07.2024"/>
        <s v="2024-04-27"/>
        <s v="2024-08-18"/>
        <s v="29.09.2024"/>
        <s v="25.05.2024"/>
        <s v="2024-03-02"/>
        <s v="25.03.2025"/>
        <s v="20.05.2025"/>
        <s v="18.03.2025"/>
        <s v="13.09.2024"/>
        <s v="2024-08-22"/>
        <s v="02.10.2024"/>
        <s v="28.06.2024"/>
        <s v="2025-06-15"/>
        <s v="2025-03-28"/>
        <s v="04.07.2024"/>
        <s v="22.12.2024"/>
        <s v="24.11.2024"/>
        <s v="17.04.2024"/>
        <s v="13.06.2024"/>
        <s v="03.12.2024"/>
        <s v="22.05.2025"/>
        <s v="07.02.2024"/>
        <s v="31.03.2024"/>
        <s v="18.11.2024"/>
        <s v="27.02.2025"/>
        <s v="2024-02-25"/>
        <s v="11.07.2024"/>
      </sharedItems>
    </cacheField>
    <cacheField name="monthly_consumption_kwh" numFmtId="0">
      <sharedItems containsSemiMixedTypes="0" containsString="0" containsNumber="1" containsInteger="1" minValue="-15" maxValue="46313" count="373">
        <n v="199"/>
        <n v="110"/>
        <n v="205"/>
        <n v="226"/>
        <n v="178"/>
        <n v="253"/>
        <n v="356"/>
        <n v="600"/>
        <n v="206"/>
        <n v="128"/>
        <n v="627"/>
        <n v="550"/>
        <n v="441"/>
        <n v="444"/>
        <n v="278"/>
        <n v="332"/>
        <n v="277"/>
        <n v="130"/>
        <n v="144"/>
        <n v="488"/>
        <n v="88"/>
        <n v="326"/>
        <n v="196"/>
        <n v="564"/>
        <n v="100"/>
        <n v="183"/>
        <n v="242"/>
        <n v="146"/>
        <n v="225"/>
        <n v="139"/>
        <n v="150"/>
        <n v="321"/>
        <n v="466"/>
        <n v="192"/>
        <n v="307"/>
        <n v="127"/>
        <n v="541"/>
        <n v="90"/>
        <n v="292"/>
        <n v="94"/>
        <n v="609"/>
        <n v="297"/>
        <n v="285"/>
        <n v="86"/>
        <n v="217"/>
        <n v="105"/>
        <n v="453"/>
        <n v="162"/>
        <n v="218"/>
        <n v="233"/>
        <n v="121"/>
        <n v="534"/>
        <n v="320"/>
        <n v="250"/>
        <n v="308"/>
        <n v="161"/>
        <n v="372"/>
        <n v="606"/>
        <n v="230"/>
        <n v="157"/>
        <n v="311"/>
        <n v="301"/>
        <n v="149"/>
        <n v="109"/>
        <n v="180"/>
        <n v="234"/>
        <n v="98"/>
        <n v="141"/>
        <n v="112"/>
        <n v="329"/>
        <n v="137"/>
        <n v="152"/>
        <n v="377"/>
        <n v="155"/>
        <n v="124"/>
        <n v="134"/>
        <n v="147"/>
        <n v="501"/>
        <n v="191"/>
        <n v="228"/>
        <n v="89"/>
        <n v="85"/>
        <n v="378"/>
        <n v="164"/>
        <n v="129"/>
        <n v="119"/>
        <n v="251"/>
        <n v="240"/>
        <n v="368"/>
        <n v="547"/>
        <n v="101"/>
        <n v="135"/>
        <n v="275"/>
        <n v="243"/>
        <n v="177"/>
        <n v="565"/>
        <n v="662"/>
        <n v="103"/>
        <n v="380"/>
        <n v="187"/>
        <n v="434"/>
        <n v="367"/>
        <n v="282"/>
        <n v="126"/>
        <n v="302"/>
        <n v="509"/>
        <n v="238"/>
        <n v="158"/>
        <n v="398"/>
        <n v="114"/>
        <n v="236"/>
        <n v="289"/>
        <n v="295"/>
        <n v="337"/>
        <n v="118"/>
        <n v="123"/>
        <n v="420"/>
        <n v="587"/>
        <n v="190"/>
        <n v="256"/>
        <n v="203"/>
        <n v="84"/>
        <n v="414"/>
        <n v="300"/>
        <n v="92"/>
        <n v="258"/>
        <n v="91"/>
        <n v="248"/>
        <n v="96"/>
        <n v="221"/>
        <n v="229"/>
        <n v="232"/>
        <n v="595"/>
        <n v="315"/>
        <n v="163"/>
        <n v="281"/>
        <n v="120"/>
        <n v="209"/>
        <n v="634"/>
        <n v="122"/>
        <n v="136"/>
        <n v="276"/>
        <n v="316"/>
        <n v="273"/>
        <n v="269"/>
        <n v="506"/>
        <n v="383"/>
        <n v="280"/>
        <n v="174"/>
        <n v="572"/>
        <n v="357"/>
        <n v="169"/>
        <n v="451"/>
        <n v="216"/>
        <n v="450"/>
        <n v="296"/>
        <n v="395"/>
        <n v="138"/>
        <n v="588"/>
        <n v="422"/>
        <n v="181"/>
        <n v="656"/>
        <n v="108"/>
        <n v="542"/>
        <n v="115"/>
        <n v="201"/>
        <n v="93"/>
        <n v="538"/>
        <n v="592"/>
        <n v="548"/>
        <n v="255"/>
        <n v="-15"/>
        <n v="431"/>
        <n v="165"/>
        <n v="267"/>
        <n v="132"/>
        <n v="151"/>
        <n v="223"/>
        <n v="102"/>
        <n v="477"/>
        <n v="648"/>
        <n v="207"/>
        <n v="629"/>
        <n v="428"/>
        <n v="621"/>
        <n v="616"/>
        <n v="640"/>
        <n v="585"/>
        <n v="288"/>
        <n v="552"/>
        <n v="392"/>
        <n v="330"/>
        <n v="323"/>
        <n v="87"/>
        <n v="97"/>
        <n v="189"/>
        <n v="154"/>
        <n v="578"/>
        <n v="257"/>
        <n v="265"/>
        <n v="522"/>
        <n v="563"/>
        <n v="156"/>
        <n v="386"/>
        <n v="244"/>
        <n v="168"/>
        <n v="104"/>
        <n v="576"/>
        <n v="166"/>
        <n v="366"/>
        <n v="145"/>
        <n v="99"/>
        <n v="452"/>
        <n v="335"/>
        <n v="345"/>
        <n v="456"/>
        <n v="435"/>
        <n v="167"/>
        <n v="287"/>
        <n v="531"/>
        <n v="116"/>
        <n v="334"/>
        <n v="540"/>
        <n v="299"/>
        <n v="182"/>
        <n v="247"/>
        <n v="274"/>
        <n v="263"/>
        <n v="260"/>
        <n v="279"/>
        <n v="0"/>
        <n v="304"/>
        <n v="353"/>
        <n v="111"/>
        <n v="284"/>
        <n v="480"/>
        <n v="443"/>
        <n v="478"/>
        <n v="407"/>
        <n v="266"/>
        <n v="333"/>
        <n v="645"/>
        <n v="474"/>
        <n v="546"/>
        <n v="117"/>
        <n v="231"/>
        <n v="131"/>
        <n v="529"/>
        <n v="227"/>
        <n v="171"/>
        <n v="611"/>
        <n v="212"/>
        <n v="624"/>
        <n v="494"/>
        <n v="360"/>
        <n v="125"/>
        <n v="193"/>
        <n v="652"/>
        <n v="176"/>
        <n v="107"/>
        <n v="159"/>
        <n v="496"/>
        <n v="173"/>
        <n v="655"/>
        <n v="322"/>
        <n v="350"/>
        <n v="210"/>
        <n v="419"/>
        <n v="399"/>
        <n v="268"/>
        <n v="371"/>
        <n v="408"/>
        <n v="617"/>
        <n v="520"/>
        <n v="508"/>
        <n v="620"/>
        <n v="142"/>
        <n v="514"/>
        <n v="486"/>
        <n v="235"/>
        <n v="504"/>
        <n v="200"/>
        <n v="194"/>
        <n v="293"/>
        <n v="401"/>
        <n v="313"/>
        <n v="484"/>
        <n v="172"/>
        <n v="254"/>
        <n v="429"/>
        <n v="160"/>
        <n v="511"/>
        <n v="439"/>
        <n v="309"/>
        <n v="636"/>
        <n v="106"/>
        <n v="95"/>
        <n v="400"/>
        <n v="198"/>
        <n v="632"/>
        <n v="388"/>
        <n v="573"/>
        <n v="570"/>
        <n v="219"/>
        <n v="245"/>
        <n v="303"/>
        <n v="498"/>
        <n v="153"/>
        <n v="445"/>
        <n v="184"/>
        <n v="413"/>
        <n v="291"/>
        <n v="272"/>
        <n v="375"/>
        <n v="140"/>
        <n v="562"/>
        <n v="391"/>
        <n v="613"/>
        <n v="213"/>
        <n v="252"/>
        <n v="202"/>
        <n v="344"/>
        <n v="596"/>
        <n v="482"/>
        <n v="45363"/>
        <n v="290"/>
        <n v="319"/>
        <n v="426"/>
        <n v="637"/>
        <n v="312"/>
        <n v="490"/>
        <n v="533"/>
        <n v="433"/>
        <n v="175"/>
        <n v="317"/>
        <n v="133"/>
        <n v="598"/>
        <n v="264"/>
        <n v="619"/>
        <n v="186"/>
        <n v="318"/>
        <n v="556"/>
        <n v="305"/>
        <n v="524"/>
        <n v="239"/>
        <n v="241"/>
        <n v="536"/>
        <n v="412"/>
        <n v="581"/>
        <n v="502"/>
        <n v="545"/>
        <n v="179"/>
        <n v="418"/>
        <n v="113"/>
        <n v="328"/>
        <n v="222"/>
        <n v="214"/>
        <n v="185"/>
        <n v="446"/>
        <n v="262"/>
        <n v="448"/>
        <n v="465"/>
        <n v="470"/>
        <n v="83"/>
        <n v="46313"/>
        <n v="560"/>
        <n v="625"/>
        <n v="432"/>
        <n v="526"/>
        <n v="224"/>
        <n v="298"/>
        <n v="440"/>
        <n v="389"/>
      </sharedItems>
    </cacheField>
    <cacheField name="BRUTTO_monthly_bill_eur" numFmtId="0">
      <sharedItems containsSemiMixedTypes="0" containsString="0" containsNumber="1" minValue="0" maxValue="232.78"/>
    </cacheField>
    <cacheField name="NETTO_procurement_cost_ct_per_kwh" numFmtId="0">
      <sharedItems containsSemiMixedTypes="0" containsString="0" containsNumber="1" minValue="0.18" maxValue="33.86"/>
    </cacheField>
    <cacheField name="net_revenue_(€)" numFmtId="0">
      <sharedItems containsSemiMixedTypes="0" containsString="0" containsNumber="1" minValue="0" maxValue="195.61344537815128"/>
    </cacheField>
    <cacheField name="procurement_cost_(€)" numFmtId="0">
      <sharedItems containsSemiMixedTypes="0" containsString="0" containsNumber="1" minValue="-3.375" maxValue="13704.0167"/>
    </cacheField>
    <cacheField name="Profit(€)" numFmtId="0">
      <sharedItems containsSemiMixedTypes="0" containsString="0" containsNumber="1" minValue="-13668.20157394958" maxValue="172.65081092436975"/>
    </cacheField>
    <cacheField name="Profit(ct/kWh)" numFmtId="0">
      <sharedItems containsMixedTypes="1" containsNumber="1" minValue="-1151.0054061624651" maxValue="34.179029884143006" count="799">
        <n v="8.2548452345762406"/>
        <n v="7.9961115355233012"/>
        <n v="12.120594384095103"/>
        <n v="5.8829716665427227"/>
        <n v="8.6579539231422942"/>
        <n v="5.9948699637957974"/>
        <n v="7.094524596355396"/>
        <n v="7.9728851540616263"/>
        <n v="9.6168458839846611"/>
        <n v="6.7580042016806727"/>
        <n v="8.6807272191173137"/>
        <n v="8.4050190985485127"/>
        <n v="7.6114075630252129"/>
        <n v="7.4066649516949665"/>
        <n v="11.277246574305401"/>
        <n v="9.042605042016806"/>
        <n v="10.006801660423207"/>
        <n v="11.242434547826353"/>
        <n v="6.8804848093083404"/>
        <n v="3.9497852474323074"/>
        <n v="9.0537084997933626"/>
        <n v="10.511573720397251"/>
        <n v="7.0520297349709162"/>
        <n v="9.8347290818167821"/>
        <n v="11.069205968101533"/>
        <n v="8.0281870194886515"/>
        <n v="8.9543697478991575"/>
        <n v="5.8215966386554632"/>
        <n v="11.840917481746795"/>
        <n v="8.8031731370234052"/>
        <n v="7.6948359617819762"/>
        <n v="7.7156582633053219"/>
        <n v="6.8521745964572887"/>
        <n v="8.4534733893557448"/>
        <n v="7.0769276682635747"/>
        <n v="11.081375540507466"/>
        <n v="11.894716341472213"/>
        <n v="8.1104551820728243"/>
        <n v="6.9514842563531483"/>
        <n v="6.8257868007015903"/>
        <n v="10.269096638655467"/>
        <n v="7.4791897736293214"/>
        <n v="6.6030516773638599"/>
        <n v="8.4050323863371617"/>
        <n v="8.2749673202614424"/>
        <n v="8.9060630827673535"/>
        <n v="11.435723225460398"/>
        <n v="9.0317263457107035"/>
        <n v="7.270473926944514"/>
        <n v="5.4980112044817959"/>
        <n v="14.544614031659176"/>
        <n v="11.041142392440845"/>
        <n v="10.652428971588636"/>
        <n v="11.666933236870914"/>
        <n v="12.806862745098044"/>
        <n v="2.8411422346716471"/>
        <n v="6.1724692954104761"/>
        <n v="9.1451753912574265"/>
        <n v="10.595254084466408"/>
        <n v="8.8464185012848144"/>
        <n v="9.8066610014792435"/>
        <n v="5.4942302454578664"/>
        <n v="8.1713655462184853"/>
        <n v="6.8711764705882388"/>
        <n v="6.6893702541257483"/>
        <n v="7.9775575684819353"/>
        <n v="8.0411764705882405"/>
        <n v="6.0719160707761386"/>
        <n v="9.6655932050239421"/>
        <n v="9.4578977729705755"/>
        <n v="9.1273766898063524"/>
        <n v="7.3665192956163414"/>
        <n v="6.226755383825556"/>
        <n v="7.6252642452329793"/>
        <n v="4.9636489763690754"/>
        <n v="8.0284796854521687"/>
        <n v="8.7616526610644279"/>
        <n v="7.985590749120167"/>
        <n v="10.500217801406286"/>
        <n v="3.6081155015197597"/>
        <n v="8.1701920768307303"/>
        <n v="7.9741965722459174"/>
        <n v="6.5914089431393013"/>
        <n v="4.4662406015037588"/>
        <n v="8.589031272986654"/>
        <n v="7.3898888587693126"/>
        <n v="6.7861344537815116"/>
        <n v="7.2489319598807294"/>
        <n v="4.9634353442869728"/>
        <n v="6.678481106728408"/>
        <n v="11.154798490824898"/>
        <n v="6.7656131434609774"/>
        <n v="10.24224943196163"/>
        <n v="8.3585758282370559"/>
        <n v="6.3170853604599744"/>
        <n v="10.37602020583515"/>
        <n v="7.6205783489866548"/>
        <n v="8.30753768173936"/>
        <n v="2.3593974175035899"/>
        <n v="5.9241599895772366"/>
        <n v="5.0670895675343282"/>
        <n v="5.7192013275898619"/>
        <n v="7.2436173001310609"/>
        <n v="7.4173785530148306"/>
        <n v="9.8861064425770309"/>
        <n v="10.611435878699309"/>
        <n v="11.208463582873735"/>
        <n v="8.638228637989851"/>
        <n v="9.3186305633364448"/>
        <n v="8.066661573720399"/>
        <n v="9.3405672268907569"/>
        <n v="10.546470588235293"/>
        <n v="5.7488011770364746"/>
        <n v="6.8860701317564086"/>
        <n v="10.77193134881071"/>
        <n v="6.8929786372380315"/>
        <n v="11.351061879297179"/>
        <n v="8.8738819067449999"/>
        <n v="6.558626012338471"/>
        <n v="8.1691988251611303"/>
        <n v="9.7825563909774473"/>
        <n v="12.179287736484971"/>
        <n v="8.673214188901369"/>
        <n v="10.896213678932067"/>
        <n v="4.6478175099827226"/>
        <n v="9.3452330022918257"/>
        <n v="4.6051260504201688"/>
        <n v="8.4980874759542377"/>
        <n v="8.4740030051755841"/>
        <n v="5.9088577653283556"/>
        <n v="5.1578074165446042"/>
        <n v="6.6900761117755794"/>
        <n v="11.467420877977913"/>
        <n v="9.6929891956782743"/>
        <n v="8.8118934382263543"/>
        <n v="2.9166046165301616"/>
        <n v="8.1297055351066057"/>
        <n v="8.2624259955238379"/>
        <n v="9.2753398201385888"/>
        <n v="8.7798005982053819"/>
        <n v="1.7285891198584618"/>
        <n v="5.9291931028466758"/>
        <n v="6.0838726677111552"/>
        <n v="12.490840086776551"/>
        <n v="10.336433556473441"/>
        <n v="6.7351103368176579"/>
        <n v="9.4340879881364348"/>
        <n v="10.7993237294918"/>
        <n v="10.5271969707815"/>
        <n v="11.828761609907124"/>
        <n v="8.2225892857142853"/>
        <n v="6.804615639359195"/>
        <n v="9.9466306522609056"/>
        <n v="9.0889327325133014"/>
        <n v="7.989955556690763"/>
        <n v="7.9056862745098044"/>
        <n v="6.7583822240552625"/>
        <n v="9.5185226348603909"/>
        <n v="9.1557435147972264"/>
        <n v="8.3220220181095748"/>
        <n v="6.8226390721577932"/>
        <n v="7.0608225440013177"/>
        <n v="9.0213011358389519"/>
        <n v="9.011699647600981"/>
        <n v="8.2785154061624713"/>
        <n v="7.6147210920567323"/>
        <n v="8.0657642987991061"/>
        <n v="8.0314299378287899"/>
        <n v="9.8956823602803556"/>
        <n v="6.7543378730802672"/>
        <n v="8.7688283708545125"/>
        <n v="9.9374140244333038"/>
        <n v="7.9844177671068453"/>
        <n v="5.6288060009279839"/>
        <n v="5.4271580847103973"/>
        <n v="8.6378991596638723"/>
        <n v="6.7522186668261623"/>
        <n v="6.988095238095239"/>
        <n v="9.4983374210928346"/>
        <n v="5.2413324939096135"/>
        <n v="13.660740668360372"/>
        <n v="9.2831646475624936"/>
        <n v="10.611230196996829"/>
        <n v="8.3673158675234838"/>
        <n v="8.5148666423090997"/>
        <n v="6.0670652058291719"/>
        <n v="8.3748456305599177"/>
        <n v="8.3650454531254947"/>
        <n v="14.064530261542817"/>
        <n v="8.9656289235061575"/>
        <n v="11.761299778396999"/>
        <n v="7.6309008170742381"/>
        <n v="5.3847739095638296"/>
        <n v="9.6621848739495828"/>
        <n v="7.496686950642327"/>
        <n v="9.4859197012138221"/>
        <n v="5.9463648116589347"/>
        <n v="7.9647266547068298"/>
        <n v="11.71825789139185"/>
        <n v="10.685773457311921"/>
        <n v="8.2098680208279671"/>
        <n v="8.1686900642609981"/>
        <n v="5.9224727496320071"/>
        <n v="10.941478369125431"/>
        <n v="7.6199439775910367"/>
        <n v="5.4933704292527796"/>
        <n v="6.8213120771774438"/>
        <n v="8.0068620359536258"/>
        <n v="8.0819636425999004"/>
        <n v="9.8646131239380956"/>
        <n v="5.0573572037510672"/>
        <n v="11.465732007088553"/>
        <n v="12.39155322792624"/>
        <n v="11.588175976272867"/>
        <n v="8.5716574585635428"/>
        <n v="6.9916335314613649"/>
        <n v="6.3864768129474001"/>
        <n v="4.9908816407919083"/>
        <n v="9.2788818257930501"/>
        <n v="10.661227621483379"/>
        <n v="8.1813562439901393"/>
        <n v="9.8913138158489193"/>
        <n v="7.0955168535815831"/>
        <n v="12.064542357483528"/>
        <n v="7.7035471999018572"/>
        <n v="8.1744735541275357"/>
        <n v="-684.62952380952379"/>
        <n v="8.071381430621031"/>
        <n v="5.2234733893557461"/>
        <n v="8.0983199126518368"/>
        <n v="3.4273898650369219"/>
        <n v="3.9948043936675766"/>
        <n v="5.7983677107206519"/>
        <n v="8.0393703234718554"/>
        <n v="3.0116161166453379"/>
        <n v="7.8399512848617725"/>
        <n v="10.325485428213845"/>
        <n v="9.7623156347740885"/>
        <n v="5.176058771334624"/>
        <n v="8.6985203493162011"/>
        <n v="8.4599511944515768"/>
        <n v="7.2411637862692269"/>
        <n v="8.7060224089635927"/>
        <n v="3.8153203586267233"/>
        <n v="5.948906525573193"/>
        <n v="10.227264239028946"/>
        <n v="8.3029059365681785"/>
        <n v="7.4929411764705867"/>
        <n v="8.772775647619941"/>
        <n v="10.101967122615472"/>
        <n v="8.9434218173250635"/>
        <n v="5.7413155990873239"/>
        <n v="7.5244440384849591"/>
        <n v="8.9913991050965834"/>
        <n v="5.2973529411764675"/>
        <n v="11.373665313015159"/>
        <n v="10.666020254255551"/>
        <n v="7.3940962063837929"/>
        <n v="6.5843738537760403"/>
        <n v="6.3594631185807673"/>
        <n v="9.4635725641607991"/>
        <n v="12.49712824260139"/>
        <n v="8.6341828159835412"/>
        <n v="6.8162074131978434"/>
        <n v="9.6227552839317596"/>
        <n v="5.9992626895959615"/>
        <n v="11.366129624263499"/>
        <n v="7.0931464957116841"/>
        <n v="9.7529300609132576"/>
        <n v="7.7287301587301611"/>
        <n v="8.5299071207430366"/>
        <n v="10.564000332806389"/>
        <n v="5.7878244631185831"/>
        <n v="3.9702717450616651"/>
        <n v="7.6677098659533014"/>
        <n v="6.958198018507014"/>
        <n v="6.3084065324242919"/>
        <n v="7.4814135056413056"/>
        <n v="7.6239184562714017"/>
        <n v="9.5173028751730584"/>
        <n v="9.6983717181366345"/>
        <n v="5.3865783236371545"/>
        <n v="8.1363446917228472"/>
        <n v="3.1050516083775972"/>
        <n v="9.5498262724779028"/>
        <n v="7.9794971759195503"/>
        <n v="12.374317727090837"/>
        <n v="9.3708015513897855"/>
        <n v="10.652383286647993"/>
        <n v="5.8825422699200143"/>
        <n v="11.433308536529365"/>
        <n v="5.7718243194713788"/>
        <n v="6.9421848739495804"/>
        <n v="7.891129645888201"/>
        <n v="2.751079508726574"/>
        <n v="6.6917299333526508"/>
        <n v="5.3442732648615019"/>
        <n v="5.9950140056022452"/>
        <n v="10.946414813713098"/>
        <n v="6.0971663412839909"/>
        <n v="6.5384292178409815"/>
        <n v="9.8625072118399615"/>
        <n v="5.0399128169155212"/>
        <n v="12.798301059554266"/>
        <n v="-1151.0054061624651"/>
        <n v="6.1822689075630315"/>
        <n v="4.9446651544053237"/>
        <n v="9.3968170426065178"/>
        <n v="9.1474348834556434"/>
        <n v="14.309523809523805"/>
        <n v="9.8872268907563043"/>
        <n v="9.7699293475351876"/>
        <n v="2.6443566648216179"/>
        <n v="7.1100678166003277"/>
        <n v="8.2138627682477932"/>
        <n v="5.4361329897812816"/>
        <n v="8.1637734839158611"/>
        <n v="8.0651178211397543"/>
        <n v="10.426172124022024"/>
        <n v="6.3697991739068565"/>
        <n v="10.24469770208969"/>
        <n v="12.471390831781811"/>
        <n v="10.697192654839718"/>
        <n v="11.121514092362608"/>
        <n v="10.637102105056067"/>
        <n v="13.059644473173881"/>
        <n v="3.9834402852049906"/>
        <n v="8.5292171605484324"/>
        <n v="4.2716917131816219"/>
        <n v="13.784690603514138"/>
        <n v="8.1549774738792831"/>
        <n v="6.0995927601809976"/>
        <n v="6.4947834518422818"/>
        <n v="6.6773360090304807"/>
        <n v="8.9877133218878953"/>
        <n v="3.8614346930825354"/>
        <s v=""/>
        <n v="7.0269261388765987"/>
        <n v="5.2092436974789962"/>
        <n v="11.386788048552758"/>
        <n v="11.169023019972864"/>
        <n v="4.5916299492770047"/>
        <n v="9.8775324675324701"/>
        <n v="9.5599325363948413"/>
        <n v="4.8041700975692301"/>
        <n v="11.055638555817588"/>
        <n v="10.696092436974796"/>
        <n v="10.189901960784313"/>
        <n v="11.314506326232527"/>
        <n v="9.3551520691958832"/>
        <n v="8.6612448056145563"/>
        <n v="11.755140709846589"/>
        <n v="8.3267429076893986"/>
        <n v="9.1805466546480208"/>
        <n v="8.7319842531607268"/>
        <n v="8.6139912709269737"/>
        <n v="5.9464963503649653"/>
        <n v="10.250157075488424"/>
        <n v="11.589091944470093"/>
        <n v="4.6814595905476342"/>
        <n v="9.4977853076714531"/>
        <n v="5.5986015944839522"/>
        <n v="8.0026748881370757"/>
        <n v="8.6374684419222234"/>
        <n v="5.4063846301879597"/>
        <n v="8.641584248065957"/>
        <n v="8.0823986809913801"/>
        <n v="7.4256576463184398"/>
        <n v="5.3424188053599835"/>
        <n v="10.201013346515081"/>
        <n v="9.5229377364981023"/>
        <n v="8.1408668803036761"/>
        <n v="5.1378595211669609"/>
        <n v="3.8076403894891371"/>
        <n v="6.9342880377957634"/>
        <n v="7.9666693550485226"/>
        <n v="11.393549419767911"/>
        <n v="7.6009067156274286"/>
        <n v="6.8773734109028188"/>
        <n v="7.8259105466290766"/>
        <n v="8.2005190937134333"/>
        <n v="-29.349999999999998"/>
        <n v="8.7905505412041425"/>
        <n v="8.291960670908038"/>
        <n v="12.78015555158234"/>
        <n v="11.792306255835665"/>
        <n v="9.2594817927170894"/>
        <n v="4.5936974789916007"/>
        <n v="9.511204481792717"/>
        <n v="7.5087861811391239"/>
        <n v="3.1525564511518911"/>
        <n v="11.074546087865198"/>
        <n v="7.990378778377023"/>
        <n v="8.9175055285272045"/>
        <n v="6.9399654656383145"/>
        <n v="9.8577006454755836"/>
        <n v="9.9393179357632668"/>
        <n v="7.7912699461807176"/>
        <n v="9.5266157372039793"/>
        <n v="6.1834249587685592"/>
        <n v="9.8788355342136835"/>
        <n v="10.662146089204914"/>
        <n v="6.6651054384017749"/>
        <n v="10.410038784744668"/>
        <n v="12.229889012208652"/>
        <n v="11.241596924971011"/>
        <n v="8.6468018612403643"/>
        <n v="5.0723552123552134"/>
        <n v="10.650580595874715"/>
        <n v="6.5572919490376771"/>
        <n v="9.1922946519648363"/>
        <n v="9.5194459478706772"/>
        <n v="6.3754822683790469"/>
        <n v="9.304338788146838"/>
        <n v="8.561636183885323"/>
        <n v="9.8354436689930207"/>
        <n v="7.8027130852340907"/>
        <n v="4.6939283054994192"/>
        <n v="7.976420462922011"/>
        <n v="5.7114624266972971"/>
        <n v="6.8370299570209765"/>
        <n v="9.6267873303167413"/>
        <n v="-22.87"/>
        <n v="8.548967587034813"/>
        <n v="8.5766984760005709"/>
        <n v="8.57464985994398"/>
        <n v="3.87014005602241"/>
        <n v="6.6172748240107468"/>
        <n v="8.1017403483132444"/>
        <n v="8.9658968850698173"/>
        <n v="8.5910342598577927"/>
        <n v="8.4535101253616229"/>
        <n v="7.1367965367965374"/>
        <n v="8.079049291358336"/>
        <n v="7.4698972922502316"/>
        <n v="5.3604407800856189"/>
        <n v="12.753340336134453"/>
        <n v="12.038764211566981"/>
        <n v="9.025526826115069"/>
        <n v="11.366290263269004"/>
        <n v="8.3329799612152566"/>
        <n v="6.2906160259379327"/>
        <n v="10.029090806133777"/>
        <n v="7.6953917050691265"/>
        <n v="10.908533364565336"/>
        <n v="11.065956944575586"/>
        <n v="8.8585300035507188"/>
        <n v="7.9568113003956453"/>
        <n v="8.0962904498816091"/>
        <n v="5.8790694055399921"/>
        <n v="9.8777419354838703"/>
        <n v="10.282307025903153"/>
        <n v="6.9461022927689662"/>
        <n v="10.707676525155517"/>
        <n v="7.4381464240372379"/>
        <n v="7.4563658906185468"/>
        <n v="7.2669908814589661"/>
        <n v="5.7353477042991079"/>
        <n v="-25.64"/>
        <n v="9.2552635599694462"/>
        <n v="9.8048592770441445"/>
        <n v="7.5038232511547687"/>
        <n v="8.6757831033648038"/>
        <n v="13.632705495991507"/>
        <n v="4.1870593875133979"/>
        <n v="4.1736134453781517"/>
        <n v="9.5328691476590617"/>
        <n v="13.185454387940737"/>
        <n v="9.0598682716329737"/>
        <n v="9.2236885880632169"/>
        <n v="12.930805128375464"/>
        <n v="5.3177082503824487"/>
        <n v="7.6469865653267659"/>
        <n v="7.239664670980213"/>
        <n v="6.0609954751131276"/>
        <n v="9.002747001713308"/>
        <n v="9.5811097992916245"/>
        <n v="5.6027974081198728"/>
        <n v="7.855722831505485"/>
        <n v="9.346296658198165"/>
        <n v="-425.63725490196072"/>
        <n v="6.6430210772833735"/>
        <n v="8.1040669097827784"/>
        <n v="3.6739285714285752"/>
        <n v="9.2593277310924389"/>
        <n v="9.3011910851297035"/>
        <n v="4.9822128851540608"/>
        <n v="7.6201415302963289"/>
        <n v="11.07235659481184"/>
        <n v="5.0357869634340258"/>
        <n v="5.3068456650953033"/>
        <n v="7.129608261214937"/>
        <n v="9.1251095083702793"/>
        <n v="11.060317525611644"/>
        <n v="7.3253781512605087"/>
        <n v="4.9783677107206517"/>
        <n v="5.4520958971824056"/>
        <n v="5.2391876750700321"/>
        <n v="8.6455577595845199"/>
        <n v="6.288445378151267"/>
        <n v="5.7226889111809109"/>
        <n v="11.188683473389361"/>
        <n v="5.7799147744204058"/>
        <n v="5.9263654759562696"/>
        <n v="6.7383526349036229"/>
        <n v="7.4758869761496829"/>
        <n v="26.37175677818297"/>
        <n v="9.6025194228634891"/>
        <n v="8.2288588184518563"/>
        <n v="10.252790800530743"/>
        <n v="8.4767226890756362"/>
        <n v="6.3096154825566604"/>
        <n v="9.1276342942240163"/>
        <n v="5.7870466447448541"/>
        <n v="9.6062675070028014"/>
        <n v="8.506246498599447"/>
        <n v="9.7839017837618361"/>
        <n v="8.3439122315592869"/>
        <n v="5.6225274313547136"/>
        <n v="7.3975070028011212"/>
        <n v="5.7826890756302536"/>
        <n v="7.9563496618159464"/>
        <n v="11.247181313203249"/>
        <n v="10.299016476681308"/>
        <n v="5.0169209842210254"/>
        <n v="8.1934008897676716"/>
        <n v="12.529734037945076"/>
        <n v="8.7243388729293656"/>
        <n v="7.3797627286208662"/>
        <n v="9.8569002858875496"/>
        <n v="32.841287852419072"/>
        <n v="5.3748351648351678"/>
        <n v="8.7293472123623506"/>
        <n v="11.026214527695895"/>
        <n v="8.6023262638388722"/>
        <n v="8.91115779645191"/>
        <n v="6.9590336134453814"/>
        <n v="8.8917222646634411"/>
        <n v="3.1407996747085982"/>
        <n v="4.2546130030959786"/>
        <n v="7.846437236373152"/>
        <n v="6.3265413533834618"/>
        <n v="9.6053328728751808"/>
        <n v="11.024364602984054"/>
        <n v="9.4793673905205651"/>
        <n v="3.9071015291362463"/>
        <n v="9.3562073324905164"/>
        <n v="9.9736826296783772"/>
        <n v="5.8192574284615777"/>
        <n v="8.7754527428949078"/>
        <n v="7.5061155890927784"/>
        <n v="5.4284859206840643"/>
        <n v="8.2480716497125108"/>
        <n v="10.747230544391668"/>
        <n v="11.074630191059475"/>
        <n v="11.381415302963294"/>
        <n v="10.437656395891688"/>
        <n v="10.456401138967987"/>
        <n v="8.1346189609864581"/>
        <n v="11.977158135981666"/>
        <n v="2.5657578586990399"/>
        <n v="9.4499806648323066"/>
        <n v="4.984399036487563"/>
        <n v="7.3488132395815491"/>
        <n v="8.7781003310415038"/>
        <n v="6.7618685121107278"/>
        <n v="9.0319607843137266"/>
        <n v="7.6305162064825947"/>
        <n v="10.086149732620326"/>
        <n v="8.4771682765632939"/>
        <n v="8.8960900764800304"/>
        <n v="9.5132416342496064"/>
        <n v="7.9518906203258011"/>
        <n v="9.4260224089635862"/>
        <n v="6.5875427365073289"/>
        <n v="7.3431901211188713"/>
        <n v="6.7488308900202449"/>
        <n v="8.8076303712974582"/>
        <n v="6.4128011204481821"/>
        <n v="9.2559093362115448"/>
        <n v="9.6003918795240928"/>
        <n v="-18.05"/>
        <n v="6.5751540616246524"/>
        <n v="7.7625668449197898"/>
        <n v="8.6377860773939226"/>
        <n v="5.8676298211592393"/>
        <n v="6.6631807008517745"/>
        <n v="11.168417460944109"/>
        <n v="6.9441203773928342"/>
        <n v="8.9951420568227327"/>
        <n v="4.8497082606627577"/>
        <n v="7.4472172178223852"/>
        <n v="4.4524111182934689"/>
        <n v="13.064738765071246"/>
        <n v="8.6349799504864215"/>
        <n v="6.6016111629837173"/>
        <n v="6.51781728075846"/>
        <n v="8.71186307080972"/>
        <n v="8.0390975520643089"/>
        <n v="4.8716246498599398"/>
        <n v="11.600383631713553"/>
        <n v="9.6144893889759295"/>
        <n v="-25.804272835911696"/>
        <n v="8.9275456389452366"/>
        <n v="6.9774062853981755"/>
        <n v="11.197576833550324"/>
        <n v="8.3742586066684783"/>
        <n v="11.397883597883597"/>
        <n v="10.963177182961097"/>
        <n v="3.6752630367215393"/>
        <n v="4.306568534698652"/>
        <n v="13.757066826730687"/>
        <n v="0.86137733142036887"/>
        <n v="7.5484733893557463"/>
        <n v="8.7429083357480923"/>
        <n v="7.0789212940077935"/>
        <n v="7.8759467525327862"/>
        <n v="5.8124369747899109"/>
        <n v="11.160510770345871"/>
        <n v="7.3676648124038335"/>
        <n v="8.9143854428931171"/>
        <n v="10.325849108874325"/>
        <n v="10.2102741290691"/>
        <n v="13.200816647133632"/>
        <n v="11.71316755273538"/>
        <n v="8.2482695300342357"/>
        <n v="9.2672746622101005"/>
        <n v="6.0861562402738851"/>
        <n v="8.9400805402992649"/>
        <n v="7.4739148073022292"/>
        <n v="7.4806842737094872"/>
        <n v="6.9900413540810682"/>
        <n v="8.2699967259631197"/>
        <n v="6.0586760171694616"/>
        <n v="9.8435161432994285"/>
        <n v="2.8567460908413995"/>
        <n v="11.733378321025386"/>
        <n v="7.4203267973856217"/>
        <n v="9.6691259692282738"/>
        <n v="9.8442438380034289"/>
        <n v="11.092200508110226"/>
        <n v="8.3829131652661086"/>
        <n v="6.8423094056899867"/>
        <n v="10.641018856654131"/>
        <n v="6.4837431350493056"/>
        <n v="8.3613369842318992"/>
        <n v="8.1529000536384775"/>
        <n v="9.4647407255585225"/>
        <n v="9.3239278937381425"/>
        <n v="7.9367410570785681"/>
        <n v="8.9976814121875162"/>
        <n v="8.4854627894323222"/>
        <n v="6.9321876291500262"/>
        <n v="5.3559947545897355"/>
        <n v="26.513501828212206"/>
        <n v="9.3232158634204652"/>
        <n v="6.0258315090742203"/>
        <n v="9.687173414820478"/>
        <n v="8.7862406385148191"/>
        <n v="6.5052736770383852"/>
        <n v="31.919380606175064"/>
        <n v="5.1233390064886697"/>
        <n v="9.7670567314062602"/>
        <n v="11.641767214348425"/>
        <n v="8.0799999999999983"/>
        <n v="8.3239214103720567"/>
        <n v="8.3039057876671851"/>
        <n v="9.5014253079872812"/>
        <n v="11.618053888221956"/>
        <n v="9.8964340518816272"/>
        <n v="10.88708319691513"/>
        <n v="11.055931146652206"/>
        <n v="5.4890832696715082"/>
        <n v="5.9486781461050739"/>
        <n v="7.555766216599002"/>
        <n v="8.9215889729385758"/>
        <n v="8.630617027687574"/>
        <n v="9.7686693392953536"/>
        <n v="11.077793061358621"/>
        <n v="7.4910654979695277"/>
        <n v="6.0447899159663834"/>
        <n v="7.5433493397358955"/>
        <n v="12.479992272771179"/>
        <n v="10.061061477222475"/>
        <n v="8.0509811812048824"/>
        <n v="2.4873068251690911"/>
        <n v="6.7871254447725073"/>
        <n v="8.3381635083183081"/>
        <n v="11.591680672268907"/>
        <n v="2.6039470713658606"/>
        <n v="8.5331587214325051"/>
        <n v="8.7101680672268884"/>
        <n v="5.1647498999599861"/>
        <n v="6.7684793917567099"/>
        <n v="9.9541016406562619"/>
        <n v="10.568090822535911"/>
        <n v="9.8863986982076071"/>
        <n v="8.3042289348171696"/>
        <n v="9.1025119644270269"/>
        <n v="6.8946498599439767"/>
        <n v="6.3311771120662002"/>
        <n v="5.4415072695745001"/>
        <n v="9.935574229691877"/>
        <n v="5.2139767211232373"/>
        <n v="8.0649049662783518"/>
        <n v="10.227561178317483"/>
        <n v="7.8530651963387612"/>
        <n v="9.5086807626276393"/>
        <n v="11.039792917166867"/>
        <n v="11.285536844219763"/>
        <n v="9.0420836026718376"/>
        <n v="11.032350241301341"/>
        <n v="5.9761403716416117"/>
        <n v="0.82158347676420318"/>
        <n v="11.185242267119619"/>
        <n v="7.0979693849370795"/>
        <n v="12.128724134815219"/>
        <n v="3.8959863267340888"/>
        <n v="9.4986071875558729"/>
        <n v="4.4184456424079119"/>
        <n v="7.9412058529705618"/>
        <n v="5.9216744011037283"/>
        <n v="9.2176963996607792"/>
        <n v="4.9969880583812447"/>
        <n v="4.9257256276743853"/>
        <n v="7.2890269792127382"/>
        <n v="9.9593722790320953"/>
        <n v="8.5544747129621062"/>
        <n v="9.6533078686019866"/>
        <n v="6.2011804721888772"/>
        <n v="9.2839880358923246"/>
        <n v="8.7363242375601899"/>
        <n v="9.7654621848739502"/>
        <n v="9.2087819643986624"/>
        <n v="5.5425538911216643"/>
        <n v="5.0339377734564899"/>
        <n v="10.494306354120599"/>
        <n v="11.376022408963589"/>
        <n v="8.9321934197407771"/>
        <n v="6.4883607689651166"/>
        <n v="-29.512667229394729"/>
        <n v="11.189411764705884"/>
        <n v="11.361062690562953"/>
        <n v="9.8012760659819484"/>
        <n v="8.0763031255667777"/>
        <n v="6.7551260504201753"/>
        <n v="5.8346969977418306"/>
        <n v="7.2949042775004758"/>
        <n v="34.179029884143006"/>
        <n v="8.5323994213069856"/>
        <n v="3.9447396011696294"/>
        <n v="7.8277757645809256"/>
        <n v="10.512100840336139"/>
        <n v="9.4803641456582621"/>
        <n v="10.817882895093526"/>
        <n v="3.9695058717493259"/>
        <n v="11.297811349258808"/>
        <n v="11.426750152115641"/>
        <n v="14.085050862450247"/>
        <n v="9.1742180896027037"/>
        <n v="11.684807007548782"/>
        <n v="12.184307500778091"/>
        <n v="5.7299078341013878"/>
        <n v="9.7781793782151674"/>
        <n v="9.5355983772819499"/>
        <n v="12.171968273940591"/>
        <n v="8.4915837104072374"/>
        <n v="9.3384753901560611"/>
        <n v="8.5820354808590125"/>
        <n v="4.9754774637127639"/>
        <n v="2.3938295318127261"/>
        <n v="8.1026938434948423"/>
        <n v="9.1080783256698865"/>
        <n v="7.3805882352941206"/>
        <n v="6.9165466941493561"/>
        <n v="8.1455169223652764"/>
        <n v="7.7243133495008749"/>
        <n v="10.363896928065838"/>
        <n v="5.2075630252100868"/>
        <n v="2.2558027421494908"/>
        <n v="4.9341976013706441"/>
        <n v="6.832567635204553"/>
        <n v="9.0680813501871391"/>
        <n v="7.3664553093964846"/>
        <n v="3.6123147440794563"/>
        <n v="11.438942424131225"/>
        <n v="9.0990022975482354"/>
        <n v="8.7632678423482044"/>
        <n v="6.2972660665689784"/>
        <n v="8.5532703387031681"/>
        <n v="12.875721846579246"/>
        <n v="4.1570079796624553"/>
        <n v="13.196457319770015"/>
        <n v="6.3994811257836473"/>
        <n v="8.6654741896758729"/>
        <n v="8.9653221288515379"/>
        <n v="13.425437469105297"/>
        <n v="6.0635245046923902"/>
        <n v="11.564626773786442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Nirmal Dahad" refreshedDate="46213.420515162034" createdVersion="8" refreshedVersion="8" minRefreshableVersion="3" recordCount="800" xr:uid="{066FC09D-9086-4E5E-9041-6BCD03813E2D}">
  <cacheSource type="worksheet">
    <worksheetSource name="Table1"/>
  </cacheSource>
  <cacheFields count="17">
    <cacheField name="customer_id" numFmtId="0">
      <sharedItems/>
    </cacheField>
    <cacheField name="contract_duration_months" numFmtId="0">
      <sharedItems containsSemiMixedTypes="0" containsString="0" containsNumber="1" containsInteger="1" minValue="12" maxValue="24" count="2">
        <n v="12"/>
        <n v="24"/>
      </sharedItems>
    </cacheField>
    <cacheField name="consumption_tier" numFmtId="0">
      <sharedItems count="3">
        <s v="mid"/>
        <s v="low"/>
        <s v="high"/>
      </sharedItems>
    </cacheField>
    <cacheField name="acquisition_channel" numFmtId="0">
      <sharedItems count="3">
        <s v="Check24"/>
        <s v="Website"/>
        <s v="Sales Representative"/>
      </sharedItems>
    </cacheField>
    <cacheField name="contract_start_date" numFmtId="0">
      <sharedItems/>
    </cacheField>
    <cacheField name="monthly_consumption_kwh" numFmtId="0">
      <sharedItems containsSemiMixedTypes="0" containsString="0" containsNumber="1" containsInteger="1" minValue="-15" maxValue="46313"/>
    </cacheField>
    <cacheField name="BRUTTO_monthly_bill_eur" numFmtId="0">
      <sharedItems containsSemiMixedTypes="0" containsString="0" containsNumber="1" minValue="0" maxValue="232.78"/>
    </cacheField>
    <cacheField name="NETTO_procurement_cost_ct_per_kwh" numFmtId="0">
      <sharedItems containsSemiMixedTypes="0" containsString="0" containsNumber="1" minValue="0.18" maxValue="33.86"/>
    </cacheField>
    <cacheField name="NETTO_monthly_revenue(€)" numFmtId="2">
      <sharedItems containsSemiMixedTypes="0" containsString="0" containsNumber="1" minValue="0" maxValue="195.61344537815128"/>
    </cacheField>
    <cacheField name="procurement_cost_(€)" numFmtId="2">
      <sharedItems containsSemiMixedTypes="0" containsString="0" containsNumber="1" minValue="-3.375" maxValue="13704.0167"/>
    </cacheField>
    <cacheField name="ptofit_(€)" numFmtId="2">
      <sharedItems containsSemiMixedTypes="0" containsString="0" containsNumber="1" minValue="-13668.20157394958" maxValue="172.65081092436975"/>
    </cacheField>
    <cacheField name="profit_(ct/kWh)" numFmtId="2">
      <sharedItems containsMixedTypes="1" containsNumber="1" minValue="-1151.0054061624651" maxValue="34.179029884143006"/>
    </cacheField>
    <cacheField name="contract_start_month" numFmtId="2">
      <sharedItems/>
    </cacheField>
    <cacheField name="net_revenue_(€)" numFmtId="2">
      <sharedItems containsMixedTypes="1" containsNumber="1" minValue="0" maxValue="195.61344537815128"/>
    </cacheField>
    <cacheField name="procurement_cost_(€)2" numFmtId="2">
      <sharedItems containsMixedTypes="1" containsNumber="1" minValue="-3.375" maxValue="13704.0167"/>
    </cacheField>
    <cacheField name="Profit(€)" numFmtId="2">
      <sharedItems containsMixedTypes="1" containsNumber="1" minValue="-13668.20157394958" maxValue="172.65081092436975"/>
    </cacheField>
    <cacheField name="Profit(ct/kWh)" numFmtId="2">
      <sharedItems containsMixedTypes="1" containsNumber="1" minValue="-1151.0054061624651" maxValue="34.179029884143006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Nirmal Dahad" refreshedDate="46216.385837615744" backgroundQuery="1" createdVersion="8" refreshedVersion="8" minRefreshableVersion="3" recordCount="0" supportSubquery="1" supportAdvancedDrill="1" xr:uid="{B40B7D28-1181-44DF-B336-19A9F5DC0F7B}">
  <cacheSource type="external" connectionId="1"/>
  <cacheFields count="2">
    <cacheField name="[Q4_Q5_Table].[contract_start_month].[contract_start_month]" caption="contract_start_month" numFmtId="0" hierarchy="12" level="1">
      <sharedItems count="12">
        <s v="April"/>
        <s v="August"/>
        <s v="December"/>
        <s v="February"/>
        <s v="January"/>
        <s v="July"/>
        <s v="June"/>
        <s v="March"/>
        <s v="May"/>
        <s v="November"/>
        <s v="October"/>
        <s v="September"/>
      </sharedItems>
    </cacheField>
    <cacheField name="[Measures].[Average of Profit(€)]" caption="Average of Profit(€)" numFmtId="0" hierarchy="16" level="32767"/>
  </cacheFields>
  <cacheHierarchies count="17">
    <cacheHierarchy uniqueName="[Q4_Q5_Table].[customer_id]" caption="customer_id" attribute="1" defaultMemberUniqueName="[Q4_Q5_Table].[customer_id].[All]" allUniqueName="[Q4_Q5_Table].[customer_id].[All]" dimensionUniqueName="[Q4_Q5_Table]" displayFolder="" count="0" memberValueDatatype="130" unbalanced="0"/>
    <cacheHierarchy uniqueName="[Q4_Q5_Table].[contract_duration_months]" caption="contract_duration_months" attribute="1" defaultMemberUniqueName="[Q4_Q5_Table].[contract_duration_months].[All]" allUniqueName="[Q4_Q5_Table].[contract_duration_months].[All]" dimensionUniqueName="[Q4_Q5_Table]" displayFolder="" count="0" memberValueDatatype="20" unbalanced="0"/>
    <cacheHierarchy uniqueName="[Q4_Q5_Table].[consumption_tier]" caption="consumption_tier" attribute="1" defaultMemberUniqueName="[Q4_Q5_Table].[consumption_tier].[All]" allUniqueName="[Q4_Q5_Table].[consumption_tier].[All]" dimensionUniqueName="[Q4_Q5_Table]" displayFolder="" count="0" memberValueDatatype="130" unbalanced="0"/>
    <cacheHierarchy uniqueName="[Q4_Q5_Table].[acquisition_channel]" caption="acquisition_channel" attribute="1" defaultMemberUniqueName="[Q4_Q5_Table].[acquisition_channel].[All]" allUniqueName="[Q4_Q5_Table].[acquisition_channel].[All]" dimensionUniqueName="[Q4_Q5_Table]" displayFolder="" count="0" memberValueDatatype="130" unbalanced="0"/>
    <cacheHierarchy uniqueName="[Q4_Q5_Table].[contract_start_date]" caption="contract_start_date" attribute="1" defaultMemberUniqueName="[Q4_Q5_Table].[contract_start_date].[All]" allUniqueName="[Q4_Q5_Table].[contract_start_date].[All]" dimensionUniqueName="[Q4_Q5_Table]" displayFolder="" count="0" memberValueDatatype="130" unbalanced="0"/>
    <cacheHierarchy uniqueName="[Q4_Q5_Table].[monthly_consumption_kwh]" caption="monthly_consumption_kwh" attribute="1" defaultMemberUniqueName="[Q4_Q5_Table].[monthly_consumption_kwh].[All]" allUniqueName="[Q4_Q5_Table].[monthly_consumption_kwh].[All]" dimensionUniqueName="[Q4_Q5_Table]" displayFolder="" count="0" memberValueDatatype="20" unbalanced="0"/>
    <cacheHierarchy uniqueName="[Q4_Q5_Table].[BRUTTO_monthly_bill_eur]" caption="BRUTTO_monthly_bill_eur" attribute="1" defaultMemberUniqueName="[Q4_Q5_Table].[BRUTTO_monthly_bill_eur].[All]" allUniqueName="[Q4_Q5_Table].[BRUTTO_monthly_bill_eur].[All]" dimensionUniqueName="[Q4_Q5_Table]" displayFolder="" count="0" memberValueDatatype="5" unbalanced="0"/>
    <cacheHierarchy uniqueName="[Q4_Q5_Table].[NETTO_procurement_cost_ct_per_kwh]" caption="NETTO_procurement_cost_ct_per_kwh" attribute="1" defaultMemberUniqueName="[Q4_Q5_Table].[NETTO_procurement_cost_ct_per_kwh].[All]" allUniqueName="[Q4_Q5_Table].[NETTO_procurement_cost_ct_per_kwh].[All]" dimensionUniqueName="[Q4_Q5_Table]" displayFolder="" count="0" memberValueDatatype="5" unbalanced="0"/>
    <cacheHierarchy uniqueName="[Q4_Q5_Table].[net_revenue_(€)]" caption="net_revenue_(€)" attribute="1" defaultMemberUniqueName="[Q4_Q5_Table].[net_revenue_(€)].[All]" allUniqueName="[Q4_Q5_Table].[net_revenue_(€)].[All]" dimensionUniqueName="[Q4_Q5_Table]" displayFolder="" count="0" memberValueDatatype="5" unbalanced="0"/>
    <cacheHierarchy uniqueName="[Q4_Q5_Table].[procurement_cost_(€)]" caption="procurement_cost_(€)" attribute="1" defaultMemberUniqueName="[Q4_Q5_Table].[procurement_cost_(€)].[All]" allUniqueName="[Q4_Q5_Table].[procurement_cost_(€)].[All]" dimensionUniqueName="[Q4_Q5_Table]" displayFolder="" count="0" memberValueDatatype="5" unbalanced="0"/>
    <cacheHierarchy uniqueName="[Q4_Q5_Table].[Profit(€)]" caption="Profit(€)" attribute="1" defaultMemberUniqueName="[Q4_Q5_Table].[Profit(€)].[All]" allUniqueName="[Q4_Q5_Table].[Profit(€)].[All]" dimensionUniqueName="[Q4_Q5_Table]" displayFolder="" count="0" memberValueDatatype="5" unbalanced="0"/>
    <cacheHierarchy uniqueName="[Q4_Q5_Table].[Profit(ct/kWh)]" caption="Profit(ct/kWh)" attribute="1" defaultMemberUniqueName="[Q4_Q5_Table].[Profit(ct/kWh)].[All]" allUniqueName="[Q4_Q5_Table].[Profit(ct/kWh)].[All]" dimensionUniqueName="[Q4_Q5_Table]" displayFolder="" count="0" memberValueDatatype="130" unbalanced="0"/>
    <cacheHierarchy uniqueName="[Q4_Q5_Table].[contract_start_month]" caption="contract_start_month" attribute="1" defaultMemberUniqueName="[Q4_Q5_Table].[contract_start_month].[All]" allUniqueName="[Q4_Q5_Table].[contract_start_month].[All]" dimensionUniqueName="[Q4_Q5_Table]" displayFolder="" count="2" memberValueDatatype="130" unbalanced="0">
      <fieldsUsage count="2">
        <fieldUsage x="-1"/>
        <fieldUsage x="0"/>
      </fieldsUsage>
    </cacheHierarchy>
    <cacheHierarchy uniqueName="[Measures].[__XL_Count Q4_Q5_Table]" caption="__XL_Count Q4_Q5_Table" measure="1" displayFolder="" measureGroup="Q4_Q5_Table" count="0" hidden="1"/>
    <cacheHierarchy uniqueName="[Measures].[__No measures defined]" caption="__No measures defined" measure="1" displayFolder="" count="0" hidden="1"/>
    <cacheHierarchy uniqueName="[Measures].[Sum of Profit(€)]" caption="Sum of Profit(€)" measure="1" displayFolder="" measureGroup="Q4_Q5_Table" count="0" hidden="1">
      <extLst>
        <ext xmlns:x15="http://schemas.microsoft.com/office/spreadsheetml/2010/11/main" uri="{B97F6D7D-B522-45F9-BDA1-12C45D357490}">
          <x15:cacheHierarchy aggregatedColumn="10"/>
        </ext>
      </extLst>
    </cacheHierarchy>
    <cacheHierarchy uniqueName="[Measures].[Average of Profit(€)]" caption="Average of Profit(€)" measure="1" displayFolder="" measureGroup="Q4_Q5_Table" count="0" oneField="1" hidden="1">
      <fieldsUsage count="1">
        <fieldUsage x="1"/>
      </fieldsUsage>
      <extLst>
        <ext xmlns:x15="http://schemas.microsoft.com/office/spreadsheetml/2010/11/main" uri="{B97F6D7D-B522-45F9-BDA1-12C45D357490}">
          <x15:cacheHierarchy aggregatedColumn="10"/>
        </ext>
      </extLst>
    </cacheHierarchy>
  </cacheHierarchies>
  <kpis count="0"/>
  <dimensions count="2">
    <dimension measure="1" name="Measures" uniqueName="[Measures]" caption="Measures"/>
    <dimension name="Q4_Q5_Table" uniqueName="[Q4_Q5_Table]" caption="Q4_Q5_Table"/>
  </dimensions>
  <measureGroups count="1">
    <measureGroup name="Q4_Q5_Table" caption="Q4_Q5_Table"/>
  </measureGroups>
  <maps count="1">
    <map measureGroup="0" dimension="1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800">
  <r>
    <x v="0"/>
    <x v="0"/>
    <x v="0"/>
    <x v="0"/>
    <x v="0"/>
    <x v="0"/>
    <n v="76.88"/>
    <n v="24.21"/>
    <n v="64.605042016806721"/>
    <n v="48.177900000000001"/>
    <n v="16.427142016806719"/>
    <x v="0"/>
  </r>
  <r>
    <x v="1"/>
    <x v="1"/>
    <x v="1"/>
    <x v="0"/>
    <x v="1"/>
    <x v="1"/>
    <n v="49.75"/>
    <n v="30.01"/>
    <n v="41.806722689075634"/>
    <n v="33.011000000000003"/>
    <n v="8.7957226890756317"/>
    <x v="1"/>
  </r>
  <r>
    <x v="2"/>
    <x v="1"/>
    <x v="0"/>
    <x v="0"/>
    <x v="2"/>
    <x v="2"/>
    <n v="85.14"/>
    <n v="22.78"/>
    <n v="71.546218487394967"/>
    <n v="46.699000000000005"/>
    <n v="24.847218487394962"/>
    <x v="2"/>
  </r>
  <r>
    <x v="3"/>
    <x v="1"/>
    <x v="0"/>
    <x v="0"/>
    <x v="3"/>
    <x v="3"/>
    <n v="84.24"/>
    <n v="25.44"/>
    <n v="70.789915966386559"/>
    <n v="57.494400000000006"/>
    <n v="13.295515966386553"/>
    <x v="3"/>
  </r>
  <r>
    <x v="4"/>
    <x v="0"/>
    <x v="0"/>
    <x v="1"/>
    <x v="4"/>
    <x v="4"/>
    <n v="70.680000000000007"/>
    <n v="24.71"/>
    <n v="59.394957983193287"/>
    <n v="43.983800000000002"/>
    <n v="15.411157983193284"/>
    <x v="4"/>
  </r>
  <r>
    <x v="5"/>
    <x v="0"/>
    <x v="0"/>
    <x v="1"/>
    <x v="5"/>
    <x v="5"/>
    <n v="94.37"/>
    <n v="25.35"/>
    <n v="79.302521008403374"/>
    <n v="64.135500000000008"/>
    <n v="15.167021008403367"/>
    <x v="5"/>
  </r>
  <r>
    <x v="6"/>
    <x v="0"/>
    <x v="2"/>
    <x v="0"/>
    <x v="6"/>
    <x v="6"/>
    <n v="118.13"/>
    <n v="20.79"/>
    <n v="99.268907563025209"/>
    <n v="74.0124"/>
    <n v="25.25650756302521"/>
    <x v="6"/>
  </r>
  <r>
    <x v="7"/>
    <x v="1"/>
    <x v="2"/>
    <x v="0"/>
    <x v="7"/>
    <x v="7"/>
    <n v="201.44"/>
    <n v="20.239999999999998"/>
    <n v="169.27731092436974"/>
    <n v="121.43999999999998"/>
    <n v="47.83731092436976"/>
    <x v="7"/>
  </r>
  <r>
    <x v="8"/>
    <x v="1"/>
    <x v="0"/>
    <x v="2"/>
    <x v="8"/>
    <x v="8"/>
    <n v="81.819999999999993"/>
    <n v="23.76"/>
    <n v="68.756302521008408"/>
    <n v="48.945600000000006"/>
    <n v="19.810702521008402"/>
    <x v="8"/>
  </r>
  <r>
    <x v="9"/>
    <x v="1"/>
    <x v="1"/>
    <x v="0"/>
    <x v="9"/>
    <x v="9"/>
    <n v="56.66"/>
    <n v="30.44"/>
    <n v="47.613445378151262"/>
    <n v="38.963200000000001"/>
    <n v="8.6502453781512614"/>
    <x v="9"/>
  </r>
  <r>
    <x v="10"/>
    <x v="0"/>
    <x v="2"/>
    <x v="1"/>
    <x v="10"/>
    <x v="10"/>
    <n v="193.85"/>
    <n v="17.3"/>
    <n v="162.89915966386556"/>
    <n v="108.471"/>
    <n v="54.428159663865557"/>
    <x v="10"/>
  </r>
  <r>
    <x v="11"/>
    <x v="1"/>
    <x v="2"/>
    <x v="0"/>
    <x v="11"/>
    <x v="11"/>
    <n v="185.06"/>
    <n v="19.87"/>
    <n v="155.51260504201682"/>
    <n v="109.285"/>
    <n v="46.227605042016819"/>
    <x v="11"/>
  </r>
  <r>
    <x v="12"/>
    <x v="1"/>
    <x v="1"/>
    <x v="0"/>
    <x v="12"/>
    <x v="9"/>
    <n v="55.34"/>
    <n v="28.72"/>
    <n v="46.504201680672274"/>
    <n v="36.761600000000001"/>
    <n v="9.7426016806722728"/>
    <x v="12"/>
  </r>
  <r>
    <x v="13"/>
    <x v="0"/>
    <x v="2"/>
    <x v="0"/>
    <x v="13"/>
    <x v="12"/>
    <n v="143.66999999999999"/>
    <n v="19.97"/>
    <n v="120.73109243697479"/>
    <n v="88.067699999999988"/>
    <n v="32.663392436974803"/>
    <x v="13"/>
  </r>
  <r>
    <x v="14"/>
    <x v="0"/>
    <x v="2"/>
    <x v="0"/>
    <x v="14"/>
    <x v="13"/>
    <n v="152.84"/>
    <n v="17.649999999999999"/>
    <n v="128.43697478991598"/>
    <n v="78.366"/>
    <n v="50.070974789915979"/>
    <x v="14"/>
  </r>
  <r>
    <x v="15"/>
    <x v="0"/>
    <x v="0"/>
    <x v="2"/>
    <x v="15"/>
    <x v="14"/>
    <n v="104.25"/>
    <n v="22.47"/>
    <n v="87.605042016806721"/>
    <n v="62.4666"/>
    <n v="25.138442016806721"/>
    <x v="15"/>
  </r>
  <r>
    <x v="16"/>
    <x v="0"/>
    <x v="0"/>
    <x v="0"/>
    <x v="16"/>
    <x v="15"/>
    <n v="129.06"/>
    <n v="22.66"/>
    <n v="108.45378151260505"/>
    <n v="75.231200000000001"/>
    <n v="33.222581512605046"/>
    <x v="16"/>
  </r>
  <r>
    <x v="17"/>
    <x v="0"/>
    <x v="0"/>
    <x v="0"/>
    <x v="17"/>
    <x v="16"/>
    <n v="109.61"/>
    <n v="22.01"/>
    <n v="92.109243697479002"/>
    <n v="60.967700000000008"/>
    <n v="31.141543697478994"/>
    <x v="17"/>
  </r>
  <r>
    <x v="18"/>
    <x v="0"/>
    <x v="1"/>
    <x v="0"/>
    <x v="18"/>
    <x v="17"/>
    <n v="58.4"/>
    <n v="30.87"/>
    <n v="49.075630252100844"/>
    <n v="40.131"/>
    <n v="8.9446302521008434"/>
    <x v="18"/>
  </r>
  <r>
    <x v="19"/>
    <x v="0"/>
    <x v="1"/>
    <x v="0"/>
    <x v="19"/>
    <x v="18"/>
    <n v="59.77"/>
    <n v="30.93"/>
    <n v="50.226890756302524"/>
    <n v="44.539200000000001"/>
    <n v="5.6876907563025227"/>
    <x v="19"/>
  </r>
  <r>
    <x v="20"/>
    <x v="1"/>
    <x v="2"/>
    <x v="0"/>
    <x v="20"/>
    <x v="19"/>
    <n v="163.32"/>
    <n v="19.07"/>
    <n v="137.24369747899161"/>
    <n v="93.061599999999999"/>
    <n v="44.182097478991608"/>
    <x v="20"/>
  </r>
  <r>
    <x v="21"/>
    <x v="0"/>
    <x v="1"/>
    <x v="0"/>
    <x v="21"/>
    <x v="20"/>
    <n v="41.01"/>
    <n v="28.65"/>
    <n v="34.462184873949582"/>
    <n v="25.212"/>
    <n v="9.250184873949582"/>
    <x v="21"/>
  </r>
  <r>
    <x v="22"/>
    <x v="0"/>
    <x v="1"/>
    <x v="1"/>
    <x v="22"/>
    <x v="17"/>
    <n v="57.83"/>
    <n v="30.33"/>
    <n v="48.596638655462186"/>
    <n v="39.428999999999995"/>
    <n v="9.1676386554621914"/>
    <x v="22"/>
  </r>
  <r>
    <x v="23"/>
    <x v="0"/>
    <x v="0"/>
    <x v="0"/>
    <x v="8"/>
    <x v="21"/>
    <n v="123.81"/>
    <n v="22.08"/>
    <n v="104.0420168067227"/>
    <n v="71.980799999999988"/>
    <n v="32.061216806722712"/>
    <x v="23"/>
  </r>
  <r>
    <x v="24"/>
    <x v="0"/>
    <x v="0"/>
    <x v="0"/>
    <x v="23"/>
    <x v="22"/>
    <n v="78.67"/>
    <n v="22.66"/>
    <n v="66.109243697479002"/>
    <n v="44.413599999999995"/>
    <n v="21.695643697479007"/>
    <x v="24"/>
  </r>
  <r>
    <x v="25"/>
    <x v="1"/>
    <x v="2"/>
    <x v="2"/>
    <x v="20"/>
    <x v="23"/>
    <n v="194.49"/>
    <n v="20.95"/>
    <n v="163.43697478991598"/>
    <n v="118.15799999999999"/>
    <n v="45.278974789915992"/>
    <x v="25"/>
  </r>
  <r>
    <x v="26"/>
    <x v="0"/>
    <x v="1"/>
    <x v="0"/>
    <x v="24"/>
    <x v="24"/>
    <n v="47.51"/>
    <n v="30.97"/>
    <n v="39.924369747899156"/>
    <n v="30.97"/>
    <n v="8.9543697478991575"/>
    <x v="26"/>
  </r>
  <r>
    <x v="27"/>
    <x v="0"/>
    <x v="1"/>
    <x v="2"/>
    <x v="25"/>
    <x v="9"/>
    <n v="53.68"/>
    <n v="29.42"/>
    <n v="45.109243697478995"/>
    <n v="37.657600000000002"/>
    <n v="7.4516436974789926"/>
    <x v="27"/>
  </r>
  <r>
    <x v="28"/>
    <x v="1"/>
    <x v="0"/>
    <x v="0"/>
    <x v="26"/>
    <x v="25"/>
    <n v="74.61"/>
    <n v="22.42"/>
    <n v="62.69747899159664"/>
    <n v="41.028600000000004"/>
    <n v="21.668878991596635"/>
    <x v="28"/>
  </r>
  <r>
    <x v="29"/>
    <x v="0"/>
    <x v="0"/>
    <x v="2"/>
    <x v="6"/>
    <x v="26"/>
    <n v="91.27"/>
    <n v="22.89"/>
    <n v="76.69747899159664"/>
    <n v="55.393799999999999"/>
    <n v="21.303678991596641"/>
    <x v="29"/>
  </r>
  <r>
    <x v="30"/>
    <x v="1"/>
    <x v="1"/>
    <x v="1"/>
    <x v="27"/>
    <x v="27"/>
    <n v="65.63"/>
    <n v="30.08"/>
    <n v="55.15126050420168"/>
    <n v="43.916799999999995"/>
    <n v="11.234460504201685"/>
    <x v="30"/>
  </r>
  <r>
    <x v="31"/>
    <x v="0"/>
    <x v="0"/>
    <x v="2"/>
    <x v="28"/>
    <x v="28"/>
    <n v="86.07"/>
    <n v="24.43"/>
    <n v="72.327731092436977"/>
    <n v="54.967500000000001"/>
    <n v="17.360231092436976"/>
    <x v="31"/>
  </r>
  <r>
    <x v="32"/>
    <x v="0"/>
    <x v="1"/>
    <x v="2"/>
    <x v="29"/>
    <x v="29"/>
    <n v="59.27"/>
    <n v="28.98"/>
    <n v="49.806722689075634"/>
    <n v="40.282200000000003"/>
    <n v="9.5245226890756314"/>
    <x v="32"/>
  </r>
  <r>
    <x v="33"/>
    <x v="1"/>
    <x v="1"/>
    <x v="0"/>
    <x v="30"/>
    <x v="30"/>
    <n v="65.48"/>
    <n v="28.23"/>
    <n v="55.025210084033617"/>
    <n v="42.344999999999999"/>
    <n v="12.680210084033618"/>
    <x v="33"/>
  </r>
  <r>
    <x v="34"/>
    <x v="1"/>
    <x v="0"/>
    <x v="2"/>
    <x v="31"/>
    <x v="31"/>
    <n v="117.03"/>
    <n v="23.56"/>
    <n v="98.34453781512606"/>
    <n v="75.627599999999987"/>
    <n v="22.716937815126073"/>
    <x v="34"/>
  </r>
  <r>
    <x v="35"/>
    <x v="1"/>
    <x v="0"/>
    <x v="0"/>
    <x v="32"/>
    <x v="8"/>
    <n v="83.4"/>
    <n v="22.94"/>
    <n v="70.084033613445385"/>
    <n v="47.256400000000006"/>
    <n v="22.827633613445379"/>
    <x v="35"/>
  </r>
  <r>
    <x v="36"/>
    <x v="0"/>
    <x v="2"/>
    <x v="0"/>
    <x v="33"/>
    <x v="32"/>
    <n v="163.56"/>
    <n v="17.600000000000001"/>
    <n v="137.44537815126051"/>
    <n v="82.016000000000005"/>
    <n v="55.429378151260508"/>
    <x v="36"/>
  </r>
  <r>
    <x v="37"/>
    <x v="0"/>
    <x v="0"/>
    <x v="0"/>
    <x v="34"/>
    <x v="33"/>
    <n v="77.569999999999993"/>
    <n v="25.84"/>
    <n v="65.184873949579824"/>
    <n v="49.6128"/>
    <n v="15.572073949579824"/>
    <x v="37"/>
  </r>
  <r>
    <x v="38"/>
    <x v="1"/>
    <x v="0"/>
    <x v="0"/>
    <x v="35"/>
    <x v="15"/>
    <n v="124.14"/>
    <n v="24.47"/>
    <n v="104.31932773109244"/>
    <n v="81.240399999999994"/>
    <n v="23.078927731092449"/>
    <x v="38"/>
  </r>
  <r>
    <x v="39"/>
    <x v="0"/>
    <x v="0"/>
    <x v="0"/>
    <x v="36"/>
    <x v="31"/>
    <n v="118.63"/>
    <n v="24.23"/>
    <n v="99.689075630252105"/>
    <n v="77.778300000000002"/>
    <n v="21.910775630252104"/>
    <x v="39"/>
  </r>
  <r>
    <x v="40"/>
    <x v="0"/>
    <x v="1"/>
    <x v="1"/>
    <x v="37"/>
    <x v="9"/>
    <n v="60.82"/>
    <n v="29.66"/>
    <n v="51.109243697478995"/>
    <n v="37.964799999999997"/>
    <n v="13.144443697478998"/>
    <x v="40"/>
  </r>
  <r>
    <x v="41"/>
    <x v="0"/>
    <x v="0"/>
    <x v="0"/>
    <x v="38"/>
    <x v="34"/>
    <n v="113.98"/>
    <n v="23.72"/>
    <n v="95.781512605042025"/>
    <n v="72.820400000000006"/>
    <n v="22.961112605042018"/>
    <x v="41"/>
  </r>
  <r>
    <x v="42"/>
    <x v="0"/>
    <x v="1"/>
    <x v="1"/>
    <x v="39"/>
    <x v="35"/>
    <n v="55.56"/>
    <n v="30.16"/>
    <n v="46.689075630252105"/>
    <n v="38.303200000000004"/>
    <n v="8.3858756302521016"/>
    <x v="42"/>
  </r>
  <r>
    <x v="43"/>
    <x v="1"/>
    <x v="2"/>
    <x v="2"/>
    <x v="40"/>
    <x v="36"/>
    <n v="182.74"/>
    <n v="19.98"/>
    <n v="153.56302521008405"/>
    <n v="108.09180000000001"/>
    <n v="45.471225210084043"/>
    <x v="43"/>
  </r>
  <r>
    <x v="44"/>
    <x v="0"/>
    <x v="1"/>
    <x v="0"/>
    <x v="41"/>
    <x v="37"/>
    <n v="41.86"/>
    <n v="30.81"/>
    <n v="35.176470588235297"/>
    <n v="27.728999999999999"/>
    <n v="7.4474705882352978"/>
    <x v="44"/>
  </r>
  <r>
    <x v="45"/>
    <x v="1"/>
    <x v="0"/>
    <x v="0"/>
    <x v="42"/>
    <x v="38"/>
    <n v="109.79"/>
    <n v="22.69"/>
    <n v="92.260504201680675"/>
    <n v="66.254800000000003"/>
    <n v="26.005704201680672"/>
    <x v="45"/>
  </r>
  <r>
    <x v="46"/>
    <x v="0"/>
    <x v="1"/>
    <x v="0"/>
    <x v="43"/>
    <x v="39"/>
    <n v="46.35"/>
    <n v="30"/>
    <n v="38.949579831932773"/>
    <n v="28.2"/>
    <n v="10.749579831932774"/>
    <x v="46"/>
  </r>
  <r>
    <x v="47"/>
    <x v="0"/>
    <x v="2"/>
    <x v="0"/>
    <x v="44"/>
    <x v="40"/>
    <n v="199.96"/>
    <n v="18.559999999999999"/>
    <n v="168.03361344537817"/>
    <n v="113.03039999999999"/>
    <n v="55.003213445378179"/>
    <x v="47"/>
  </r>
  <r>
    <x v="48"/>
    <x v="0"/>
    <x v="0"/>
    <x v="0"/>
    <x v="45"/>
    <x v="41"/>
    <n v="115.75"/>
    <n v="25.48"/>
    <n v="97.268907563025209"/>
    <n v="75.675600000000003"/>
    <n v="21.593307563025206"/>
    <x v="48"/>
  </r>
  <r>
    <x v="49"/>
    <x v="0"/>
    <x v="0"/>
    <x v="0"/>
    <x v="13"/>
    <x v="42"/>
    <n v="101.84"/>
    <n v="24.53"/>
    <n v="85.579831932773118"/>
    <n v="69.910499999999999"/>
    <n v="15.669331932773119"/>
    <x v="49"/>
  </r>
  <r>
    <x v="50"/>
    <x v="1"/>
    <x v="1"/>
    <x v="0"/>
    <x v="46"/>
    <x v="43"/>
    <n v="45.72"/>
    <n v="30.13"/>
    <n v="38.420168067226889"/>
    <n v="25.911799999999999"/>
    <n v="12.50836806722689"/>
    <x v="50"/>
  </r>
  <r>
    <x v="51"/>
    <x v="1"/>
    <x v="0"/>
    <x v="2"/>
    <x v="28"/>
    <x v="44"/>
    <n v="86.51"/>
    <n v="22.46"/>
    <n v="72.69747899159664"/>
    <n v="48.738200000000006"/>
    <n v="23.959278991596634"/>
    <x v="51"/>
  </r>
  <r>
    <x v="52"/>
    <x v="1"/>
    <x v="1"/>
    <x v="1"/>
    <x v="20"/>
    <x v="45"/>
    <n v="51.32"/>
    <n v="30.42"/>
    <n v="43.12605042016807"/>
    <n v="31.941000000000003"/>
    <n v="11.185050420168068"/>
    <x v="52"/>
  </r>
  <r>
    <x v="53"/>
    <x v="1"/>
    <x v="2"/>
    <x v="0"/>
    <x v="47"/>
    <x v="46"/>
    <n v="155.02000000000001"/>
    <n v="17.09"/>
    <n v="130.26890756302524"/>
    <n v="77.417699999999996"/>
    <n v="52.851207563025241"/>
    <x v="53"/>
  </r>
  <r>
    <x v="54"/>
    <x v="1"/>
    <x v="1"/>
    <x v="1"/>
    <x v="48"/>
    <x v="37"/>
    <n v="45.15"/>
    <n v="29.35"/>
    <n v="37.941176470588239"/>
    <n v="26.414999999999999"/>
    <n v="11.52617647058824"/>
    <x v="54"/>
  </r>
  <r>
    <x v="55"/>
    <x v="1"/>
    <x v="1"/>
    <x v="0"/>
    <x v="49"/>
    <x v="47"/>
    <n v="64.41"/>
    <n v="30.57"/>
    <n v="54.12605042016807"/>
    <n v="49.523400000000002"/>
    <n v="4.602650420168068"/>
    <x v="55"/>
  </r>
  <r>
    <x v="56"/>
    <x v="0"/>
    <x v="1"/>
    <x v="0"/>
    <x v="50"/>
    <x v="17"/>
    <n v="57.15"/>
    <n v="30.77"/>
    <n v="48.025210084033617"/>
    <n v="40.000999999999998"/>
    <n v="8.0242100840336192"/>
    <x v="56"/>
  </r>
  <r>
    <x v="57"/>
    <x v="0"/>
    <x v="0"/>
    <x v="1"/>
    <x v="51"/>
    <x v="48"/>
    <n v="82.95"/>
    <n v="22.83"/>
    <n v="69.705882352941188"/>
    <n v="49.769399999999997"/>
    <n v="19.936482352941191"/>
    <x v="57"/>
  </r>
  <r>
    <x v="58"/>
    <x v="0"/>
    <x v="0"/>
    <x v="0"/>
    <x v="52"/>
    <x v="49"/>
    <n v="94.73"/>
    <n v="23.57"/>
    <n v="79.605042016806735"/>
    <n v="54.918100000000003"/>
    <n v="24.686942016806732"/>
    <x v="58"/>
  </r>
  <r>
    <x v="59"/>
    <x v="0"/>
    <x v="1"/>
    <x v="0"/>
    <x v="53"/>
    <x v="50"/>
    <n v="58.21"/>
    <n v="31.58"/>
    <n v="48.915966386554622"/>
    <n v="38.211799999999997"/>
    <n v="10.704166386554625"/>
    <x v="59"/>
  </r>
  <r>
    <x v="60"/>
    <x v="0"/>
    <x v="2"/>
    <x v="2"/>
    <x v="54"/>
    <x v="51"/>
    <n v="173.65"/>
    <n v="17.52"/>
    <n v="145.92436974789916"/>
    <n v="93.55680000000001"/>
    <n v="52.367569747899154"/>
    <x v="60"/>
  </r>
  <r>
    <x v="61"/>
    <x v="0"/>
    <x v="0"/>
    <x v="2"/>
    <x v="55"/>
    <x v="5"/>
    <n v="94.91"/>
    <n v="26.03"/>
    <n v="79.756302521008408"/>
    <n v="65.855900000000005"/>
    <n v="13.900402521008402"/>
    <x v="61"/>
  </r>
  <r>
    <x v="62"/>
    <x v="1"/>
    <x v="0"/>
    <x v="1"/>
    <x v="3"/>
    <x v="52"/>
    <n v="121.29"/>
    <n v="23.68"/>
    <n v="101.92436974789916"/>
    <n v="75.77600000000001"/>
    <n v="26.148369747899153"/>
    <x v="62"/>
  </r>
  <r>
    <x v="63"/>
    <x v="0"/>
    <x v="0"/>
    <x v="1"/>
    <x v="56"/>
    <x v="53"/>
    <n v="92.05"/>
    <n v="24.07"/>
    <n v="77.352941176470594"/>
    <n v="60.174999999999997"/>
    <n v="17.177941176470597"/>
    <x v="63"/>
  </r>
  <r>
    <x v="64"/>
    <x v="0"/>
    <x v="0"/>
    <x v="1"/>
    <x v="57"/>
    <x v="15"/>
    <n v="125.87"/>
    <n v="25.17"/>
    <n v="105.77310924369749"/>
    <n v="83.564400000000006"/>
    <n v="22.208709243697484"/>
    <x v="64"/>
  </r>
  <r>
    <x v="65"/>
    <x v="0"/>
    <x v="0"/>
    <x v="0"/>
    <x v="58"/>
    <x v="54"/>
    <n v="110.9"/>
    <n v="22.28"/>
    <n v="93.193277310924373"/>
    <n v="68.622400000000013"/>
    <n v="24.570877310924359"/>
    <x v="65"/>
  </r>
  <r>
    <x v="66"/>
    <x v="0"/>
    <x v="1"/>
    <x v="0"/>
    <x v="59"/>
    <x v="24"/>
    <n v="45.15"/>
    <n v="29.9"/>
    <n v="37.941176470588239"/>
    <n v="29.9"/>
    <n v="8.0411764705882405"/>
    <x v="66"/>
  </r>
  <r>
    <x v="67"/>
    <x v="1"/>
    <x v="1"/>
    <x v="0"/>
    <x v="60"/>
    <x v="55"/>
    <n v="69.569999999999993"/>
    <n v="30.24"/>
    <n v="58.462184873949575"/>
    <n v="48.686399999999992"/>
    <n v="9.7757848739495827"/>
    <x v="67"/>
  </r>
  <r>
    <x v="68"/>
    <x v="0"/>
    <x v="2"/>
    <x v="0"/>
    <x v="61"/>
    <x v="56"/>
    <n v="129.72999999999999"/>
    <n v="19.64"/>
    <n v="109.01680672268907"/>
    <n v="73.0608"/>
    <n v="35.956006722689068"/>
    <x v="68"/>
  </r>
  <r>
    <x v="69"/>
    <x v="1"/>
    <x v="2"/>
    <x v="0"/>
    <x v="62"/>
    <x v="57"/>
    <n v="212"/>
    <n v="19.940000000000001"/>
    <n v="178.1512605042017"/>
    <n v="120.83640000000001"/>
    <n v="57.31486050420169"/>
    <x v="69"/>
  </r>
  <r>
    <x v="70"/>
    <x v="1"/>
    <x v="0"/>
    <x v="0"/>
    <x v="63"/>
    <x v="58"/>
    <n v="87.96"/>
    <n v="23.01"/>
    <n v="73.915966386554615"/>
    <n v="52.923000000000002"/>
    <n v="20.992966386554613"/>
    <x v="70"/>
  </r>
  <r>
    <x v="71"/>
    <x v="0"/>
    <x v="1"/>
    <x v="2"/>
    <x v="9"/>
    <x v="59"/>
    <n v="66.150000000000006"/>
    <n v="28.04"/>
    <n v="55.588235294117652"/>
    <n v="44.022799999999997"/>
    <n v="11.565435294117655"/>
    <x v="71"/>
  </r>
  <r>
    <x v="72"/>
    <x v="0"/>
    <x v="0"/>
    <x v="2"/>
    <x v="64"/>
    <x v="60"/>
    <n v="115.16"/>
    <n v="24.89"/>
    <n v="96.773109243697476"/>
    <n v="77.407899999999998"/>
    <n v="19.365209243697478"/>
    <x v="72"/>
  </r>
  <r>
    <x v="73"/>
    <x v="1"/>
    <x v="0"/>
    <x v="1"/>
    <x v="65"/>
    <x v="61"/>
    <n v="113.78"/>
    <n v="24.14"/>
    <n v="95.613445378151269"/>
    <n v="72.6614"/>
    <n v="22.952045378151269"/>
    <x v="73"/>
  </r>
  <r>
    <x v="74"/>
    <x v="1"/>
    <x v="1"/>
    <x v="0"/>
    <x v="66"/>
    <x v="62"/>
    <n v="64.37"/>
    <n v="31.34"/>
    <n v="54.092436974789919"/>
    <n v="46.696599999999997"/>
    <n v="7.3958369747899226"/>
    <x v="74"/>
  </r>
  <r>
    <x v="75"/>
    <x v="1"/>
    <x v="1"/>
    <x v="2"/>
    <x v="67"/>
    <x v="63"/>
    <n v="51"/>
    <n v="31.29"/>
    <n v="42.857142857142861"/>
    <n v="34.106099999999998"/>
    <n v="8.7510428571428633"/>
    <x v="75"/>
  </r>
  <r>
    <x v="76"/>
    <x v="1"/>
    <x v="0"/>
    <x v="0"/>
    <x v="68"/>
    <x v="64"/>
    <n v="73.11"/>
    <n v="25.37"/>
    <n v="61.436974789915972"/>
    <n v="45.666000000000004"/>
    <n v="15.770974789915968"/>
    <x v="76"/>
  </r>
  <r>
    <x v="77"/>
    <x v="0"/>
    <x v="0"/>
    <x v="1"/>
    <x v="69"/>
    <x v="65"/>
    <n v="88.9"/>
    <n v="23.94"/>
    <n v="74.705882352941188"/>
    <n v="56.019599999999997"/>
    <n v="18.686282352941191"/>
    <x v="77"/>
  </r>
  <r>
    <x v="78"/>
    <x v="0"/>
    <x v="1"/>
    <x v="0"/>
    <x v="70"/>
    <x v="66"/>
    <n v="46.45"/>
    <n v="29.33"/>
    <n v="39.033613445378158"/>
    <n v="28.743399999999998"/>
    <n v="10.290213445378161"/>
    <x v="78"/>
  </r>
  <r>
    <x v="79"/>
    <x v="0"/>
    <x v="1"/>
    <x v="1"/>
    <x v="71"/>
    <x v="67"/>
    <n v="61.71"/>
    <n v="33.17"/>
    <n v="51.857142857142861"/>
    <n v="46.7697"/>
    <n v="5.0874428571428609"/>
    <x v="79"/>
  </r>
  <r>
    <x v="80"/>
    <x v="1"/>
    <x v="1"/>
    <x v="0"/>
    <x v="72"/>
    <x v="68"/>
    <n v="50.62"/>
    <n v="29.81"/>
    <n v="42.537815126050418"/>
    <n v="33.3872"/>
    <n v="9.1506151260504183"/>
    <x v="80"/>
  </r>
  <r>
    <x v="81"/>
    <x v="1"/>
    <x v="0"/>
    <x v="2"/>
    <x v="73"/>
    <x v="69"/>
    <n v="120.21"/>
    <n v="22.73"/>
    <n v="101.01680672268907"/>
    <n v="74.781700000000001"/>
    <n v="26.235106722689068"/>
    <x v="81"/>
  </r>
  <r>
    <x v="82"/>
    <x v="0"/>
    <x v="1"/>
    <x v="2"/>
    <x v="74"/>
    <x v="70"/>
    <n v="61.97"/>
    <n v="31.42"/>
    <n v="52.075630252100844"/>
    <n v="43.045400000000001"/>
    <n v="9.0302302521008428"/>
    <x v="82"/>
  </r>
  <r>
    <x v="83"/>
    <x v="0"/>
    <x v="1"/>
    <x v="0"/>
    <x v="75"/>
    <x v="71"/>
    <n v="65.11"/>
    <n v="31.53"/>
    <n v="54.714285714285715"/>
    <n v="47.925600000000003"/>
    <n v="6.7886857142857124"/>
    <x v="83"/>
  </r>
  <r>
    <x v="84"/>
    <x v="0"/>
    <x v="2"/>
    <x v="0"/>
    <x v="5"/>
    <x v="72"/>
    <n v="123.01"/>
    <n v="18.829999999999998"/>
    <n v="103.36974789915968"/>
    <n v="70.989099999999993"/>
    <n v="32.380647899159683"/>
    <x v="84"/>
  </r>
  <r>
    <x v="85"/>
    <x v="0"/>
    <x v="1"/>
    <x v="2"/>
    <x v="76"/>
    <x v="73"/>
    <n v="65.83"/>
    <n v="28.3"/>
    <n v="55.319327731092436"/>
    <n v="43.865000000000002"/>
    <n v="11.454327731092434"/>
    <x v="85"/>
  </r>
  <r>
    <x v="86"/>
    <x v="1"/>
    <x v="0"/>
    <x v="0"/>
    <x v="77"/>
    <x v="52"/>
    <n v="115.52"/>
    <n v="23.55"/>
    <n v="97.075630252100837"/>
    <n v="75.36"/>
    <n v="21.715630252100837"/>
    <x v="86"/>
  </r>
  <r>
    <x v="87"/>
    <x v="1"/>
    <x v="1"/>
    <x v="2"/>
    <x v="78"/>
    <x v="74"/>
    <n v="56.75"/>
    <n v="31.21"/>
    <n v="47.689075630252105"/>
    <n v="38.700400000000002"/>
    <n v="8.9886756302521036"/>
    <x v="87"/>
  </r>
  <r>
    <x v="88"/>
    <x v="1"/>
    <x v="1"/>
    <x v="1"/>
    <x v="79"/>
    <x v="75"/>
    <n v="58.32"/>
    <n v="31.61"/>
    <n v="49.008403361344541"/>
    <n v="42.357399999999998"/>
    <n v="6.651003361344543"/>
    <x v="88"/>
  </r>
  <r>
    <x v="89"/>
    <x v="0"/>
    <x v="1"/>
    <x v="0"/>
    <x v="80"/>
    <x v="76"/>
    <n v="62.08"/>
    <n v="28.81"/>
    <n v="52.168067226890756"/>
    <n v="42.350699999999996"/>
    <n v="9.8173672268907595"/>
    <x v="89"/>
  </r>
  <r>
    <x v="90"/>
    <x v="0"/>
    <x v="0"/>
    <x v="0"/>
    <x v="60"/>
    <x v="22"/>
    <n v="77.959999999999994"/>
    <n v="22.27"/>
    <n v="65.512605042016801"/>
    <n v="43.6492"/>
    <n v="21.863405042016801"/>
    <x v="90"/>
  </r>
  <r>
    <x v="91"/>
    <x v="1"/>
    <x v="2"/>
    <x v="0"/>
    <x v="81"/>
    <x v="77"/>
    <n v="164.88"/>
    <n v="20.89"/>
    <n v="138.55462184873949"/>
    <n v="104.65889999999999"/>
    <n v="33.895721848739498"/>
    <x v="91"/>
  </r>
  <r>
    <x v="92"/>
    <x v="1"/>
    <x v="2"/>
    <x v="1"/>
    <x v="82"/>
    <x v="32"/>
    <n v="159.11000000000001"/>
    <n v="18.45"/>
    <n v="133.70588235294119"/>
    <n v="85.97699999999999"/>
    <n v="47.728882352941199"/>
    <x v="92"/>
  </r>
  <r>
    <x v="93"/>
    <x v="1"/>
    <x v="0"/>
    <x v="0"/>
    <x v="83"/>
    <x v="78"/>
    <n v="78.48"/>
    <n v="26.17"/>
    <n v="65.94957983193278"/>
    <n v="49.984700000000004"/>
    <n v="15.964879831932777"/>
    <x v="93"/>
  </r>
  <r>
    <x v="94"/>
    <x v="1"/>
    <x v="0"/>
    <x v="0"/>
    <x v="84"/>
    <x v="79"/>
    <n v="87.33"/>
    <n v="25.87"/>
    <n v="73.386554621848745"/>
    <n v="58.983600000000003"/>
    <n v="14.402954621848743"/>
    <x v="94"/>
  </r>
  <r>
    <x v="95"/>
    <x v="0"/>
    <x v="1"/>
    <x v="0"/>
    <x v="85"/>
    <x v="80"/>
    <n v="40.93"/>
    <n v="28.27"/>
    <n v="34.394957983193279"/>
    <n v="25.160299999999996"/>
    <n v="9.2346579831932836"/>
    <x v="95"/>
  </r>
  <r>
    <x v="96"/>
    <x v="0"/>
    <x v="1"/>
    <x v="1"/>
    <x v="86"/>
    <x v="81"/>
    <n v="38.65"/>
    <n v="30.59"/>
    <n v="32.478991596638657"/>
    <n v="26.0015"/>
    <n v="6.4774915966386573"/>
    <x v="96"/>
  </r>
  <r>
    <x v="97"/>
    <x v="0"/>
    <x v="2"/>
    <x v="2"/>
    <x v="87"/>
    <x v="82"/>
    <n v="122.25"/>
    <n v="18.87"/>
    <n v="102.73109243697479"/>
    <n v="71.328600000000009"/>
    <n v="31.402492436974782"/>
    <x v="97"/>
  </r>
  <r>
    <x v="98"/>
    <x v="0"/>
    <x v="1"/>
    <x v="2"/>
    <x v="22"/>
    <x v="83"/>
    <n v="66.08"/>
    <n v="31.5"/>
    <n v="55.529411764705884"/>
    <n v="51.66"/>
    <n v="3.8694117647058874"/>
    <x v="98"/>
  </r>
  <r>
    <x v="99"/>
    <x v="0"/>
    <x v="1"/>
    <x v="0"/>
    <x v="8"/>
    <x v="84"/>
    <n v="57.02"/>
    <n v="31.22"/>
    <n v="47.915966386554629"/>
    <n v="40.273799999999994"/>
    <n v="7.642166386554635"/>
    <x v="99"/>
  </r>
  <r>
    <x v="100"/>
    <x v="0"/>
    <x v="1"/>
    <x v="2"/>
    <x v="88"/>
    <x v="83"/>
    <n v="67.91"/>
    <n v="29.73"/>
    <n v="57.067226890756302"/>
    <n v="48.757200000000005"/>
    <n v="8.3100268907562977"/>
    <x v="100"/>
  </r>
  <r>
    <x v="101"/>
    <x v="1"/>
    <x v="1"/>
    <x v="1"/>
    <x v="89"/>
    <x v="85"/>
    <n v="53.4"/>
    <n v="31.99"/>
    <n v="44.873949579831937"/>
    <n v="38.068100000000001"/>
    <n v="6.8058495798319356"/>
    <x v="101"/>
  </r>
  <r>
    <x v="101"/>
    <x v="0"/>
    <x v="1"/>
    <x v="1"/>
    <x v="90"/>
    <x v="63"/>
    <n v="48.62"/>
    <n v="30.24"/>
    <n v="40.857142857142854"/>
    <n v="32.961599999999997"/>
    <n v="7.895542857142857"/>
    <x v="102"/>
  </r>
  <r>
    <x v="102"/>
    <x v="0"/>
    <x v="0"/>
    <x v="2"/>
    <x v="91"/>
    <x v="86"/>
    <n v="91.69"/>
    <n v="23.28"/>
    <n v="77.050420168067234"/>
    <n v="58.432800000000007"/>
    <n v="18.617620168067226"/>
    <x v="103"/>
  </r>
  <r>
    <x v="103"/>
    <x v="1"/>
    <x v="0"/>
    <x v="0"/>
    <x v="92"/>
    <x v="87"/>
    <n v="93.58"/>
    <n v="22.88"/>
    <n v="78.638655462184872"/>
    <n v="54.911999999999999"/>
    <n v="23.726655462184873"/>
    <x v="104"/>
  </r>
  <r>
    <x v="104"/>
    <x v="0"/>
    <x v="2"/>
    <x v="0"/>
    <x v="93"/>
    <x v="88"/>
    <n v="126.39"/>
    <n v="18.25"/>
    <n v="106.21008403361346"/>
    <n v="67.16"/>
    <n v="39.050084033613459"/>
    <x v="105"/>
  </r>
  <r>
    <x v="105"/>
    <x v="0"/>
    <x v="2"/>
    <x v="2"/>
    <x v="94"/>
    <x v="89"/>
    <n v="192.47"/>
    <n v="18.36"/>
    <n v="161.73949579831933"/>
    <n v="100.42919999999999"/>
    <n v="61.310295798319331"/>
    <x v="106"/>
  </r>
  <r>
    <x v="106"/>
    <x v="1"/>
    <x v="1"/>
    <x v="0"/>
    <x v="95"/>
    <x v="90"/>
    <n v="44.36"/>
    <n v="28.27"/>
    <n v="37.27731092436975"/>
    <n v="28.552700000000002"/>
    <n v="8.7246109243697489"/>
    <x v="107"/>
  </r>
  <r>
    <x v="107"/>
    <x v="0"/>
    <x v="1"/>
    <x v="2"/>
    <x v="53"/>
    <x v="91"/>
    <n v="62.33"/>
    <n v="29.48"/>
    <n v="52.378151260504204"/>
    <n v="39.798000000000002"/>
    <n v="12.580151260504202"/>
    <x v="108"/>
  </r>
  <r>
    <x v="108"/>
    <x v="0"/>
    <x v="0"/>
    <x v="2"/>
    <x v="23"/>
    <x v="92"/>
    <n v="104.48"/>
    <n v="23.86"/>
    <n v="87.798319327731093"/>
    <n v="65.614999999999995"/>
    <n v="22.183319327731098"/>
    <x v="109"/>
  </r>
  <r>
    <x v="109"/>
    <x v="0"/>
    <x v="0"/>
    <x v="0"/>
    <x v="0"/>
    <x v="33"/>
    <n v="78.209999999999994"/>
    <n v="24.89"/>
    <n v="65.722689075630257"/>
    <n v="47.788800000000002"/>
    <n v="17.933889075630255"/>
    <x v="110"/>
  </r>
  <r>
    <x v="110"/>
    <x v="0"/>
    <x v="1"/>
    <x v="2"/>
    <x v="38"/>
    <x v="20"/>
    <n v="43.12"/>
    <n v="30.63"/>
    <n v="36.235294117647058"/>
    <n v="26.9544"/>
    <n v="9.2808941176470583"/>
    <x v="111"/>
  </r>
  <r>
    <x v="111"/>
    <x v="1"/>
    <x v="0"/>
    <x v="0"/>
    <x v="96"/>
    <x v="41"/>
    <n v="108.11"/>
    <n v="24.84"/>
    <n v="90.848739495798327"/>
    <n v="73.774799999999999"/>
    <n v="17.073939495798328"/>
    <x v="112"/>
  </r>
  <r>
    <x v="112"/>
    <x v="1"/>
    <x v="0"/>
    <x v="0"/>
    <x v="97"/>
    <x v="93"/>
    <n v="89.4"/>
    <n v="24.03"/>
    <n v="75.12605042016807"/>
    <n v="58.392899999999997"/>
    <n v="16.733150420168073"/>
    <x v="113"/>
  </r>
  <r>
    <x v="113"/>
    <x v="1"/>
    <x v="0"/>
    <x v="1"/>
    <x v="47"/>
    <x v="94"/>
    <n v="70.86"/>
    <n v="22.87"/>
    <n v="59.54621848739496"/>
    <n v="40.479900000000001"/>
    <n v="19.066318487394959"/>
    <x v="114"/>
  </r>
  <r>
    <x v="114"/>
    <x v="1"/>
    <x v="0"/>
    <x v="2"/>
    <x v="98"/>
    <x v="15"/>
    <n v="124.62"/>
    <n v="24.65"/>
    <n v="104.72268907563026"/>
    <n v="81.837999999999994"/>
    <n v="22.884689075630263"/>
    <x v="115"/>
  </r>
  <r>
    <x v="115"/>
    <x v="1"/>
    <x v="1"/>
    <x v="0"/>
    <x v="77"/>
    <x v="20"/>
    <n v="43.24"/>
    <n v="29.94"/>
    <n v="36.336134453781519"/>
    <n v="26.347200000000001"/>
    <n v="9.9889344537815177"/>
    <x v="116"/>
  </r>
  <r>
    <x v="116"/>
    <x v="0"/>
    <x v="2"/>
    <x v="0"/>
    <x v="99"/>
    <x v="95"/>
    <n v="184.25"/>
    <n v="18.53"/>
    <n v="154.83193277310926"/>
    <n v="104.69450000000001"/>
    <n v="50.137432773109254"/>
    <x v="117"/>
  </r>
  <r>
    <x v="117"/>
    <x v="1"/>
    <x v="2"/>
    <x v="1"/>
    <x v="100"/>
    <x v="96"/>
    <n v="213.32"/>
    <n v="20.52"/>
    <n v="179.26050420168067"/>
    <n v="135.8424"/>
    <n v="43.418104201680677"/>
    <x v="118"/>
  </r>
  <r>
    <x v="118"/>
    <x v="0"/>
    <x v="1"/>
    <x v="1"/>
    <x v="101"/>
    <x v="97"/>
    <n v="48.12"/>
    <n v="31.09"/>
    <n v="40.436974789915965"/>
    <n v="32.0227"/>
    <n v="8.4142747899159644"/>
    <x v="119"/>
  </r>
  <r>
    <x v="119"/>
    <x v="1"/>
    <x v="2"/>
    <x v="1"/>
    <x v="102"/>
    <x v="98"/>
    <n v="131.24"/>
    <n v="19.239999999999998"/>
    <n v="110.28571428571429"/>
    <n v="73.111999999999995"/>
    <n v="37.173714285714297"/>
    <x v="120"/>
  </r>
  <r>
    <x v="120"/>
    <x v="1"/>
    <x v="0"/>
    <x v="0"/>
    <x v="103"/>
    <x v="99"/>
    <n v="76.66"/>
    <n v="22.27"/>
    <n v="64.420168067226896"/>
    <n v="41.6449"/>
    <n v="22.775268067226897"/>
    <x v="121"/>
  </r>
  <r>
    <x v="121"/>
    <x v="0"/>
    <x v="2"/>
    <x v="0"/>
    <x v="101"/>
    <x v="100"/>
    <n v="149.79"/>
    <n v="20.329999999999998"/>
    <n v="125.87394957983193"/>
    <n v="88.232199999999992"/>
    <n v="37.641749579831938"/>
    <x v="122"/>
  </r>
  <r>
    <x v="122"/>
    <x v="0"/>
    <x v="2"/>
    <x v="0"/>
    <x v="104"/>
    <x v="101"/>
    <n v="132.4"/>
    <n v="19.420000000000002"/>
    <n v="111.26050420168069"/>
    <n v="71.2714"/>
    <n v="39.989104201680689"/>
    <x v="123"/>
  </r>
  <r>
    <x v="123"/>
    <x v="0"/>
    <x v="0"/>
    <x v="2"/>
    <x v="105"/>
    <x v="102"/>
    <n v="106.64"/>
    <n v="27.13"/>
    <n v="89.613445378151269"/>
    <n v="76.506599999999992"/>
    <n v="13.106845378151277"/>
    <x v="124"/>
  </r>
  <r>
    <x v="124"/>
    <x v="0"/>
    <x v="1"/>
    <x v="0"/>
    <x v="106"/>
    <x v="20"/>
    <n v="42.26"/>
    <n v="31.01"/>
    <n v="35.512605042016808"/>
    <n v="27.288800000000002"/>
    <n v="8.2238050420168065"/>
    <x v="125"/>
  </r>
  <r>
    <x v="125"/>
    <x v="1"/>
    <x v="1"/>
    <x v="0"/>
    <x v="107"/>
    <x v="103"/>
    <n v="56.7"/>
    <n v="33.21"/>
    <n v="47.647058823529413"/>
    <n v="41.8446"/>
    <n v="5.8024588235294132"/>
    <x v="126"/>
  </r>
  <r>
    <x v="126"/>
    <x v="1"/>
    <x v="0"/>
    <x v="2"/>
    <x v="108"/>
    <x v="15"/>
    <n v="128.66999999999999"/>
    <n v="24.07"/>
    <n v="108.12605042016806"/>
    <n v="79.912399999999991"/>
    <n v="28.213650420168065"/>
    <x v="127"/>
  </r>
  <r>
    <x v="127"/>
    <x v="0"/>
    <x v="0"/>
    <x v="0"/>
    <x v="109"/>
    <x v="104"/>
    <n v="111.53"/>
    <n v="22.56"/>
    <n v="93.722689075630257"/>
    <n v="68.131199999999993"/>
    <n v="25.591489075630264"/>
    <x v="128"/>
  </r>
  <r>
    <x v="128"/>
    <x v="0"/>
    <x v="1"/>
    <x v="2"/>
    <x v="110"/>
    <x v="91"/>
    <n v="58.78"/>
    <n v="30.68"/>
    <n v="49.394957983193279"/>
    <n v="41.417999999999999"/>
    <n v="7.9769579831932802"/>
    <x v="129"/>
  </r>
  <r>
    <x v="129"/>
    <x v="0"/>
    <x v="1"/>
    <x v="1"/>
    <x v="111"/>
    <x v="63"/>
    <n v="48.82"/>
    <n v="32.479999999999997"/>
    <n v="41.025210084033617"/>
    <n v="35.403199999999998"/>
    <n v="5.6220100840336187"/>
    <x v="130"/>
  </r>
  <r>
    <x v="130"/>
    <x v="0"/>
    <x v="2"/>
    <x v="2"/>
    <x v="112"/>
    <x v="36"/>
    <n v="173.18"/>
    <n v="20.21"/>
    <n v="145.52941176470588"/>
    <n v="109.3361"/>
    <n v="36.193311764705882"/>
    <x v="131"/>
  </r>
  <r>
    <x v="131"/>
    <x v="0"/>
    <x v="2"/>
    <x v="0"/>
    <x v="0"/>
    <x v="105"/>
    <n v="174.55"/>
    <n v="17.350000000000001"/>
    <n v="146.68067226890759"/>
    <n v="88.311500000000009"/>
    <n v="58.369172268907576"/>
    <x v="132"/>
  </r>
  <r>
    <x v="132"/>
    <x v="0"/>
    <x v="0"/>
    <x v="0"/>
    <x v="113"/>
    <x v="106"/>
    <n v="91.97"/>
    <n v="22.78"/>
    <n v="77.285714285714292"/>
    <n v="54.2164"/>
    <n v="23.069314285714292"/>
    <x v="133"/>
  </r>
  <r>
    <x v="133"/>
    <x v="1"/>
    <x v="1"/>
    <x v="1"/>
    <x v="114"/>
    <x v="39"/>
    <n v="45.16"/>
    <n v="31.56"/>
    <n v="37.949579831932773"/>
    <n v="29.666399999999999"/>
    <n v="8.2831798319327739"/>
    <x v="134"/>
  </r>
  <r>
    <x v="134"/>
    <x v="0"/>
    <x v="1"/>
    <x v="2"/>
    <x v="115"/>
    <x v="107"/>
    <n v="63.77"/>
    <n v="31"/>
    <n v="53.588235294117652"/>
    <n v="48.98"/>
    <n v="4.6082352941176552"/>
    <x v="135"/>
  </r>
  <r>
    <x v="135"/>
    <x v="0"/>
    <x v="1"/>
    <x v="1"/>
    <x v="116"/>
    <x v="50"/>
    <n v="57.25"/>
    <n v="31.63"/>
    <n v="48.109243697478995"/>
    <n v="38.272300000000001"/>
    <n v="9.8369436974789934"/>
    <x v="136"/>
  </r>
  <r>
    <x v="135"/>
    <x v="1"/>
    <x v="2"/>
    <x v="0"/>
    <x v="117"/>
    <x v="108"/>
    <n v="135.22999999999999"/>
    <n v="20.29"/>
    <n v="113.63865546218487"/>
    <n v="80.754199999999997"/>
    <n v="32.884455462184874"/>
    <x v="137"/>
  </r>
  <r>
    <x v="136"/>
    <x v="0"/>
    <x v="1"/>
    <x v="1"/>
    <x v="37"/>
    <x v="109"/>
    <n v="53.81"/>
    <n v="30.39"/>
    <n v="45.21848739495799"/>
    <n v="34.644599999999997"/>
    <n v="10.573887394957993"/>
    <x v="138"/>
  </r>
  <r>
    <x v="137"/>
    <x v="1"/>
    <x v="0"/>
    <x v="1"/>
    <x v="118"/>
    <x v="110"/>
    <n v="93.8"/>
    <n v="24.62"/>
    <n v="78.82352941176471"/>
    <n v="58.103200000000008"/>
    <n v="20.720329411764702"/>
    <x v="139"/>
  </r>
  <r>
    <x v="138"/>
    <x v="1"/>
    <x v="1"/>
    <x v="1"/>
    <x v="119"/>
    <x v="71"/>
    <n v="63.83"/>
    <n v="33.56"/>
    <n v="53.638655462184872"/>
    <n v="51.011200000000009"/>
    <n v="2.6274554621848623"/>
    <x v="140"/>
  </r>
  <r>
    <x v="139"/>
    <x v="0"/>
    <x v="0"/>
    <x v="1"/>
    <x v="120"/>
    <x v="111"/>
    <n v="104.03"/>
    <n v="24.32"/>
    <n v="87.420168067226896"/>
    <n v="70.284800000000004"/>
    <n v="17.135368067226892"/>
    <x v="141"/>
  </r>
  <r>
    <x v="140"/>
    <x v="0"/>
    <x v="0"/>
    <x v="2"/>
    <x v="121"/>
    <x v="112"/>
    <n v="107.47"/>
    <n v="24.53"/>
    <n v="90.310924369747909"/>
    <n v="72.363500000000002"/>
    <n v="17.947424369747907"/>
    <x v="142"/>
  </r>
  <r>
    <x v="141"/>
    <x v="0"/>
    <x v="2"/>
    <x v="1"/>
    <x v="122"/>
    <x v="113"/>
    <n v="119.39"/>
    <n v="17.28"/>
    <n v="100.32773109243698"/>
    <n v="58.233600000000003"/>
    <n v="42.094131092436974"/>
    <x v="143"/>
  </r>
  <r>
    <x v="142"/>
    <x v="0"/>
    <x v="1"/>
    <x v="0"/>
    <x v="123"/>
    <x v="114"/>
    <n v="56.5"/>
    <n v="29.9"/>
    <n v="47.478991596638657"/>
    <n v="35.281999999999996"/>
    <n v="12.196991596638661"/>
    <x v="144"/>
  </r>
  <r>
    <x v="143"/>
    <x v="0"/>
    <x v="1"/>
    <x v="0"/>
    <x v="124"/>
    <x v="115"/>
    <n v="57.97"/>
    <n v="32.869999999999997"/>
    <n v="48.714285714285715"/>
    <n v="40.430099999999996"/>
    <n v="8.2841857142857194"/>
    <x v="145"/>
  </r>
  <r>
    <x v="144"/>
    <x v="1"/>
    <x v="1"/>
    <x v="0"/>
    <x v="125"/>
    <x v="81"/>
    <n v="40.98"/>
    <n v="31.08"/>
    <n v="34.436974789915965"/>
    <n v="26.417999999999996"/>
    <n v="8.0189747899159691"/>
    <x v="146"/>
  </r>
  <r>
    <x v="145"/>
    <x v="0"/>
    <x v="2"/>
    <x v="0"/>
    <x v="75"/>
    <x v="116"/>
    <n v="141.49"/>
    <n v="17.510000000000002"/>
    <n v="118.89915966386556"/>
    <n v="73.542000000000002"/>
    <n v="45.357159663865559"/>
    <x v="147"/>
  </r>
  <r>
    <x v="146"/>
    <x v="0"/>
    <x v="2"/>
    <x v="0"/>
    <x v="126"/>
    <x v="117"/>
    <n v="199.76"/>
    <n v="18.07"/>
    <n v="167.8655462184874"/>
    <n v="106.07089999999999"/>
    <n v="61.794646218487401"/>
    <x v="148"/>
  </r>
  <r>
    <x v="147"/>
    <x v="0"/>
    <x v="0"/>
    <x v="0"/>
    <x v="127"/>
    <x v="118"/>
    <n v="78.680000000000007"/>
    <n v="22.97"/>
    <n v="66.117647058823536"/>
    <n v="43.643000000000001"/>
    <n v="22.474647058823535"/>
    <x v="149"/>
  </r>
  <r>
    <x v="148"/>
    <x v="1"/>
    <x v="0"/>
    <x v="0"/>
    <x v="68"/>
    <x v="119"/>
    <n v="94.69"/>
    <n v="22.86"/>
    <n v="79.571428571428569"/>
    <n v="58.521599999999999"/>
    <n v="21.04982857142857"/>
    <x v="150"/>
  </r>
  <r>
    <x v="149"/>
    <x v="0"/>
    <x v="0"/>
    <x v="0"/>
    <x v="128"/>
    <x v="120"/>
    <n v="73.69"/>
    <n v="23.7"/>
    <n v="61.924369747899163"/>
    <n v="48.110999999999997"/>
    <n v="13.813369747899166"/>
    <x v="151"/>
  </r>
  <r>
    <x v="150"/>
    <x v="0"/>
    <x v="1"/>
    <x v="2"/>
    <x v="129"/>
    <x v="121"/>
    <n v="41.56"/>
    <n v="31.63"/>
    <n v="34.924369747899163"/>
    <n v="26.569200000000002"/>
    <n v="8.3551697478991613"/>
    <x v="152"/>
  </r>
  <r>
    <x v="151"/>
    <x v="0"/>
    <x v="2"/>
    <x v="2"/>
    <x v="79"/>
    <x v="122"/>
    <n v="138.58000000000001"/>
    <n v="19.04"/>
    <n v="116.45378151260506"/>
    <n v="78.825599999999994"/>
    <n v="37.628181512605067"/>
    <x v="153"/>
  </r>
  <r>
    <x v="152"/>
    <x v="1"/>
    <x v="0"/>
    <x v="0"/>
    <x v="130"/>
    <x v="69"/>
    <n v="120.35"/>
    <n v="22.75"/>
    <n v="101.1344537815126"/>
    <n v="74.847499999999997"/>
    <n v="26.286953781512608"/>
    <x v="154"/>
  </r>
  <r>
    <x v="153"/>
    <x v="0"/>
    <x v="0"/>
    <x v="2"/>
    <x v="131"/>
    <x v="123"/>
    <n v="107.87"/>
    <n v="22.31"/>
    <n v="90.64705882352942"/>
    <n v="66.930000000000007"/>
    <n v="23.717058823529413"/>
    <x v="155"/>
  </r>
  <r>
    <x v="154"/>
    <x v="1"/>
    <x v="0"/>
    <x v="0"/>
    <x v="132"/>
    <x v="21"/>
    <n v="122.35"/>
    <n v="24.78"/>
    <n v="102.81512605042016"/>
    <n v="80.782800000000009"/>
    <n v="22.032326050420153"/>
    <x v="156"/>
  </r>
  <r>
    <x v="155"/>
    <x v="1"/>
    <x v="1"/>
    <x v="0"/>
    <x v="133"/>
    <x v="74"/>
    <n v="57.62"/>
    <n v="29.53"/>
    <n v="48.420168067226889"/>
    <n v="36.617200000000004"/>
    <n v="11.802968067226885"/>
    <x v="157"/>
  </r>
  <r>
    <x v="156"/>
    <x v="0"/>
    <x v="1"/>
    <x v="0"/>
    <x v="134"/>
    <x v="124"/>
    <n v="44.28"/>
    <n v="31.29"/>
    <n v="37.210084033613448"/>
    <n v="28.786799999999999"/>
    <n v="8.4232840336134487"/>
    <x v="158"/>
  </r>
  <r>
    <x v="157"/>
    <x v="1"/>
    <x v="0"/>
    <x v="0"/>
    <x v="135"/>
    <x v="125"/>
    <n v="101.2"/>
    <n v="24.64"/>
    <n v="85.0420168067227"/>
    <n v="63.571199999999997"/>
    <n v="21.470816806722702"/>
    <x v="159"/>
  </r>
  <r>
    <x v="158"/>
    <x v="0"/>
    <x v="1"/>
    <x v="1"/>
    <x v="136"/>
    <x v="50"/>
    <n v="54.72"/>
    <n v="31.18"/>
    <n v="45.983193277310924"/>
    <n v="37.727799999999995"/>
    <n v="8.2553932773109295"/>
    <x v="160"/>
  </r>
  <r>
    <x v="159"/>
    <x v="1"/>
    <x v="0"/>
    <x v="1"/>
    <x v="88"/>
    <x v="34"/>
    <n v="110.15"/>
    <n v="23.09"/>
    <n v="92.563025210084049"/>
    <n v="70.886300000000006"/>
    <n v="21.676725210084044"/>
    <x v="161"/>
  </r>
  <r>
    <x v="160"/>
    <x v="1"/>
    <x v="1"/>
    <x v="0"/>
    <x v="137"/>
    <x v="126"/>
    <n v="43.09"/>
    <n v="30.77"/>
    <n v="36.210084033613448"/>
    <n v="28.000700000000002"/>
    <n v="8.2093840336134463"/>
    <x v="162"/>
  </r>
  <r>
    <x v="161"/>
    <x v="0"/>
    <x v="0"/>
    <x v="0"/>
    <x v="138"/>
    <x v="127"/>
    <n v="94.65"/>
    <n v="23.06"/>
    <n v="79.537815126050432"/>
    <n v="57.188800000000001"/>
    <n v="22.349015126050432"/>
    <x v="163"/>
  </r>
  <r>
    <x v="162"/>
    <x v="0"/>
    <x v="1"/>
    <x v="0"/>
    <x v="139"/>
    <x v="128"/>
    <n v="45.74"/>
    <n v="31.76"/>
    <n v="38.436974789915972"/>
    <n v="30.489599999999999"/>
    <n v="7.9473747899159726"/>
    <x v="164"/>
  </r>
  <r>
    <x v="163"/>
    <x v="1"/>
    <x v="0"/>
    <x v="0"/>
    <x v="18"/>
    <x v="129"/>
    <n v="84.59"/>
    <n v="24.55"/>
    <n v="71.084033613445385"/>
    <n v="54.255500000000005"/>
    <n v="16.82853361344538"/>
    <x v="165"/>
  </r>
  <r>
    <x v="164"/>
    <x v="0"/>
    <x v="0"/>
    <x v="0"/>
    <x v="140"/>
    <x v="111"/>
    <n v="107.87"/>
    <n v="23.3"/>
    <n v="90.64705882352942"/>
    <n v="67.337000000000003"/>
    <n v="23.310058823529417"/>
    <x v="166"/>
  </r>
  <r>
    <x v="165"/>
    <x v="0"/>
    <x v="1"/>
    <x v="0"/>
    <x v="141"/>
    <x v="115"/>
    <n v="54.32"/>
    <n v="29.08"/>
    <n v="45.647058823529413"/>
    <n v="35.7684"/>
    <n v="9.8786588235294133"/>
    <x v="167"/>
  </r>
  <r>
    <x v="166"/>
    <x v="0"/>
    <x v="0"/>
    <x v="2"/>
    <x v="142"/>
    <x v="130"/>
    <n v="88.99"/>
    <n v="22.76"/>
    <n v="74.78151260504201"/>
    <n v="52.120399999999997"/>
    <n v="22.661112605042014"/>
    <x v="168"/>
  </r>
  <r>
    <x v="166"/>
    <x v="1"/>
    <x v="0"/>
    <x v="2"/>
    <x v="63"/>
    <x v="131"/>
    <n v="87.06"/>
    <n v="24.78"/>
    <n v="73.159663865546221"/>
    <n v="57.489600000000003"/>
    <n v="15.670063865546219"/>
    <x v="169"/>
  </r>
  <r>
    <x v="167"/>
    <x v="1"/>
    <x v="0"/>
    <x v="0"/>
    <x v="143"/>
    <x v="93"/>
    <n v="91.49"/>
    <n v="22.87"/>
    <n v="76.882352941176464"/>
    <n v="55.574100000000001"/>
    <n v="21.308252941176463"/>
    <x v="170"/>
  </r>
  <r>
    <x v="168"/>
    <x v="0"/>
    <x v="2"/>
    <x v="2"/>
    <x v="9"/>
    <x v="132"/>
    <n v="208.29"/>
    <n v="19.48"/>
    <n v="175.03361344537817"/>
    <n v="115.90600000000001"/>
    <n v="59.127613445378159"/>
    <x v="171"/>
  </r>
  <r>
    <x v="169"/>
    <x v="0"/>
    <x v="0"/>
    <x v="0"/>
    <x v="144"/>
    <x v="133"/>
    <n v="116.37"/>
    <n v="23.06"/>
    <n v="97.789915966386559"/>
    <n v="72.638999999999996"/>
    <n v="25.150915966386563"/>
    <x v="172"/>
  </r>
  <r>
    <x v="170"/>
    <x v="0"/>
    <x v="1"/>
    <x v="0"/>
    <x v="141"/>
    <x v="134"/>
    <n v="70.37"/>
    <n v="30.65"/>
    <n v="59.134453781512612"/>
    <n v="49.959499999999998"/>
    <n v="9.1749537815126132"/>
    <x v="173"/>
  </r>
  <r>
    <x v="171"/>
    <x v="1"/>
    <x v="1"/>
    <x v="0"/>
    <x v="145"/>
    <x v="62"/>
    <n v="65.05"/>
    <n v="31.26"/>
    <n v="54.663865546218489"/>
    <n v="46.577399999999997"/>
    <n v="8.0864655462184913"/>
    <x v="174"/>
  </r>
  <r>
    <x v="172"/>
    <x v="0"/>
    <x v="1"/>
    <x v="1"/>
    <x v="146"/>
    <x v="1"/>
    <n v="52.03"/>
    <n v="31.11"/>
    <n v="43.722689075630257"/>
    <n v="34.220999999999997"/>
    <n v="9.5016890756302601"/>
    <x v="175"/>
  </r>
  <r>
    <x v="173"/>
    <x v="1"/>
    <x v="0"/>
    <x v="2"/>
    <x v="147"/>
    <x v="135"/>
    <n v="106.31"/>
    <n v="25.04"/>
    <n v="89.336134453781511"/>
    <n v="70.362399999999994"/>
    <n v="18.973734453781518"/>
    <x v="176"/>
  </r>
  <r>
    <x v="174"/>
    <x v="0"/>
    <x v="1"/>
    <x v="1"/>
    <x v="148"/>
    <x v="136"/>
    <n v="53.89"/>
    <n v="30.75"/>
    <n v="45.285714285714285"/>
    <n v="36.9"/>
    <n v="8.3857142857142861"/>
    <x v="177"/>
  </r>
  <r>
    <x v="175"/>
    <x v="1"/>
    <x v="0"/>
    <x v="0"/>
    <x v="149"/>
    <x v="137"/>
    <n v="79.209999999999994"/>
    <n v="22.35"/>
    <n v="66.563025210084035"/>
    <n v="46.711500000000008"/>
    <n v="19.851525210084027"/>
    <x v="178"/>
  </r>
  <r>
    <x v="176"/>
    <x v="0"/>
    <x v="0"/>
    <x v="1"/>
    <x v="150"/>
    <x v="34"/>
    <n v="109.75"/>
    <n v="24.8"/>
    <n v="92.226890756302524"/>
    <n v="76.13600000000001"/>
    <n v="16.090890756302514"/>
    <x v="179"/>
  </r>
  <r>
    <x v="177"/>
    <x v="0"/>
    <x v="1"/>
    <x v="0"/>
    <x v="151"/>
    <x v="43"/>
    <n v="44.14"/>
    <n v="29.47"/>
    <n v="37.092436974789919"/>
    <n v="25.344200000000001"/>
    <n v="11.748236974789918"/>
    <x v="180"/>
  </r>
  <r>
    <x v="178"/>
    <x v="0"/>
    <x v="2"/>
    <x v="2"/>
    <x v="152"/>
    <x v="138"/>
    <n v="210.82"/>
    <n v="18.66"/>
    <n v="177.15966386554621"/>
    <n v="118.3044"/>
    <n v="58.855263865546206"/>
    <x v="181"/>
  </r>
  <r>
    <x v="179"/>
    <x v="1"/>
    <x v="1"/>
    <x v="0"/>
    <x v="151"/>
    <x v="139"/>
    <n v="56.23"/>
    <n v="28.12"/>
    <n v="47.252100840336134"/>
    <n v="34.306400000000004"/>
    <n v="12.94570084033613"/>
    <x v="182"/>
  </r>
  <r>
    <x v="180"/>
    <x v="1"/>
    <x v="1"/>
    <x v="0"/>
    <x v="153"/>
    <x v="140"/>
    <n v="60.54"/>
    <n v="29.04"/>
    <n v="50.873949579831937"/>
    <n v="39.494399999999999"/>
    <n v="11.379549579831938"/>
    <x v="183"/>
  </r>
  <r>
    <x v="181"/>
    <x v="0"/>
    <x v="0"/>
    <x v="1"/>
    <x v="154"/>
    <x v="141"/>
    <n v="100.65"/>
    <n v="22.13"/>
    <n v="84.579831932773118"/>
    <n v="61.078800000000001"/>
    <n v="23.501031932773117"/>
    <x v="184"/>
  </r>
  <r>
    <x v="182"/>
    <x v="1"/>
    <x v="0"/>
    <x v="1"/>
    <x v="155"/>
    <x v="142"/>
    <n v="118.78"/>
    <n v="25.52"/>
    <n v="99.815126050420176"/>
    <n v="80.643199999999993"/>
    <n v="19.171926050420183"/>
    <x v="185"/>
  </r>
  <r>
    <x v="183"/>
    <x v="1"/>
    <x v="0"/>
    <x v="0"/>
    <x v="29"/>
    <x v="143"/>
    <n v="101.83"/>
    <n v="22.97"/>
    <n v="85.571428571428569"/>
    <n v="62.708099999999995"/>
    <n v="22.863328571428575"/>
    <x v="186"/>
  </r>
  <r>
    <x v="184"/>
    <x v="1"/>
    <x v="0"/>
    <x v="1"/>
    <x v="156"/>
    <x v="144"/>
    <n v="104.34"/>
    <n v="24.23"/>
    <n v="87.680672268907571"/>
    <n v="65.178699999999992"/>
    <n v="22.501972268907579"/>
    <x v="187"/>
  </r>
  <r>
    <x v="185"/>
    <x v="0"/>
    <x v="1"/>
    <x v="0"/>
    <x v="157"/>
    <x v="80"/>
    <n v="44.72"/>
    <n v="28.16"/>
    <n v="37.579831932773111"/>
    <n v="25.062400000000004"/>
    <n v="12.517431932773107"/>
    <x v="188"/>
  </r>
  <r>
    <x v="186"/>
    <x v="0"/>
    <x v="2"/>
    <x v="1"/>
    <x v="158"/>
    <x v="145"/>
    <n v="173.39"/>
    <n v="19.829999999999998"/>
    <n v="145.70588235294116"/>
    <n v="100.3398"/>
    <n v="45.366082352941163"/>
    <x v="189"/>
  </r>
  <r>
    <x v="187"/>
    <x v="0"/>
    <x v="2"/>
    <x v="2"/>
    <x v="159"/>
    <x v="146"/>
    <n v="136.19"/>
    <n v="18.12"/>
    <n v="114.44537815126051"/>
    <n v="69.399600000000007"/>
    <n v="45.045778151260507"/>
    <x v="190"/>
  </r>
  <r>
    <x v="188"/>
    <x v="1"/>
    <x v="0"/>
    <x v="2"/>
    <x v="160"/>
    <x v="111"/>
    <n v="114.25"/>
    <n v="25.59"/>
    <n v="96.008403361344548"/>
    <n v="73.955100000000002"/>
    <n v="22.053303361344547"/>
    <x v="191"/>
  </r>
  <r>
    <x v="189"/>
    <x v="1"/>
    <x v="1"/>
    <x v="1"/>
    <x v="161"/>
    <x v="103"/>
    <n v="55.38"/>
    <n v="31.55"/>
    <n v="46.537815126050425"/>
    <n v="39.753"/>
    <n v="6.7848151260504252"/>
    <x v="192"/>
  </r>
  <r>
    <x v="190"/>
    <x v="1"/>
    <x v="0"/>
    <x v="0"/>
    <x v="162"/>
    <x v="147"/>
    <n v="109.83"/>
    <n v="23.3"/>
    <n v="92.294117647058826"/>
    <n v="65.239999999999995"/>
    <n v="27.054117647058831"/>
    <x v="193"/>
  </r>
  <r>
    <x v="191"/>
    <x v="0"/>
    <x v="0"/>
    <x v="0"/>
    <x v="163"/>
    <x v="148"/>
    <n v="68.53"/>
    <n v="25.6"/>
    <n v="57.588235294117652"/>
    <n v="44.544000000000004"/>
    <n v="13.044235294117648"/>
    <x v="194"/>
  </r>
  <r>
    <x v="192"/>
    <x v="0"/>
    <x v="1"/>
    <x v="1"/>
    <x v="164"/>
    <x v="37"/>
    <n v="44.41"/>
    <n v="31.98"/>
    <n v="37.319327731092436"/>
    <n v="28.781999999999996"/>
    <n v="8.5373277310924394"/>
    <x v="195"/>
  </r>
  <r>
    <x v="193"/>
    <x v="1"/>
    <x v="2"/>
    <x v="0"/>
    <x v="165"/>
    <x v="149"/>
    <n v="180.9"/>
    <n v="20.63"/>
    <n v="152.0168067226891"/>
    <n v="118.00359999999999"/>
    <n v="34.013206722689105"/>
    <x v="196"/>
  </r>
  <r>
    <x v="194"/>
    <x v="1"/>
    <x v="1"/>
    <x v="0"/>
    <x v="166"/>
    <x v="80"/>
    <n v="41.67"/>
    <n v="31.38"/>
    <n v="35.016806722689076"/>
    <n v="27.928199999999997"/>
    <n v="7.0886067226890788"/>
    <x v="197"/>
  </r>
  <r>
    <x v="195"/>
    <x v="1"/>
    <x v="2"/>
    <x v="0"/>
    <x v="167"/>
    <x v="150"/>
    <n v="125.19"/>
    <n v="17.75"/>
    <n v="105.20168067226891"/>
    <n v="63.3675"/>
    <n v="41.834180672268907"/>
    <x v="198"/>
  </r>
  <r>
    <x v="196"/>
    <x v="1"/>
    <x v="0"/>
    <x v="0"/>
    <x v="40"/>
    <x v="151"/>
    <n v="70.38"/>
    <n v="24.31"/>
    <n v="59.142857142857139"/>
    <n v="41.083899999999993"/>
    <n v="18.058957142857146"/>
    <x v="199"/>
  </r>
  <r>
    <x v="197"/>
    <x v="1"/>
    <x v="1"/>
    <x v="1"/>
    <x v="154"/>
    <x v="134"/>
    <n v="70.760000000000005"/>
    <n v="28.27"/>
    <n v="59.462184873949589"/>
    <n v="46.080100000000002"/>
    <n v="13.382084873949587"/>
    <x v="200"/>
  </r>
  <r>
    <x v="198"/>
    <x v="0"/>
    <x v="0"/>
    <x v="0"/>
    <x v="19"/>
    <x v="111"/>
    <n v="105.06"/>
    <n v="22.38"/>
    <n v="88.285714285714292"/>
    <n v="64.678200000000004"/>
    <n v="23.607514285714288"/>
    <x v="201"/>
  </r>
  <r>
    <x v="199"/>
    <x v="0"/>
    <x v="2"/>
    <x v="1"/>
    <x v="168"/>
    <x v="152"/>
    <n v="147.12"/>
    <n v="21.49"/>
    <n v="123.63025210084035"/>
    <n v="96.919899999999998"/>
    <n v="26.710352100840353"/>
    <x v="202"/>
  </r>
  <r>
    <x v="200"/>
    <x v="1"/>
    <x v="0"/>
    <x v="0"/>
    <x v="8"/>
    <x v="153"/>
    <n v="88.04"/>
    <n v="23.31"/>
    <n v="73.983193277310932"/>
    <n v="50.349600000000002"/>
    <n v="23.633593277310929"/>
    <x v="203"/>
  </r>
  <r>
    <x v="201"/>
    <x v="1"/>
    <x v="2"/>
    <x v="0"/>
    <x v="169"/>
    <x v="154"/>
    <n v="149.19"/>
    <n v="20.239999999999998"/>
    <n v="125.36974789915966"/>
    <n v="91.08"/>
    <n v="34.289747899159664"/>
    <x v="204"/>
  </r>
  <r>
    <x v="202"/>
    <x v="0"/>
    <x v="0"/>
    <x v="0"/>
    <x v="147"/>
    <x v="155"/>
    <n v="108.22"/>
    <n v="25.23"/>
    <n v="90.941176470588232"/>
    <n v="74.680800000000005"/>
    <n v="16.260376470588227"/>
    <x v="205"/>
  </r>
  <r>
    <x v="203"/>
    <x v="0"/>
    <x v="0"/>
    <x v="0"/>
    <x v="170"/>
    <x v="16"/>
    <n v="106.31"/>
    <n v="25.43"/>
    <n v="89.336134453781511"/>
    <n v="70.441099999999992"/>
    <n v="18.89503445378152"/>
    <x v="206"/>
  </r>
  <r>
    <x v="204"/>
    <x v="1"/>
    <x v="2"/>
    <x v="0"/>
    <x v="171"/>
    <x v="156"/>
    <n v="138.65"/>
    <n v="21.49"/>
    <n v="116.51260504201682"/>
    <n v="84.885499999999993"/>
    <n v="31.627105042016822"/>
    <x v="207"/>
  </r>
  <r>
    <x v="205"/>
    <x v="0"/>
    <x v="1"/>
    <x v="1"/>
    <x v="172"/>
    <x v="66"/>
    <n v="43.21"/>
    <n v="28.97"/>
    <n v="36.310924369747902"/>
    <n v="28.390599999999999"/>
    <n v="7.9203243697479024"/>
    <x v="208"/>
  </r>
  <r>
    <x v="206"/>
    <x v="0"/>
    <x v="0"/>
    <x v="0"/>
    <x v="173"/>
    <x v="25"/>
    <n v="69.739999999999995"/>
    <n v="22.16"/>
    <n v="58.605042016806721"/>
    <n v="40.552800000000005"/>
    <n v="18.052242016806716"/>
    <x v="209"/>
  </r>
  <r>
    <x v="207"/>
    <x v="0"/>
    <x v="1"/>
    <x v="2"/>
    <x v="162"/>
    <x v="157"/>
    <n v="56.98"/>
    <n v="29.64"/>
    <n v="47.882352941176471"/>
    <n v="40.903199999999998"/>
    <n v="6.9791529411764728"/>
    <x v="210"/>
  </r>
  <r>
    <x v="208"/>
    <x v="1"/>
    <x v="2"/>
    <x v="0"/>
    <x v="174"/>
    <x v="158"/>
    <n v="200.23"/>
    <n v="17.149999999999999"/>
    <n v="168.26050420168067"/>
    <n v="100.84199999999998"/>
    <n v="67.41850420168069"/>
    <x v="211"/>
  </r>
  <r>
    <x v="209"/>
    <x v="1"/>
    <x v="2"/>
    <x v="0"/>
    <x v="175"/>
    <x v="159"/>
    <n v="145.63999999999999"/>
    <n v="16.61"/>
    <n v="122.38655462184873"/>
    <n v="70.094200000000001"/>
    <n v="52.29235462184873"/>
    <x v="212"/>
  </r>
  <r>
    <x v="210"/>
    <x v="0"/>
    <x v="1"/>
    <x v="1"/>
    <x v="11"/>
    <x v="81"/>
    <n v="41.5"/>
    <n v="29.44"/>
    <n v="34.873949579831937"/>
    <n v="25.024000000000001"/>
    <n v="9.8499495798319359"/>
    <x v="213"/>
  </r>
  <r>
    <x v="211"/>
    <x v="1"/>
    <x v="0"/>
    <x v="0"/>
    <x v="176"/>
    <x v="160"/>
    <n v="72.59"/>
    <n v="25.13"/>
    <n v="61.000000000000007"/>
    <n v="45.485299999999995"/>
    <n v="15.514700000000012"/>
    <x v="214"/>
  </r>
  <r>
    <x v="212"/>
    <x v="0"/>
    <x v="2"/>
    <x v="0"/>
    <x v="177"/>
    <x v="161"/>
    <n v="221.09"/>
    <n v="21.33"/>
    <n v="185.78991596638656"/>
    <n v="139.9248"/>
    <n v="45.865115966386554"/>
    <x v="215"/>
  </r>
  <r>
    <x v="213"/>
    <x v="0"/>
    <x v="1"/>
    <x v="0"/>
    <x v="153"/>
    <x v="162"/>
    <n v="45.8"/>
    <n v="29.25"/>
    <n v="38.487394957983192"/>
    <n v="31.59"/>
    <n v="6.8973949579831917"/>
    <x v="216"/>
  </r>
  <r>
    <x v="214"/>
    <x v="1"/>
    <x v="0"/>
    <x v="0"/>
    <x v="148"/>
    <x v="112"/>
    <n v="110.97"/>
    <n v="26.62"/>
    <n v="93.252100840336141"/>
    <n v="78.529000000000011"/>
    <n v="14.72310084033613"/>
    <x v="217"/>
  </r>
  <r>
    <x v="215"/>
    <x v="1"/>
    <x v="2"/>
    <x v="2"/>
    <x v="178"/>
    <x v="163"/>
    <n v="186.65"/>
    <n v="19.66"/>
    <n v="156.84873949579833"/>
    <n v="106.55719999999999"/>
    <n v="50.291539495798332"/>
    <x v="218"/>
  </r>
  <r>
    <x v="216"/>
    <x v="1"/>
    <x v="1"/>
    <x v="0"/>
    <x v="179"/>
    <x v="164"/>
    <n v="52.99"/>
    <n v="28.06"/>
    <n v="44.529411764705884"/>
    <n v="32.268999999999998"/>
    <n v="12.260411764705886"/>
    <x v="219"/>
  </r>
  <r>
    <x v="217"/>
    <x v="1"/>
    <x v="0"/>
    <x v="1"/>
    <x v="65"/>
    <x v="165"/>
    <n v="79.510000000000005"/>
    <n v="25.06"/>
    <n v="66.815126050420176"/>
    <n v="50.370599999999996"/>
    <n v="16.44452605042018"/>
    <x v="220"/>
  </r>
  <r>
    <x v="218"/>
    <x v="1"/>
    <x v="1"/>
    <x v="2"/>
    <x v="142"/>
    <x v="166"/>
    <n v="44.69"/>
    <n v="30.49"/>
    <n v="37.554621848739494"/>
    <n v="28.355699999999999"/>
    <n v="9.198921848739495"/>
    <x v="221"/>
  </r>
  <r>
    <x v="219"/>
    <x v="0"/>
    <x v="2"/>
    <x v="0"/>
    <x v="180"/>
    <x v="167"/>
    <n v="188.26"/>
    <n v="22.31"/>
    <n v="158.20168067226891"/>
    <n v="120.02779999999998"/>
    <n v="38.173880672268922"/>
    <x v="222"/>
  </r>
  <r>
    <x v="220"/>
    <x v="0"/>
    <x v="2"/>
    <x v="2"/>
    <x v="58"/>
    <x v="168"/>
    <n v="202.57"/>
    <n v="16.690000000000001"/>
    <n v="170.22689075630251"/>
    <n v="98.804800000000014"/>
    <n v="71.422090756302495"/>
    <x v="223"/>
  </r>
  <r>
    <x v="221"/>
    <x v="0"/>
    <x v="2"/>
    <x v="0"/>
    <x v="181"/>
    <x v="169"/>
    <n v="185.16"/>
    <n v="20.69"/>
    <n v="155.59663865546219"/>
    <n v="113.38120000000001"/>
    <n v="42.215438655462179"/>
    <x v="224"/>
  </r>
  <r>
    <x v="222"/>
    <x v="0"/>
    <x v="0"/>
    <x v="2"/>
    <x v="182"/>
    <x v="170"/>
    <n v="99.09"/>
    <n v="24.48"/>
    <n v="83.268907563025223"/>
    <n v="62.424000000000007"/>
    <n v="20.844907563025217"/>
    <x v="225"/>
  </r>
  <r>
    <x v="223"/>
    <x v="1"/>
    <x v="2"/>
    <x v="0"/>
    <x v="75"/>
    <x v="171"/>
    <n v="118.49"/>
    <n v="20.82"/>
    <n v="99.571428571428569"/>
    <n v="-3.1230000000000002"/>
    <n v="102.69442857142857"/>
    <x v="226"/>
  </r>
  <r>
    <x v="224"/>
    <x v="0"/>
    <x v="2"/>
    <x v="1"/>
    <x v="183"/>
    <x v="161"/>
    <n v="216.17"/>
    <n v="19.62"/>
    <n v="181.65546218487395"/>
    <n v="128.7072"/>
    <n v="52.948262184873954"/>
    <x v="227"/>
  </r>
  <r>
    <x v="225"/>
    <x v="1"/>
    <x v="1"/>
    <x v="0"/>
    <x v="184"/>
    <x v="30"/>
    <n v="65.48"/>
    <n v="31.46"/>
    <n v="55.025210084033617"/>
    <n v="47.19"/>
    <n v="7.8352100840336192"/>
    <x v="228"/>
  </r>
  <r>
    <x v="226"/>
    <x v="1"/>
    <x v="2"/>
    <x v="0"/>
    <x v="127"/>
    <x v="172"/>
    <n v="141.19"/>
    <n v="19.43"/>
    <n v="118.64705882352942"/>
    <n v="83.743300000000005"/>
    <n v="34.903758823529415"/>
    <x v="229"/>
  </r>
  <r>
    <x v="227"/>
    <x v="1"/>
    <x v="1"/>
    <x v="1"/>
    <x v="185"/>
    <x v="173"/>
    <n v="70.19"/>
    <n v="32.32"/>
    <n v="58.983193277310924"/>
    <n v="53.328000000000003"/>
    <n v="5.6551932773109215"/>
    <x v="230"/>
  </r>
  <r>
    <x v="228"/>
    <x v="0"/>
    <x v="0"/>
    <x v="1"/>
    <x v="186"/>
    <x v="174"/>
    <n v="101.53"/>
    <n v="27.96"/>
    <n v="85.319327731092443"/>
    <n v="74.653200000000012"/>
    <n v="10.666127731092431"/>
    <x v="231"/>
  </r>
  <r>
    <x v="229"/>
    <x v="1"/>
    <x v="1"/>
    <x v="0"/>
    <x v="154"/>
    <x v="175"/>
    <n v="57.85"/>
    <n v="31.03"/>
    <n v="48.613445378151262"/>
    <n v="40.959600000000002"/>
    <n v="7.6538453781512601"/>
    <x v="232"/>
  </r>
  <r>
    <x v="230"/>
    <x v="0"/>
    <x v="1"/>
    <x v="0"/>
    <x v="187"/>
    <x v="27"/>
    <n v="65.69"/>
    <n v="29.77"/>
    <n v="55.201680672268907"/>
    <n v="43.464199999999998"/>
    <n v="11.737480672268909"/>
    <x v="233"/>
  </r>
  <r>
    <x v="231"/>
    <x v="0"/>
    <x v="1"/>
    <x v="1"/>
    <x v="188"/>
    <x v="176"/>
    <n v="60.81"/>
    <n v="30.83"/>
    <n v="51.100840336134461"/>
    <n v="46.5533"/>
    <n v="4.5475403361344604"/>
    <x v="234"/>
  </r>
  <r>
    <x v="232"/>
    <x v="1"/>
    <x v="0"/>
    <x v="1"/>
    <x v="116"/>
    <x v="141"/>
    <n v="103.13"/>
    <n v="23.56"/>
    <n v="86.663865546218489"/>
    <n v="65.025599999999997"/>
    <n v="21.638265546218491"/>
    <x v="235"/>
  </r>
  <r>
    <x v="233"/>
    <x v="0"/>
    <x v="1"/>
    <x v="2"/>
    <x v="163"/>
    <x v="39"/>
    <n v="43.9"/>
    <n v="28.92"/>
    <n v="36.890756302521012"/>
    <n v="27.184799999999999"/>
    <n v="9.7059563025210132"/>
    <x v="236"/>
  </r>
  <r>
    <x v="234"/>
    <x v="0"/>
    <x v="0"/>
    <x v="1"/>
    <x v="189"/>
    <x v="177"/>
    <n v="90.63"/>
    <n v="24.39"/>
    <n v="76.159663865546221"/>
    <n v="54.389700000000005"/>
    <n v="21.769963865546217"/>
    <x v="237"/>
  </r>
  <r>
    <x v="235"/>
    <x v="1"/>
    <x v="1"/>
    <x v="2"/>
    <x v="190"/>
    <x v="55"/>
    <n v="70.67"/>
    <n v="31.71"/>
    <n v="59.386554621848745"/>
    <n v="51.053100000000001"/>
    <n v="8.3334546218487446"/>
    <x v="238"/>
  </r>
  <r>
    <x v="236"/>
    <x v="0"/>
    <x v="1"/>
    <x v="1"/>
    <x v="174"/>
    <x v="178"/>
    <n v="49.06"/>
    <n v="31.72"/>
    <n v="41.226890756302524"/>
    <n v="32.354399999999998"/>
    <n v="8.8724907563025255"/>
    <x v="239"/>
  </r>
  <r>
    <x v="237"/>
    <x v="1"/>
    <x v="0"/>
    <x v="0"/>
    <x v="191"/>
    <x v="130"/>
    <n v="92.19"/>
    <n v="25.37"/>
    <n v="77.470588235294116"/>
    <n v="58.097300000000004"/>
    <n v="19.373288235294112"/>
    <x v="240"/>
  </r>
  <r>
    <x v="238"/>
    <x v="1"/>
    <x v="2"/>
    <x v="0"/>
    <x v="192"/>
    <x v="179"/>
    <n v="161.1"/>
    <n v="21.14"/>
    <n v="135.37815126050421"/>
    <n v="100.8378"/>
    <n v="34.54035126050421"/>
    <x v="241"/>
  </r>
  <r>
    <x v="239"/>
    <x v="1"/>
    <x v="1"/>
    <x v="1"/>
    <x v="108"/>
    <x v="136"/>
    <n v="53.63"/>
    <n v="28.85"/>
    <n v="45.067226890756309"/>
    <n v="34.619999999999997"/>
    <n v="10.447226890756312"/>
    <x v="242"/>
  </r>
  <r>
    <x v="240"/>
    <x v="0"/>
    <x v="0"/>
    <x v="1"/>
    <x v="97"/>
    <x v="144"/>
    <n v="101.78"/>
    <n v="27.98"/>
    <n v="85.529411764705884"/>
    <n v="75.266199999999998"/>
    <n v="10.263211764705886"/>
    <x v="243"/>
  </r>
  <r>
    <x v="241"/>
    <x v="0"/>
    <x v="2"/>
    <x v="0"/>
    <x v="190"/>
    <x v="180"/>
    <n v="210.97"/>
    <n v="21.41"/>
    <n v="177.28571428571431"/>
    <n v="138.73680000000002"/>
    <n v="38.548914285714289"/>
    <x v="244"/>
  </r>
  <r>
    <x v="242"/>
    <x v="1"/>
    <x v="0"/>
    <x v="0"/>
    <x v="193"/>
    <x v="181"/>
    <n v="85.79"/>
    <n v="24.6"/>
    <n v="72.092436974789919"/>
    <n v="50.922000000000004"/>
    <n v="21.170436974789915"/>
    <x v="245"/>
  </r>
  <r>
    <x v="243"/>
    <x v="0"/>
    <x v="1"/>
    <x v="2"/>
    <x v="194"/>
    <x v="166"/>
    <n v="43.74"/>
    <n v="31.22"/>
    <n v="36.756302521008408"/>
    <n v="29.034600000000001"/>
    <n v="7.7217025210084067"/>
    <x v="246"/>
  </r>
  <r>
    <x v="244"/>
    <x v="1"/>
    <x v="1"/>
    <x v="0"/>
    <x v="195"/>
    <x v="24"/>
    <n v="45.64"/>
    <n v="30.86"/>
    <n v="38.352941176470587"/>
    <n v="30.86"/>
    <n v="7.4929411764705875"/>
    <x v="247"/>
  </r>
  <r>
    <x v="245"/>
    <x v="1"/>
    <x v="2"/>
    <x v="0"/>
    <x v="120"/>
    <x v="182"/>
    <n v="211.4"/>
    <n v="19.47"/>
    <n v="177.64705882352942"/>
    <n v="122.46629999999999"/>
    <n v="55.18075882352943"/>
    <x v="248"/>
  </r>
  <r>
    <x v="246"/>
    <x v="1"/>
    <x v="1"/>
    <x v="0"/>
    <x v="143"/>
    <x v="70"/>
    <n v="62.46"/>
    <n v="28.21"/>
    <n v="52.487394957983199"/>
    <n v="38.6477"/>
    <n v="13.839694957983198"/>
    <x v="249"/>
  </r>
  <r>
    <x v="247"/>
    <x v="0"/>
    <x v="2"/>
    <x v="0"/>
    <x v="196"/>
    <x v="183"/>
    <n v="141.15"/>
    <n v="18.77"/>
    <n v="118.61344537815127"/>
    <n v="80.335599999999999"/>
    <n v="38.27784537815127"/>
    <x v="250"/>
  </r>
  <r>
    <x v="248"/>
    <x v="0"/>
    <x v="0"/>
    <x v="0"/>
    <x v="197"/>
    <x v="104"/>
    <n v="109.4"/>
    <n v="24.7"/>
    <n v="91.932773109243712"/>
    <n v="74.593999999999994"/>
    <n v="17.338773109243718"/>
    <x v="251"/>
  </r>
  <r>
    <x v="249"/>
    <x v="1"/>
    <x v="2"/>
    <x v="0"/>
    <x v="198"/>
    <x v="184"/>
    <n v="202.59"/>
    <n v="19.89"/>
    <n v="170.24369747899161"/>
    <n v="123.51690000000001"/>
    <n v="46.7267974789916"/>
    <x v="252"/>
  </r>
  <r>
    <x v="250"/>
    <x v="0"/>
    <x v="2"/>
    <x v="0"/>
    <x v="76"/>
    <x v="185"/>
    <n v="200.57"/>
    <n v="18.37"/>
    <n v="168.54621848739495"/>
    <n v="113.1592"/>
    <n v="55.387018487394954"/>
    <x v="253"/>
  </r>
  <r>
    <x v="251"/>
    <x v="0"/>
    <x v="2"/>
    <x v="1"/>
    <x v="199"/>
    <x v="186"/>
    <n v="201.88"/>
    <n v="21.21"/>
    <n v="169.64705882352942"/>
    <n v="135.74400000000003"/>
    <n v="33.903058823529392"/>
    <x v="254"/>
  </r>
  <r>
    <x v="252"/>
    <x v="1"/>
    <x v="0"/>
    <x v="0"/>
    <x v="200"/>
    <x v="137"/>
    <n v="84.67"/>
    <n v="22.67"/>
    <n v="71.151260504201687"/>
    <n v="47.380300000000005"/>
    <n v="23.770960504201682"/>
    <x v="255"/>
  </r>
  <r>
    <x v="253"/>
    <x v="1"/>
    <x v="2"/>
    <x v="2"/>
    <x v="17"/>
    <x v="187"/>
    <n v="206.52"/>
    <n v="19"/>
    <n v="173.54621848739498"/>
    <n v="111.15"/>
    <n v="62.396218487394975"/>
    <x v="256"/>
  </r>
  <r>
    <x v="254"/>
    <x v="1"/>
    <x v="0"/>
    <x v="2"/>
    <x v="201"/>
    <x v="93"/>
    <n v="92.98"/>
    <n v="24.76"/>
    <n v="78.134453781512619"/>
    <n v="60.166800000000002"/>
    <n v="17.967653781512617"/>
    <x v="257"/>
  </r>
  <r>
    <x v="255"/>
    <x v="1"/>
    <x v="0"/>
    <x v="0"/>
    <x v="64"/>
    <x v="34"/>
    <n v="114.62"/>
    <n v="24.79"/>
    <n v="96.319327731092443"/>
    <n v="76.1053"/>
    <n v="20.214027731092443"/>
    <x v="258"/>
  </r>
  <r>
    <x v="256"/>
    <x v="0"/>
    <x v="0"/>
    <x v="1"/>
    <x v="202"/>
    <x v="188"/>
    <n v="106.07"/>
    <n v="24.59"/>
    <n v="89.134453781512605"/>
    <n v="70.819199999999995"/>
    <n v="18.31525378151261"/>
    <x v="259"/>
  </r>
  <r>
    <x v="257"/>
    <x v="1"/>
    <x v="2"/>
    <x v="0"/>
    <x v="203"/>
    <x v="168"/>
    <n v="192.63"/>
    <n v="17.88"/>
    <n v="161.87394957983193"/>
    <n v="105.8496"/>
    <n v="56.024349579831934"/>
    <x v="260"/>
  </r>
  <r>
    <x v="258"/>
    <x v="1"/>
    <x v="2"/>
    <x v="2"/>
    <x v="189"/>
    <x v="189"/>
    <n v="195.6"/>
    <n v="17.28"/>
    <n v="164.36974789915968"/>
    <n v="95.385600000000011"/>
    <n v="68.984147899159666"/>
    <x v="261"/>
  </r>
  <r>
    <x v="259"/>
    <x v="0"/>
    <x v="2"/>
    <x v="0"/>
    <x v="204"/>
    <x v="190"/>
    <n v="132.08000000000001"/>
    <n v="19.68"/>
    <n v="110.99159663865548"/>
    <n v="77.145600000000002"/>
    <n v="33.845996638655478"/>
    <x v="262"/>
  </r>
  <r>
    <x v="260"/>
    <x v="0"/>
    <x v="0"/>
    <x v="1"/>
    <x v="75"/>
    <x v="125"/>
    <n v="95.84"/>
    <n v="24.4"/>
    <n v="80.537815126050432"/>
    <n v="62.951999999999998"/>
    <n v="17.585815126050434"/>
    <x v="263"/>
  </r>
  <r>
    <x v="261"/>
    <x v="1"/>
    <x v="0"/>
    <x v="1"/>
    <x v="72"/>
    <x v="191"/>
    <n v="127.01"/>
    <n v="22.72"/>
    <n v="106.73109243697481"/>
    <n v="74.975999999999999"/>
    <n v="31.755092436974806"/>
    <x v="264"/>
  </r>
  <r>
    <x v="262"/>
    <x v="1"/>
    <x v="0"/>
    <x v="0"/>
    <x v="205"/>
    <x v="192"/>
    <n v="118.46"/>
    <n v="24.82"/>
    <n v="99.546218487394952"/>
    <n v="80.168599999999998"/>
    <n v="19.377618487394955"/>
    <x v="265"/>
  </r>
  <r>
    <x v="263"/>
    <x v="1"/>
    <x v="1"/>
    <x v="0"/>
    <x v="206"/>
    <x v="193"/>
    <n v="42.64"/>
    <n v="29.82"/>
    <n v="35.831932773109244"/>
    <n v="25.9434"/>
    <n v="9.8885327731092438"/>
    <x v="266"/>
  </r>
  <r>
    <x v="264"/>
    <x v="1"/>
    <x v="1"/>
    <x v="1"/>
    <x v="207"/>
    <x v="194"/>
    <n v="43.59"/>
    <n v="30.67"/>
    <n v="36.630252100840337"/>
    <n v="29.749900000000004"/>
    <n v="6.8803521008403337"/>
    <x v="267"/>
  </r>
  <r>
    <x v="265"/>
    <x v="0"/>
    <x v="0"/>
    <x v="1"/>
    <x v="64"/>
    <x v="195"/>
    <n v="78.95"/>
    <n v="25.35"/>
    <n v="66.34453781512606"/>
    <n v="47.911500000000004"/>
    <n v="18.433037815126056"/>
    <x v="268"/>
  </r>
  <r>
    <x v="266"/>
    <x v="0"/>
    <x v="1"/>
    <x v="0"/>
    <x v="208"/>
    <x v="18"/>
    <n v="62.39"/>
    <n v="28.68"/>
    <n v="52.428571428571431"/>
    <n v="41.299199999999999"/>
    <n v="11.129371428571432"/>
    <x v="269"/>
  </r>
  <r>
    <x v="267"/>
    <x v="1"/>
    <x v="1"/>
    <x v="1"/>
    <x v="209"/>
    <x v="71"/>
    <n v="66.22"/>
    <n v="28.08"/>
    <n v="55.647058823529413"/>
    <n v="42.681599999999996"/>
    <n v="12.965458823529417"/>
    <x v="270"/>
  </r>
  <r>
    <x v="268"/>
    <x v="1"/>
    <x v="1"/>
    <x v="0"/>
    <x v="73"/>
    <x v="90"/>
    <n v="50.1"/>
    <n v="31.12"/>
    <n v="42.100840336134453"/>
    <n v="31.4312"/>
    <n v="10.669640336134453"/>
    <x v="271"/>
  </r>
  <r>
    <x v="269"/>
    <x v="1"/>
    <x v="1"/>
    <x v="1"/>
    <x v="210"/>
    <x v="103"/>
    <n v="54.32"/>
    <n v="30.44"/>
    <n v="45.647058823529413"/>
    <n v="38.354399999999998"/>
    <n v="7.2926588235294147"/>
    <x v="272"/>
  </r>
  <r>
    <x v="270"/>
    <x v="1"/>
    <x v="1"/>
    <x v="0"/>
    <x v="211"/>
    <x v="196"/>
    <n v="63.72"/>
    <n v="30.8"/>
    <n v="53.54621848739496"/>
    <n v="47.431999999999995"/>
    <n v="6.1142184873949645"/>
    <x v="273"/>
  </r>
  <r>
    <x v="271"/>
    <x v="0"/>
    <x v="2"/>
    <x v="2"/>
    <x v="179"/>
    <x v="197"/>
    <n v="195.05"/>
    <n v="20.69"/>
    <n v="163.9075630252101"/>
    <n v="119.58820000000001"/>
    <n v="44.31936302521008"/>
    <x v="274"/>
  </r>
  <r>
    <x v="272"/>
    <x v="0"/>
    <x v="0"/>
    <x v="0"/>
    <x v="212"/>
    <x v="198"/>
    <n v="98.38"/>
    <n v="25.21"/>
    <n v="82.672268907563023"/>
    <n v="64.789699999999996"/>
    <n v="17.882568907563027"/>
    <x v="275"/>
  </r>
  <r>
    <x v="273"/>
    <x v="1"/>
    <x v="0"/>
    <x v="0"/>
    <x v="75"/>
    <x v="199"/>
    <n v="101.38"/>
    <n v="25.84"/>
    <n v="85.193277310924373"/>
    <n v="68.475999999999999"/>
    <n v="16.717277310924374"/>
    <x v="276"/>
  </r>
  <r>
    <x v="274"/>
    <x v="1"/>
    <x v="0"/>
    <x v="0"/>
    <x v="150"/>
    <x v="86"/>
    <n v="94.45"/>
    <n v="24.14"/>
    <n v="79.369747899159677"/>
    <n v="60.5914"/>
    <n v="18.778347899159677"/>
    <x v="277"/>
  </r>
  <r>
    <x v="275"/>
    <x v="1"/>
    <x v="1"/>
    <x v="0"/>
    <x v="213"/>
    <x v="162"/>
    <n v="48.29"/>
    <n v="29.95"/>
    <n v="40.579831932773111"/>
    <n v="32.345999999999997"/>
    <n v="8.2338319327731142"/>
    <x v="278"/>
  </r>
  <r>
    <x v="276"/>
    <x v="1"/>
    <x v="2"/>
    <x v="0"/>
    <x v="120"/>
    <x v="200"/>
    <n v="174.1"/>
    <n v="18.510000000000002"/>
    <n v="146.30252100840337"/>
    <n v="96.622200000000007"/>
    <n v="49.680321008403368"/>
    <x v="279"/>
  </r>
  <r>
    <x v="277"/>
    <x v="1"/>
    <x v="2"/>
    <x v="0"/>
    <x v="3"/>
    <x v="201"/>
    <n v="180.68"/>
    <n v="17.27"/>
    <n v="151.83193277310926"/>
    <n v="97.230100000000007"/>
    <n v="54.601832773109251"/>
    <x v="280"/>
  </r>
  <r>
    <x v="278"/>
    <x v="0"/>
    <x v="1"/>
    <x v="2"/>
    <x v="214"/>
    <x v="202"/>
    <n v="66.23"/>
    <n v="30.29"/>
    <n v="55.655462184873954"/>
    <n v="47.252399999999994"/>
    <n v="8.4030621848739599"/>
    <x v="281"/>
  </r>
  <r>
    <x v="279"/>
    <x v="0"/>
    <x v="0"/>
    <x v="0"/>
    <x v="215"/>
    <x v="143"/>
    <n v="101.51"/>
    <n v="23.11"/>
    <n v="85.302521008403374"/>
    <n v="63.090299999999999"/>
    <n v="22.212221008403375"/>
    <x v="282"/>
  </r>
  <r>
    <x v="280"/>
    <x v="0"/>
    <x v="2"/>
    <x v="0"/>
    <x v="216"/>
    <x v="117"/>
    <n v="183.12"/>
    <n v="23.11"/>
    <n v="153.88235294117649"/>
    <n v="135.6557"/>
    <n v="18.226652941176496"/>
    <x v="283"/>
  </r>
  <r>
    <x v="281"/>
    <x v="1"/>
    <x v="2"/>
    <x v="0"/>
    <x v="217"/>
    <x v="203"/>
    <n v="133.07"/>
    <n v="19.420000000000002"/>
    <n v="111.82352941176471"/>
    <n v="74.961200000000005"/>
    <n v="36.862329411764705"/>
    <x v="284"/>
  </r>
  <r>
    <x v="282"/>
    <x v="0"/>
    <x v="0"/>
    <x v="0"/>
    <x v="218"/>
    <x v="204"/>
    <n v="93.93"/>
    <n v="24.37"/>
    <n v="78.932773109243712"/>
    <n v="59.462800000000009"/>
    <n v="19.469973109243703"/>
    <x v="285"/>
  </r>
  <r>
    <x v="283"/>
    <x v="0"/>
    <x v="0"/>
    <x v="0"/>
    <x v="92"/>
    <x v="205"/>
    <n v="71.56"/>
    <n v="23.42"/>
    <n v="60.134453781512612"/>
    <n v="39.345600000000005"/>
    <n v="20.788853781512607"/>
    <x v="286"/>
  </r>
  <r>
    <x v="284"/>
    <x v="0"/>
    <x v="1"/>
    <x v="0"/>
    <x v="219"/>
    <x v="206"/>
    <n v="46.51"/>
    <n v="28.21"/>
    <n v="39.084033613445378"/>
    <n v="29.3384"/>
    <n v="9.7456336134453778"/>
    <x v="287"/>
  </r>
  <r>
    <x v="285"/>
    <x v="0"/>
    <x v="2"/>
    <x v="0"/>
    <x v="220"/>
    <x v="207"/>
    <n v="187.21"/>
    <n v="16.66"/>
    <n v="157.31932773109244"/>
    <n v="95.961600000000004"/>
    <n v="61.357727731092439"/>
    <x v="288"/>
  </r>
  <r>
    <x v="286"/>
    <x v="1"/>
    <x v="1"/>
    <x v="0"/>
    <x v="221"/>
    <x v="208"/>
    <n v="70.27"/>
    <n v="29.69"/>
    <n v="59.050420168067227"/>
    <n v="49.285400000000003"/>
    <n v="9.7650201680672239"/>
    <x v="289"/>
  </r>
  <r>
    <x v="287"/>
    <x v="0"/>
    <x v="2"/>
    <x v="0"/>
    <x v="222"/>
    <x v="209"/>
    <n v="123.49"/>
    <n v="16.920000000000002"/>
    <n v="103.77310924369748"/>
    <n v="61.927199999999999"/>
    <n v="41.845909243697477"/>
    <x v="290"/>
  </r>
  <r>
    <x v="288"/>
    <x v="0"/>
    <x v="0"/>
    <x v="1"/>
    <x v="32"/>
    <x v="65"/>
    <n v="84.1"/>
    <n v="24.43"/>
    <n v="70.672268907563023"/>
    <n v="57.166199999999996"/>
    <n v="13.506068907563026"/>
    <x v="291"/>
  </r>
  <r>
    <x v="289"/>
    <x v="1"/>
    <x v="0"/>
    <x v="0"/>
    <x v="223"/>
    <x v="123"/>
    <n v="115.89"/>
    <n v="25.52"/>
    <n v="97.386554621848745"/>
    <n v="76.56"/>
    <n v="20.826554621848743"/>
    <x v="292"/>
  </r>
  <r>
    <x v="290"/>
    <x v="0"/>
    <x v="0"/>
    <x v="0"/>
    <x v="224"/>
    <x v="165"/>
    <n v="79.94"/>
    <n v="25.53"/>
    <n v="67.17647058823529"/>
    <n v="51.315300000000008"/>
    <n v="15.861170588235282"/>
    <x v="293"/>
  </r>
  <r>
    <x v="291"/>
    <x v="0"/>
    <x v="1"/>
    <x v="2"/>
    <x v="24"/>
    <x v="17"/>
    <n v="54.75"/>
    <n v="32.64"/>
    <n v="46.008403361344541"/>
    <n v="42.431999999999995"/>
    <n v="3.5764033613445463"/>
    <x v="294"/>
  </r>
  <r>
    <x v="292"/>
    <x v="0"/>
    <x v="1"/>
    <x v="0"/>
    <x v="225"/>
    <x v="210"/>
    <n v="61.31"/>
    <n v="28.84"/>
    <n v="51.52100840336135"/>
    <n v="41.818000000000005"/>
    <n v="9.7030084033613448"/>
    <x v="295"/>
  </r>
  <r>
    <x v="293"/>
    <x v="1"/>
    <x v="1"/>
    <x v="1"/>
    <x v="226"/>
    <x v="91"/>
    <n v="59.11"/>
    <n v="31.45"/>
    <n v="49.67226890756303"/>
    <n v="42.457500000000003"/>
    <n v="7.2147689075630268"/>
    <x v="296"/>
  </r>
  <r>
    <x v="294"/>
    <x v="0"/>
    <x v="1"/>
    <x v="0"/>
    <x v="227"/>
    <x v="211"/>
    <n v="44.22"/>
    <n v="31.54"/>
    <n v="37.159663865546221"/>
    <n v="31.224599999999999"/>
    <n v="5.9350638655462227"/>
    <x v="297"/>
  </r>
  <r>
    <x v="295"/>
    <x v="1"/>
    <x v="2"/>
    <x v="1"/>
    <x v="228"/>
    <x v="212"/>
    <n v="152.9"/>
    <n v="17.48"/>
    <n v="128.48739495798321"/>
    <n v="79.009600000000006"/>
    <n v="49.477794957983207"/>
    <x v="298"/>
  </r>
  <r>
    <x v="296"/>
    <x v="0"/>
    <x v="0"/>
    <x v="1"/>
    <x v="229"/>
    <x v="41"/>
    <n v="109.73"/>
    <n v="24.95"/>
    <n v="92.210084033613455"/>
    <n v="74.101500000000001"/>
    <n v="18.108584033613454"/>
    <x v="299"/>
  </r>
  <r>
    <x v="297"/>
    <x v="0"/>
    <x v="1"/>
    <x v="0"/>
    <x v="32"/>
    <x v="17"/>
    <n v="55.21"/>
    <n v="29.15"/>
    <n v="46.394957983193279"/>
    <n v="37.895000000000003"/>
    <n v="8.4999579831932763"/>
    <x v="300"/>
  </r>
  <r>
    <x v="298"/>
    <x v="0"/>
    <x v="2"/>
    <x v="2"/>
    <x v="14"/>
    <x v="213"/>
    <n v="121.08"/>
    <n v="20.51"/>
    <n v="101.74789915966387"/>
    <n v="68.708500000000001"/>
    <n v="33.039399159663873"/>
    <x v="301"/>
  </r>
  <r>
    <x v="299"/>
    <x v="0"/>
    <x v="2"/>
    <x v="0"/>
    <x v="111"/>
    <x v="117"/>
    <n v="199.29"/>
    <n v="23.49"/>
    <n v="167.47058823529412"/>
    <n v="137.88630000000001"/>
    <n v="29.58428823529411"/>
    <x v="302"/>
  </r>
  <r>
    <x v="300"/>
    <x v="1"/>
    <x v="2"/>
    <x v="0"/>
    <x v="93"/>
    <x v="214"/>
    <n v="120.9"/>
    <n v="16.649999999999999"/>
    <n v="101.5966386554622"/>
    <n v="57.442499999999988"/>
    <n v="44.154138655462212"/>
    <x v="303"/>
  </r>
  <r>
    <x v="301"/>
    <x v="1"/>
    <x v="2"/>
    <x v="1"/>
    <x v="230"/>
    <x v="171"/>
    <n v="201.44"/>
    <n v="22.49"/>
    <n v="169.27731092436974"/>
    <n v="-3.3734999999999995"/>
    <n v="172.65081092436975"/>
    <x v="304"/>
  </r>
  <r>
    <x v="302"/>
    <x v="1"/>
    <x v="1"/>
    <x v="2"/>
    <x v="231"/>
    <x v="24"/>
    <n v="43.64"/>
    <n v="30.49"/>
    <n v="36.67226890756303"/>
    <n v="30.49"/>
    <n v="6.1822689075630315"/>
    <x v="305"/>
  </r>
  <r>
    <x v="303"/>
    <x v="0"/>
    <x v="0"/>
    <x v="0"/>
    <x v="127"/>
    <x v="21"/>
    <n v="119.62"/>
    <n v="25.89"/>
    <n v="100.52100840336135"/>
    <n v="84.401399999999995"/>
    <n v="16.119608403361354"/>
    <x v="306"/>
  </r>
  <r>
    <x v="304"/>
    <x v="0"/>
    <x v="2"/>
    <x v="0"/>
    <x v="232"/>
    <x v="215"/>
    <n v="153.16999999999999"/>
    <n v="18.829999999999998"/>
    <n v="128.71428571428572"/>
    <n v="85.864800000000002"/>
    <n v="42.84948571428572"/>
    <x v="307"/>
  </r>
  <r>
    <x v="305"/>
    <x v="1"/>
    <x v="0"/>
    <x v="0"/>
    <x v="233"/>
    <x v="129"/>
    <n v="90.83"/>
    <n v="25.39"/>
    <n v="76.327731092436977"/>
    <n v="56.111900000000006"/>
    <n v="20.215831092436972"/>
    <x v="308"/>
  </r>
  <r>
    <x v="306"/>
    <x v="0"/>
    <x v="1"/>
    <x v="0"/>
    <x v="234"/>
    <x v="128"/>
    <n v="48.62"/>
    <n v="28.25"/>
    <n v="40.857142857142854"/>
    <n v="27.12"/>
    <n v="13.737142857142853"/>
    <x v="309"/>
  </r>
  <r>
    <x v="307"/>
    <x v="0"/>
    <x v="2"/>
    <x v="1"/>
    <x v="235"/>
    <x v="216"/>
    <n v="145.29"/>
    <n v="18.18"/>
    <n v="122.09243697478992"/>
    <n v="79.082999999999998"/>
    <n v="43.009436974789921"/>
    <x v="310"/>
  </r>
  <r>
    <x v="308"/>
    <x v="0"/>
    <x v="1"/>
    <x v="0"/>
    <x v="236"/>
    <x v="59"/>
    <n v="71.069999999999993"/>
    <n v="28.27"/>
    <n v="59.72268907563025"/>
    <n v="44.383900000000004"/>
    <n v="15.338789075630245"/>
    <x v="311"/>
  </r>
  <r>
    <x v="309"/>
    <x v="0"/>
    <x v="1"/>
    <x v="0"/>
    <x v="237"/>
    <x v="217"/>
    <n v="68.650000000000006"/>
    <n v="31.9"/>
    <n v="57.689075630252105"/>
    <n v="53.273000000000003"/>
    <n v="4.4160756302521023"/>
    <x v="312"/>
  </r>
  <r>
    <x v="310"/>
    <x v="1"/>
    <x v="0"/>
    <x v="0"/>
    <x v="238"/>
    <x v="79"/>
    <n v="93.28"/>
    <n v="27.27"/>
    <n v="78.386554621848745"/>
    <n v="62.175599999999996"/>
    <n v="16.210954621848749"/>
    <x v="313"/>
  </r>
  <r>
    <x v="311"/>
    <x v="1"/>
    <x v="0"/>
    <x v="0"/>
    <x v="239"/>
    <x v="26"/>
    <n v="96.83"/>
    <n v="25.41"/>
    <n v="81.369747899159663"/>
    <n v="61.492200000000004"/>
    <n v="19.877547899159659"/>
    <x v="314"/>
  </r>
  <r>
    <x v="312"/>
    <x v="1"/>
    <x v="0"/>
    <x v="0"/>
    <x v="240"/>
    <x v="218"/>
    <n v="106.51"/>
    <n v="25.75"/>
    <n v="89.504201680672281"/>
    <n v="73.902500000000003"/>
    <n v="15.601701680672278"/>
    <x v="315"/>
  </r>
  <r>
    <x v="313"/>
    <x v="0"/>
    <x v="1"/>
    <x v="1"/>
    <x v="209"/>
    <x v="59"/>
    <n v="68.2"/>
    <n v="28.34"/>
    <n v="57.310924369747902"/>
    <n v="44.4938"/>
    <n v="12.817124369747901"/>
    <x v="316"/>
  </r>
  <r>
    <x v="314"/>
    <x v="0"/>
    <x v="2"/>
    <x v="2"/>
    <x v="0"/>
    <x v="219"/>
    <n v="167.42"/>
    <n v="18.43"/>
    <n v="140.68907563025209"/>
    <n v="97.863299999999995"/>
    <n v="42.825775630252096"/>
    <x v="317"/>
  </r>
  <r>
    <x v="315"/>
    <x v="0"/>
    <x v="1"/>
    <x v="2"/>
    <x v="172"/>
    <x v="220"/>
    <n v="53.43"/>
    <n v="28.28"/>
    <n v="44.899159663865547"/>
    <n v="32.8048"/>
    <n v="12.094359663865546"/>
    <x v="318"/>
  </r>
  <r>
    <x v="316"/>
    <x v="0"/>
    <x v="1"/>
    <x v="0"/>
    <x v="241"/>
    <x v="114"/>
    <n v="52.25"/>
    <n v="30.84"/>
    <n v="43.907563025210088"/>
    <n v="36.391199999999998"/>
    <n v="7.5163630252100901"/>
    <x v="319"/>
  </r>
  <r>
    <x v="317"/>
    <x v="0"/>
    <x v="2"/>
    <x v="2"/>
    <x v="242"/>
    <x v="95"/>
    <n v="187.55"/>
    <n v="17.649999999999999"/>
    <n v="157.60504201680675"/>
    <n v="99.722499999999997"/>
    <n v="57.882542016806752"/>
    <x v="320"/>
  </r>
  <r>
    <x v="318"/>
    <x v="1"/>
    <x v="2"/>
    <x v="1"/>
    <x v="214"/>
    <x v="221"/>
    <n v="124.49"/>
    <n v="18.850000000000001"/>
    <n v="104.61344537815125"/>
    <n v="62.959000000000003"/>
    <n v="41.654445378151252"/>
    <x v="321"/>
  </r>
  <r>
    <x v="319"/>
    <x v="1"/>
    <x v="2"/>
    <x v="1"/>
    <x v="243"/>
    <x v="222"/>
    <n v="183.38"/>
    <n v="17.84"/>
    <n v="154.10084033613447"/>
    <n v="96.335999999999999"/>
    <n v="57.764840336134469"/>
    <x v="322"/>
  </r>
  <r>
    <x v="320"/>
    <x v="0"/>
    <x v="2"/>
    <x v="0"/>
    <x v="244"/>
    <x v="212"/>
    <n v="151.26"/>
    <n v="17"/>
    <n v="127.10924369747899"/>
    <n v="76.84"/>
    <n v="50.269243697478984"/>
    <x v="323"/>
  </r>
  <r>
    <x v="321"/>
    <x v="1"/>
    <x v="0"/>
    <x v="0"/>
    <x v="245"/>
    <x v="223"/>
    <n v="118.51"/>
    <n v="22.67"/>
    <n v="99.588235294117652"/>
    <n v="67.783300000000011"/>
    <n v="31.804935294117641"/>
    <x v="324"/>
  </r>
  <r>
    <x v="322"/>
    <x v="1"/>
    <x v="0"/>
    <x v="0"/>
    <x v="246"/>
    <x v="224"/>
    <n v="77.209999999999994"/>
    <n v="22.59"/>
    <n v="64.882352941176464"/>
    <n v="41.113799999999998"/>
    <n v="23.768552941176466"/>
    <x v="325"/>
  </r>
  <r>
    <x v="323"/>
    <x v="1"/>
    <x v="1"/>
    <x v="0"/>
    <x v="247"/>
    <x v="175"/>
    <n v="56.35"/>
    <n v="31.89"/>
    <n v="47.352941176470594"/>
    <n v="42.094800000000006"/>
    <n v="5.2581411764705877"/>
    <x v="326"/>
  </r>
  <r>
    <x v="324"/>
    <x v="1"/>
    <x v="0"/>
    <x v="0"/>
    <x v="48"/>
    <x v="225"/>
    <n v="98.67"/>
    <n v="25.04"/>
    <n v="82.915966386554629"/>
    <n v="61.848800000000004"/>
    <n v="21.067166386554625"/>
    <x v="327"/>
  </r>
  <r>
    <x v="325"/>
    <x v="0"/>
    <x v="0"/>
    <x v="0"/>
    <x v="199"/>
    <x v="226"/>
    <n v="98.28"/>
    <n v="25.87"/>
    <n v="82.588235294117652"/>
    <n v="70.883800000000008"/>
    <n v="11.704435294117644"/>
    <x v="328"/>
  </r>
  <r>
    <x v="326"/>
    <x v="0"/>
    <x v="1"/>
    <x v="0"/>
    <x v="248"/>
    <x v="20"/>
    <n v="45.6"/>
    <n v="29.76"/>
    <n v="38.319327731092443"/>
    <n v="26.188800000000001"/>
    <n v="12.130527731092442"/>
    <x v="329"/>
  </r>
  <r>
    <x v="327"/>
    <x v="0"/>
    <x v="0"/>
    <x v="1"/>
    <x v="227"/>
    <x v="227"/>
    <n v="97.85"/>
    <n v="23.11"/>
    <n v="82.226890756302524"/>
    <n v="60.779300000000006"/>
    <n v="21.447590756302517"/>
    <x v="330"/>
  </r>
  <r>
    <x v="328"/>
    <x v="1"/>
    <x v="0"/>
    <x v="0"/>
    <x v="171"/>
    <x v="228"/>
    <n v="96.81"/>
    <n v="25.19"/>
    <n v="81.352941176470594"/>
    <n v="65.494"/>
    <n v="15.858941176470594"/>
    <x v="331"/>
  </r>
  <r>
    <x v="329"/>
    <x v="0"/>
    <x v="1"/>
    <x v="0"/>
    <x v="249"/>
    <x v="17"/>
    <n v="55.39"/>
    <n v="29.31"/>
    <n v="46.54621848739496"/>
    <n v="38.102999999999994"/>
    <n v="8.4432184873949652"/>
    <x v="332"/>
  </r>
  <r>
    <x v="330"/>
    <x v="0"/>
    <x v="1"/>
    <x v="2"/>
    <x v="157"/>
    <x v="75"/>
    <n v="57.21"/>
    <n v="29.2"/>
    <n v="48.075630252100844"/>
    <n v="39.128"/>
    <n v="8.9476302521008435"/>
    <x v="333"/>
  </r>
  <r>
    <x v="331"/>
    <x v="0"/>
    <x v="0"/>
    <x v="2"/>
    <x v="153"/>
    <x v="229"/>
    <n v="105.97"/>
    <n v="22.93"/>
    <n v="89.050420168067234"/>
    <n v="63.974700000000006"/>
    <n v="25.075720168067228"/>
    <x v="334"/>
  </r>
  <r>
    <x v="332"/>
    <x v="0"/>
    <x v="1"/>
    <x v="1"/>
    <x v="186"/>
    <x v="176"/>
    <n v="61.78"/>
    <n v="30.52"/>
    <n v="51.915966386554622"/>
    <n v="46.085199999999993"/>
    <n v="5.8307663865546289"/>
    <x v="335"/>
  </r>
  <r>
    <x v="333"/>
    <x v="1"/>
    <x v="2"/>
    <x v="2"/>
    <x v="176"/>
    <x v="230"/>
    <n v="147.32"/>
    <n v="19.28"/>
    <n v="123.79831932773109"/>
    <n v="0"/>
    <n v="123.79831932773109"/>
    <x v="336"/>
  </r>
  <r>
    <x v="334"/>
    <x v="1"/>
    <x v="0"/>
    <x v="0"/>
    <x v="49"/>
    <x v="231"/>
    <n v="117.38"/>
    <n v="25.42"/>
    <n v="98.638655462184872"/>
    <n v="77.276800000000009"/>
    <n v="21.361855462184863"/>
    <x v="337"/>
  </r>
  <r>
    <x v="335"/>
    <x v="0"/>
    <x v="0"/>
    <x v="2"/>
    <x v="250"/>
    <x v="53"/>
    <n v="94.93"/>
    <n v="26.7"/>
    <n v="79.77310924369749"/>
    <n v="66.75"/>
    <n v="13.02310924369749"/>
    <x v="338"/>
  </r>
  <r>
    <x v="336"/>
    <x v="0"/>
    <x v="0"/>
    <x v="0"/>
    <x v="251"/>
    <x v="64"/>
    <n v="72.05"/>
    <n v="22.25"/>
    <n v="60.54621848739496"/>
    <n v="40.049999999999997"/>
    <n v="20.496218487394962"/>
    <x v="339"/>
  </r>
  <r>
    <x v="337"/>
    <x v="0"/>
    <x v="2"/>
    <x v="0"/>
    <x v="1"/>
    <x v="232"/>
    <n v="120.64"/>
    <n v="17.55"/>
    <n v="101.37815126050421"/>
    <n v="61.951500000000003"/>
    <n v="39.426651260504208"/>
    <x v="340"/>
  </r>
  <r>
    <x v="338"/>
    <x v="0"/>
    <x v="1"/>
    <x v="0"/>
    <x v="252"/>
    <x v="233"/>
    <n v="47.33"/>
    <n v="31.24"/>
    <n v="39.773109243697476"/>
    <n v="34.676400000000001"/>
    <n v="5.0967092436974752"/>
    <x v="341"/>
  </r>
  <r>
    <x v="339"/>
    <x v="0"/>
    <x v="0"/>
    <x v="0"/>
    <x v="253"/>
    <x v="41"/>
    <n v="114.75"/>
    <n v="22.59"/>
    <n v="96.428571428571431"/>
    <n v="67.092299999999994"/>
    <n v="29.336271428571436"/>
    <x v="342"/>
  </r>
  <r>
    <x v="340"/>
    <x v="0"/>
    <x v="0"/>
    <x v="0"/>
    <x v="254"/>
    <x v="234"/>
    <n v="111.29"/>
    <n v="23.37"/>
    <n v="93.52100840336135"/>
    <n v="66.370800000000003"/>
    <n v="27.150208403361347"/>
    <x v="343"/>
  </r>
  <r>
    <x v="341"/>
    <x v="0"/>
    <x v="1"/>
    <x v="1"/>
    <x v="167"/>
    <x v="62"/>
    <n v="64.3"/>
    <n v="31.46"/>
    <n v="54.033613445378151"/>
    <n v="46.875399999999999"/>
    <n v="7.1582134453781521"/>
    <x v="344"/>
  </r>
  <r>
    <x v="342"/>
    <x v="1"/>
    <x v="2"/>
    <x v="1"/>
    <x v="53"/>
    <x v="145"/>
    <n v="170.56"/>
    <n v="17.27"/>
    <n v="143.32773109243698"/>
    <n v="87.386199999999988"/>
    <n v="55.941531092436989"/>
    <x v="345"/>
  </r>
  <r>
    <x v="343"/>
    <x v="1"/>
    <x v="2"/>
    <x v="1"/>
    <x v="22"/>
    <x v="235"/>
    <n v="169.11"/>
    <n v="18.91"/>
    <n v="142.109243697479"/>
    <n v="90.767999999999986"/>
    <n v="51.341243697479015"/>
    <x v="346"/>
  </r>
  <r>
    <x v="344"/>
    <x v="0"/>
    <x v="0"/>
    <x v="0"/>
    <x v="255"/>
    <x v="33"/>
    <n v="77.98"/>
    <n v="23.94"/>
    <n v="65.529411764705884"/>
    <n v="45.964800000000004"/>
    <n v="19.56461176470588"/>
    <x v="347"/>
  </r>
  <r>
    <x v="345"/>
    <x v="0"/>
    <x v="2"/>
    <x v="2"/>
    <x v="256"/>
    <x v="236"/>
    <n v="154.59"/>
    <n v="18.010000000000002"/>
    <n v="129.9075630252101"/>
    <n v="79.784300000000002"/>
    <n v="50.123263025210093"/>
    <x v="348"/>
  </r>
  <r>
    <x v="346"/>
    <x v="1"/>
    <x v="2"/>
    <x v="1"/>
    <x v="257"/>
    <x v="237"/>
    <n v="163.11000000000001"/>
    <n v="19.32"/>
    <n v="137.06722689075633"/>
    <n v="92.349600000000009"/>
    <n v="44.717626890756321"/>
    <x v="349"/>
  </r>
  <r>
    <x v="347"/>
    <x v="0"/>
    <x v="0"/>
    <x v="0"/>
    <x v="258"/>
    <x v="224"/>
    <n v="73.38"/>
    <n v="25.22"/>
    <n v="61.663865546218489"/>
    <n v="45.900399999999998"/>
    <n v="15.763465546218491"/>
    <x v="350"/>
  </r>
  <r>
    <x v="348"/>
    <x v="1"/>
    <x v="2"/>
    <x v="1"/>
    <x v="259"/>
    <x v="238"/>
    <n v="140.19"/>
    <n v="17.190000000000001"/>
    <n v="117.80672268907563"/>
    <n v="69.963300000000004"/>
    <n v="47.843422689075624"/>
    <x v="351"/>
  </r>
  <r>
    <x v="349"/>
    <x v="1"/>
    <x v="0"/>
    <x v="0"/>
    <x v="260"/>
    <x v="239"/>
    <n v="103.34"/>
    <n v="24.32"/>
    <n v="86.840336134453793"/>
    <n v="64.691199999999995"/>
    <n v="22.149136134453798"/>
    <x v="352"/>
  </r>
  <r>
    <x v="350"/>
    <x v="0"/>
    <x v="0"/>
    <x v="0"/>
    <x v="261"/>
    <x v="111"/>
    <n v="114.18"/>
    <n v="24.02"/>
    <n v="95.94957983193278"/>
    <n v="69.4178"/>
    <n v="26.531779831932781"/>
    <x v="353"/>
  </r>
  <r>
    <x v="351"/>
    <x v="0"/>
    <x v="0"/>
    <x v="2"/>
    <x v="262"/>
    <x v="240"/>
    <n v="124.08"/>
    <n v="22.58"/>
    <n v="104.26890756302521"/>
    <n v="75.191399999999987"/>
    <n v="29.077507563025222"/>
    <x v="354"/>
  </r>
  <r>
    <x v="352"/>
    <x v="1"/>
    <x v="2"/>
    <x v="0"/>
    <x v="263"/>
    <x v="241"/>
    <n v="216.71"/>
    <n v="19.62"/>
    <n v="182.109243697479"/>
    <n v="126.54900000000002"/>
    <n v="55.560243697478981"/>
    <x v="355"/>
  </r>
  <r>
    <x v="353"/>
    <x v="0"/>
    <x v="1"/>
    <x v="0"/>
    <x v="43"/>
    <x v="70"/>
    <n v="57.12"/>
    <n v="29.09"/>
    <n v="48"/>
    <n v="39.853299999999997"/>
    <n v="8.1467000000000027"/>
    <x v="356"/>
  </r>
  <r>
    <x v="354"/>
    <x v="1"/>
    <x v="2"/>
    <x v="2"/>
    <x v="4"/>
    <x v="242"/>
    <n v="164.65"/>
    <n v="18.940000000000001"/>
    <n v="138.36134453781514"/>
    <n v="89.775600000000011"/>
    <n v="48.585744537815131"/>
    <x v="357"/>
  </r>
  <r>
    <x v="355"/>
    <x v="1"/>
    <x v="2"/>
    <x v="1"/>
    <x v="264"/>
    <x v="243"/>
    <n v="185.17"/>
    <n v="16.91"/>
    <n v="155.60504201680672"/>
    <n v="92.328600000000009"/>
    <n v="63.276442016806712"/>
    <x v="358"/>
  </r>
  <r>
    <x v="356"/>
    <x v="1"/>
    <x v="1"/>
    <x v="0"/>
    <x v="265"/>
    <x v="62"/>
    <n v="61.21"/>
    <n v="29.84"/>
    <n v="51.436974789915972"/>
    <n v="44.461599999999997"/>
    <n v="6.9753747899159748"/>
    <x v="359"/>
  </r>
  <r>
    <x v="357"/>
    <x v="0"/>
    <x v="2"/>
    <x v="0"/>
    <x v="79"/>
    <x v="56"/>
    <n v="121.86"/>
    <n v="18.03"/>
    <n v="102.40336134453781"/>
    <n v="67.071600000000004"/>
    <n v="35.33176134453781"/>
    <x v="360"/>
  </r>
  <r>
    <x v="358"/>
    <x v="1"/>
    <x v="1"/>
    <x v="0"/>
    <x v="266"/>
    <x v="244"/>
    <n v="51.36"/>
    <n v="31.29"/>
    <n v="43.159663865546221"/>
    <n v="36.609299999999998"/>
    <n v="6.550363865546224"/>
    <x v="361"/>
  </r>
  <r>
    <x v="359"/>
    <x v="0"/>
    <x v="1"/>
    <x v="1"/>
    <x v="147"/>
    <x v="196"/>
    <n v="66.400000000000006"/>
    <n v="28.23"/>
    <n v="55.7983193277311"/>
    <n v="43.474200000000003"/>
    <n v="12.324119327731097"/>
    <x v="362"/>
  </r>
  <r>
    <x v="360"/>
    <x v="0"/>
    <x v="0"/>
    <x v="0"/>
    <x v="41"/>
    <x v="245"/>
    <n v="88.81"/>
    <n v="23.67"/>
    <n v="74.630252100840337"/>
    <n v="54.677700000000002"/>
    <n v="19.952552100840336"/>
    <x v="363"/>
  </r>
  <r>
    <x v="361"/>
    <x v="1"/>
    <x v="1"/>
    <x v="0"/>
    <x v="147"/>
    <x v="246"/>
    <n v="54.93"/>
    <n v="29.83"/>
    <n v="46.159663865546221"/>
    <n v="39.077299999999994"/>
    <n v="7.0823638655462275"/>
    <x v="364"/>
  </r>
  <r>
    <x v="362"/>
    <x v="0"/>
    <x v="2"/>
    <x v="2"/>
    <x v="267"/>
    <x v="247"/>
    <n v="181.12"/>
    <n v="20.13"/>
    <n v="152.20168067226891"/>
    <n v="106.48769999999999"/>
    <n v="45.713980672268917"/>
    <x v="365"/>
  </r>
  <r>
    <x v="363"/>
    <x v="1"/>
    <x v="2"/>
    <x v="0"/>
    <x v="82"/>
    <x v="156"/>
    <n v="129.04"/>
    <n v="19.37"/>
    <n v="108.43697478991596"/>
    <n v="76.511500000000012"/>
    <n v="31.925474789915953"/>
    <x v="366"/>
  </r>
  <r>
    <x v="364"/>
    <x v="1"/>
    <x v="0"/>
    <x v="0"/>
    <x v="268"/>
    <x v="248"/>
    <n v="86.7"/>
    <n v="24.67"/>
    <n v="72.857142857142861"/>
    <n v="56.000900000000001"/>
    <n v="16.85624285714286"/>
    <x v="367"/>
  </r>
  <r>
    <x v="365"/>
    <x v="0"/>
    <x v="1"/>
    <x v="0"/>
    <x v="269"/>
    <x v="233"/>
    <n v="48.15"/>
    <n v="31.11"/>
    <n v="40.462184873949582"/>
    <n v="34.5321"/>
    <n v="5.9300848739495819"/>
    <x v="368"/>
  </r>
  <r>
    <x v="366"/>
    <x v="0"/>
    <x v="1"/>
    <x v="1"/>
    <x v="270"/>
    <x v="81"/>
    <n v="42.13"/>
    <n v="31.45"/>
    <n v="35.403361344537821"/>
    <n v="26.732500000000002"/>
    <n v="8.6708613445378191"/>
    <x v="369"/>
  </r>
  <r>
    <x v="367"/>
    <x v="0"/>
    <x v="0"/>
    <x v="0"/>
    <x v="223"/>
    <x v="249"/>
    <n v="66.709999999999994"/>
    <n v="23.26"/>
    <n v="56.058823529411761"/>
    <n v="39.774600000000007"/>
    <n v="16.284223529411754"/>
    <x v="370"/>
  </r>
  <r>
    <x v="368"/>
    <x v="0"/>
    <x v="2"/>
    <x v="0"/>
    <x v="202"/>
    <x v="250"/>
    <n v="198.72"/>
    <n v="19.190000000000001"/>
    <n v="166.99159663865547"/>
    <n v="117.2509"/>
    <n v="49.740696638655464"/>
    <x v="371"/>
  </r>
  <r>
    <x v="369"/>
    <x v="0"/>
    <x v="0"/>
    <x v="2"/>
    <x v="100"/>
    <x v="251"/>
    <n v="76.94"/>
    <n v="25.36"/>
    <n v="64.655462184873954"/>
    <n v="53.763199999999998"/>
    <n v="10.892262184873957"/>
    <x v="372"/>
  </r>
  <r>
    <x v="370"/>
    <x v="1"/>
    <x v="1"/>
    <x v="0"/>
    <x v="75"/>
    <x v="103"/>
    <n v="53.63"/>
    <n v="31.96"/>
    <n v="45.067226890756309"/>
    <n v="40.269599999999997"/>
    <n v="4.7976268907563124"/>
    <x v="373"/>
  </r>
  <r>
    <x v="371"/>
    <x v="0"/>
    <x v="0"/>
    <x v="0"/>
    <x v="271"/>
    <x v="44"/>
    <n v="83.91"/>
    <n v="25.56"/>
    <n v="70.512605042016801"/>
    <n v="55.465199999999996"/>
    <n v="15.047405042016806"/>
    <x v="374"/>
  </r>
  <r>
    <x v="372"/>
    <x v="0"/>
    <x v="0"/>
    <x v="0"/>
    <x v="166"/>
    <x v="192"/>
    <n v="120.91"/>
    <n v="23.49"/>
    <n v="101.60504201680672"/>
    <n v="75.872699999999995"/>
    <n v="25.732342016806726"/>
    <x v="375"/>
  </r>
  <r>
    <x v="373"/>
    <x v="1"/>
    <x v="2"/>
    <x v="0"/>
    <x v="272"/>
    <x v="116"/>
    <n v="144.31"/>
    <n v="17.48"/>
    <n v="121.26890756302522"/>
    <n v="73.415999999999997"/>
    <n v="47.852907563025227"/>
    <x v="376"/>
  </r>
  <r>
    <x v="374"/>
    <x v="0"/>
    <x v="1"/>
    <x v="0"/>
    <x v="273"/>
    <x v="85"/>
    <n v="53.19"/>
    <n v="29.96"/>
    <n v="44.69747899159664"/>
    <n v="35.6524"/>
    <n v="9.0450789915966396"/>
    <x v="377"/>
  </r>
  <r>
    <x v="375"/>
    <x v="1"/>
    <x v="2"/>
    <x v="0"/>
    <x v="189"/>
    <x v="252"/>
    <n v="201.14"/>
    <n v="20.21"/>
    <n v="169.0252100840336"/>
    <n v="126.11040000000001"/>
    <n v="42.91481008403359"/>
    <x v="378"/>
  </r>
  <r>
    <x v="376"/>
    <x v="0"/>
    <x v="0"/>
    <x v="0"/>
    <x v="274"/>
    <x v="34"/>
    <n v="116.16"/>
    <n v="23.97"/>
    <n v="97.613445378151269"/>
    <n v="73.587900000000005"/>
    <n v="24.025545378151264"/>
    <x v="379"/>
  </r>
  <r>
    <x v="377"/>
    <x v="0"/>
    <x v="2"/>
    <x v="0"/>
    <x v="275"/>
    <x v="156"/>
    <n v="127.48"/>
    <n v="18.920000000000002"/>
    <n v="107.12605042016807"/>
    <n v="74.734000000000009"/>
    <n v="32.392050420168061"/>
    <x v="380"/>
  </r>
  <r>
    <x v="378"/>
    <x v="1"/>
    <x v="1"/>
    <x v="2"/>
    <x v="223"/>
    <x v="30"/>
    <n v="0"/>
    <n v="29.35"/>
    <n v="0"/>
    <n v="44.024999999999999"/>
    <n v="-44.024999999999999"/>
    <x v="381"/>
  </r>
  <r>
    <x v="379"/>
    <x v="1"/>
    <x v="0"/>
    <x v="2"/>
    <x v="89"/>
    <x v="93"/>
    <n v="93.23"/>
    <n v="23.45"/>
    <n v="78.34453781512606"/>
    <n v="56.983499999999992"/>
    <n v="21.361037815126068"/>
    <x v="382"/>
  </r>
  <r>
    <x v="380"/>
    <x v="1"/>
    <x v="2"/>
    <x v="1"/>
    <x v="154"/>
    <x v="253"/>
    <n v="171.02"/>
    <n v="20.8"/>
    <n v="143.71428571428572"/>
    <n v="102.75200000000001"/>
    <n v="40.962285714285713"/>
    <x v="383"/>
  </r>
  <r>
    <x v="381"/>
    <x v="1"/>
    <x v="1"/>
    <x v="2"/>
    <x v="276"/>
    <x v="39"/>
    <n v="47.44"/>
    <n v="29.63"/>
    <n v="39.865546218487395"/>
    <n v="27.852199999999996"/>
    <n v="12.013346218487399"/>
    <x v="384"/>
  </r>
  <r>
    <x v="382"/>
    <x v="1"/>
    <x v="2"/>
    <x v="0"/>
    <x v="233"/>
    <x v="254"/>
    <n v="128.22999999999999"/>
    <n v="18.14"/>
    <n v="107.75630252100839"/>
    <n v="65.304000000000002"/>
    <n v="42.452302521008392"/>
    <x v="385"/>
  </r>
  <r>
    <x v="383"/>
    <x v="0"/>
    <x v="0"/>
    <x v="2"/>
    <x v="277"/>
    <x v="188"/>
    <n v="113.37"/>
    <n v="23.82"/>
    <n v="95.268907563025223"/>
    <n v="68.601600000000005"/>
    <n v="26.667307563025219"/>
    <x v="386"/>
  </r>
  <r>
    <x v="384"/>
    <x v="0"/>
    <x v="1"/>
    <x v="0"/>
    <x v="278"/>
    <x v="255"/>
    <n v="53.02"/>
    <n v="31.05"/>
    <n v="44.554621848739501"/>
    <n v="38.8125"/>
    <n v="5.7421218487395009"/>
    <x v="387"/>
  </r>
  <r>
    <x v="385"/>
    <x v="1"/>
    <x v="1"/>
    <x v="2"/>
    <x v="279"/>
    <x v="136"/>
    <n v="54.28"/>
    <n v="28.5"/>
    <n v="45.613445378151262"/>
    <n v="34.200000000000003"/>
    <n v="11.413445378151259"/>
    <x v="388"/>
  </r>
  <r>
    <x v="386"/>
    <x v="1"/>
    <x v="0"/>
    <x v="2"/>
    <x v="280"/>
    <x v="188"/>
    <n v="103.84"/>
    <n v="22.79"/>
    <n v="87.260504201680675"/>
    <n v="65.635199999999998"/>
    <n v="21.625304201680677"/>
    <x v="389"/>
  </r>
  <r>
    <x v="387"/>
    <x v="1"/>
    <x v="1"/>
    <x v="1"/>
    <x v="281"/>
    <x v="76"/>
    <n v="61.16"/>
    <n v="31.81"/>
    <n v="51.394957983193279"/>
    <n v="46.7607"/>
    <n v="4.6342579831932795"/>
    <x v="390"/>
  </r>
  <r>
    <x v="388"/>
    <x v="0"/>
    <x v="0"/>
    <x v="2"/>
    <x v="156"/>
    <x v="256"/>
    <n v="77.569999999999993"/>
    <n v="22.7"/>
    <n v="65.184873949579824"/>
    <n v="43.810999999999993"/>
    <n v="21.373873949579831"/>
    <x v="391"/>
  </r>
  <r>
    <x v="389"/>
    <x v="0"/>
    <x v="1"/>
    <x v="1"/>
    <x v="41"/>
    <x v="75"/>
    <n v="61.01"/>
    <n v="30.27"/>
    <n v="51.268907563025209"/>
    <n v="40.561799999999998"/>
    <n v="10.707107563025211"/>
    <x v="392"/>
  </r>
  <r>
    <x v="390"/>
    <x v="1"/>
    <x v="0"/>
    <x v="0"/>
    <x v="144"/>
    <x v="118"/>
    <n v="75.150000000000006"/>
    <n v="24.32"/>
    <n v="63.151260504201687"/>
    <n v="46.207999999999998"/>
    <n v="16.943260504201689"/>
    <x v="393"/>
  </r>
  <r>
    <x v="391"/>
    <x v="0"/>
    <x v="1"/>
    <x v="0"/>
    <x v="189"/>
    <x v="27"/>
    <n v="64.11"/>
    <n v="29.96"/>
    <n v="53.873949579831937"/>
    <n v="43.741599999999998"/>
    <n v="10.132349579831939"/>
    <x v="394"/>
  </r>
  <r>
    <x v="392"/>
    <x v="1"/>
    <x v="2"/>
    <x v="1"/>
    <x v="282"/>
    <x v="189"/>
    <n v="194.29"/>
    <n v="19.72"/>
    <n v="163.26890756302521"/>
    <n v="108.85439999999998"/>
    <n v="54.414507563025225"/>
    <x v="395"/>
  </r>
  <r>
    <x v="393"/>
    <x v="1"/>
    <x v="2"/>
    <x v="0"/>
    <x v="206"/>
    <x v="257"/>
    <n v="214.06"/>
    <n v="17.649999999999999"/>
    <n v="179.88235294117649"/>
    <n v="115.07799999999999"/>
    <n v="64.804352941176504"/>
    <x v="396"/>
  </r>
  <r>
    <x v="394"/>
    <x v="0"/>
    <x v="2"/>
    <x v="1"/>
    <x v="101"/>
    <x v="6"/>
    <n v="114.6"/>
    <n v="19.260000000000002"/>
    <n v="96.30252100840336"/>
    <n v="68.565600000000003"/>
    <n v="27.736921008403357"/>
    <x v="397"/>
  </r>
  <r>
    <x v="395"/>
    <x v="1"/>
    <x v="0"/>
    <x v="2"/>
    <x v="283"/>
    <x v="258"/>
    <n v="69.150000000000006"/>
    <n v="23.49"/>
    <n v="58.109243697479002"/>
    <n v="41.342399999999998"/>
    <n v="16.766843697479004"/>
    <x v="398"/>
  </r>
  <r>
    <x v="396"/>
    <x v="1"/>
    <x v="1"/>
    <x v="0"/>
    <x v="284"/>
    <x v="259"/>
    <n v="46.9"/>
    <n v="30.65"/>
    <n v="39.411764705882355"/>
    <n v="32.795499999999997"/>
    <n v="6.616264705882358"/>
    <x v="399"/>
  </r>
  <r>
    <x v="397"/>
    <x v="0"/>
    <x v="2"/>
    <x v="1"/>
    <x v="285"/>
    <x v="116"/>
    <n v="135.38999999999999"/>
    <n v="17.21"/>
    <n v="113.77310924369748"/>
    <n v="72.282000000000011"/>
    <n v="41.491109243697466"/>
    <x v="400"/>
  </r>
  <r>
    <x v="398"/>
    <x v="1"/>
    <x v="1"/>
    <x v="2"/>
    <x v="164"/>
    <x v="206"/>
    <n v="50.67"/>
    <n v="30.28"/>
    <n v="42.579831932773111"/>
    <n v="31.491199999999999"/>
    <n v="11.088631932773112"/>
    <x v="401"/>
  </r>
  <r>
    <x v="399"/>
    <x v="0"/>
    <x v="1"/>
    <x v="2"/>
    <x v="286"/>
    <x v="260"/>
    <n v="66.989999999999995"/>
    <n v="28.74"/>
    <n v="56.294117647058819"/>
    <n v="45.696599999999997"/>
    <n v="10.597517647058822"/>
    <x v="402"/>
  </r>
  <r>
    <x v="400"/>
    <x v="1"/>
    <x v="1"/>
    <x v="2"/>
    <x v="245"/>
    <x v="206"/>
    <n v="48.91"/>
    <n v="29.11"/>
    <n v="41.100840336134453"/>
    <n v="30.2744"/>
    <n v="10.826440336134453"/>
    <x v="403"/>
  </r>
  <r>
    <x v="401"/>
    <x v="0"/>
    <x v="0"/>
    <x v="0"/>
    <x v="40"/>
    <x v="251"/>
    <n v="88.55"/>
    <n v="22.87"/>
    <n v="74.411764705882348"/>
    <n v="48.484400000000008"/>
    <n v="25.92736470588234"/>
    <x v="404"/>
  </r>
  <r>
    <x v="402"/>
    <x v="1"/>
    <x v="2"/>
    <x v="2"/>
    <x v="287"/>
    <x v="117"/>
    <n v="200.14"/>
    <n v="17.41"/>
    <n v="168.18487394957984"/>
    <n v="102.19670000000001"/>
    <n v="65.988173949579831"/>
    <x v="405"/>
  </r>
  <r>
    <x v="403"/>
    <x v="0"/>
    <x v="0"/>
    <x v="1"/>
    <x v="58"/>
    <x v="26"/>
    <n v="97.76"/>
    <n v="25.3"/>
    <n v="82.151260504201687"/>
    <n v="61.226000000000006"/>
    <n v="20.925260504201681"/>
    <x v="406"/>
  </r>
  <r>
    <x v="404"/>
    <x v="0"/>
    <x v="0"/>
    <x v="0"/>
    <x v="288"/>
    <x v="155"/>
    <n v="106.42"/>
    <n v="25.14"/>
    <n v="89.428571428571431"/>
    <n v="74.414400000000001"/>
    <n v="15.01417142857143"/>
    <x v="407"/>
  </r>
  <r>
    <x v="405"/>
    <x v="1"/>
    <x v="1"/>
    <x v="0"/>
    <x v="289"/>
    <x v="20"/>
    <n v="44.36"/>
    <n v="31.71"/>
    <n v="37.27731092436975"/>
    <n v="27.904800000000002"/>
    <n v="9.3725109243697489"/>
    <x v="408"/>
  </r>
  <r>
    <x v="406"/>
    <x v="0"/>
    <x v="2"/>
    <x v="1"/>
    <x v="290"/>
    <x v="261"/>
    <n v="164.72"/>
    <n v="21.35"/>
    <n v="138.42016806722688"/>
    <n v="105.896"/>
    <n v="32.524168067226881"/>
    <x v="409"/>
  </r>
  <r>
    <x v="407"/>
    <x v="0"/>
    <x v="0"/>
    <x v="0"/>
    <x v="109"/>
    <x v="262"/>
    <n v="68.930000000000007"/>
    <n v="24.29"/>
    <n v="57.924369747899171"/>
    <n v="42.021700000000003"/>
    <n v="15.902669747899168"/>
    <x v="410"/>
  </r>
  <r>
    <x v="408"/>
    <x v="1"/>
    <x v="0"/>
    <x v="1"/>
    <x v="291"/>
    <x v="94"/>
    <n v="67.59"/>
    <n v="22.57"/>
    <n v="56.7983193277311"/>
    <n v="39.948900000000002"/>
    <n v="16.849419327731098"/>
    <x v="411"/>
  </r>
  <r>
    <x v="409"/>
    <x v="1"/>
    <x v="1"/>
    <x v="1"/>
    <x v="292"/>
    <x v="260"/>
    <n v="67.88"/>
    <n v="29.5"/>
    <n v="57.042016806722685"/>
    <n v="46.905000000000001"/>
    <n v="10.137016806722684"/>
    <x v="412"/>
  </r>
  <r>
    <x v="410"/>
    <x v="1"/>
    <x v="2"/>
    <x v="0"/>
    <x v="227"/>
    <x v="98"/>
    <n v="134.72999999999999"/>
    <n v="20.49"/>
    <n v="113.21848739495798"/>
    <n v="77.861999999999995"/>
    <n v="35.356487394957981"/>
    <x v="413"/>
  </r>
  <r>
    <x v="411"/>
    <x v="1"/>
    <x v="0"/>
    <x v="1"/>
    <x v="244"/>
    <x v="170"/>
    <n v="97.2"/>
    <n v="23.47"/>
    <n v="81.680672268907571"/>
    <n v="59.848499999999994"/>
    <n v="21.832172268907577"/>
    <x v="414"/>
  </r>
  <r>
    <x v="412"/>
    <x v="0"/>
    <x v="1"/>
    <x v="1"/>
    <x v="293"/>
    <x v="114"/>
    <n v="53.62"/>
    <n v="28.35"/>
    <n v="45.058823529411768"/>
    <n v="33.453000000000003"/>
    <n v="11.605823529411765"/>
    <x v="415"/>
  </r>
  <r>
    <x v="413"/>
    <x v="0"/>
    <x v="1"/>
    <x v="0"/>
    <x v="294"/>
    <x v="68"/>
    <n v="50.69"/>
    <n v="30.23"/>
    <n v="42.596638655462186"/>
    <n v="33.857600000000005"/>
    <n v="8.7390386554621813"/>
    <x v="416"/>
  </r>
  <r>
    <x v="414"/>
    <x v="0"/>
    <x v="0"/>
    <x v="0"/>
    <x v="239"/>
    <x v="142"/>
    <n v="113.09"/>
    <n v="25.38"/>
    <n v="95.033613445378165"/>
    <n v="80.200800000000001"/>
    <n v="14.832813445378164"/>
    <x v="417"/>
  </r>
  <r>
    <x v="415"/>
    <x v="1"/>
    <x v="0"/>
    <x v="0"/>
    <x v="239"/>
    <x v="249"/>
    <n v="67.47"/>
    <n v="25.18"/>
    <n v="56.69747899159664"/>
    <n v="43.0578"/>
    <n v="13.639678991596639"/>
    <x v="418"/>
  </r>
  <r>
    <x v="416"/>
    <x v="1"/>
    <x v="1"/>
    <x v="0"/>
    <x v="179"/>
    <x v="29"/>
    <n v="56.92"/>
    <n v="28.7"/>
    <n v="47.831932773109244"/>
    <n v="39.893000000000001"/>
    <n v="7.9389327731092436"/>
    <x v="419"/>
  </r>
  <r>
    <x v="417"/>
    <x v="1"/>
    <x v="2"/>
    <x v="2"/>
    <x v="295"/>
    <x v="263"/>
    <n v="208.09"/>
    <n v="19.86"/>
    <n v="174.8655462184874"/>
    <n v="130.083"/>
    <n v="44.782546218487397"/>
    <x v="420"/>
  </r>
  <r>
    <x v="418"/>
    <x v="1"/>
    <x v="1"/>
    <x v="0"/>
    <x v="151"/>
    <x v="17"/>
    <n v="59.57"/>
    <n v="28.88"/>
    <n v="50.058823529411768"/>
    <n v="37.544000000000004"/>
    <n v="12.514823529411764"/>
    <x v="421"/>
  </r>
  <r>
    <x v="419"/>
    <x v="0"/>
    <x v="0"/>
    <x v="1"/>
    <x v="296"/>
    <x v="264"/>
    <n v="0"/>
    <n v="22.87"/>
    <n v="0"/>
    <n v="73.641400000000004"/>
    <n v="-73.641400000000004"/>
    <x v="422"/>
  </r>
  <r>
    <x v="420"/>
    <x v="0"/>
    <x v="2"/>
    <x v="0"/>
    <x v="297"/>
    <x v="265"/>
    <n v="122.53"/>
    <n v="20.87"/>
    <n v="102.96638655462185"/>
    <n v="73.045000000000002"/>
    <n v="29.921386554621847"/>
    <x v="423"/>
  </r>
  <r>
    <x v="421"/>
    <x v="0"/>
    <x v="0"/>
    <x v="0"/>
    <x v="298"/>
    <x v="110"/>
    <n v="88.68"/>
    <n v="23"/>
    <n v="74.52100840336135"/>
    <n v="54.28"/>
    <n v="20.241008403361349"/>
    <x v="424"/>
  </r>
  <r>
    <x v="422"/>
    <x v="0"/>
    <x v="0"/>
    <x v="2"/>
    <x v="299"/>
    <x v="266"/>
    <n v="79.03"/>
    <n v="23.05"/>
    <n v="66.411764705882362"/>
    <n v="48.405000000000001"/>
    <n v="18.006764705882361"/>
    <x v="425"/>
  </r>
  <r>
    <x v="423"/>
    <x v="0"/>
    <x v="0"/>
    <x v="1"/>
    <x v="300"/>
    <x v="230"/>
    <n v="105.64"/>
    <n v="22"/>
    <n v="88.77310924369749"/>
    <n v="0"/>
    <n v="88.77310924369749"/>
    <x v="336"/>
  </r>
  <r>
    <x v="424"/>
    <x v="1"/>
    <x v="1"/>
    <x v="0"/>
    <x v="11"/>
    <x v="173"/>
    <n v="69.41"/>
    <n v="31.48"/>
    <n v="58.327731092436977"/>
    <n v="51.942"/>
    <n v="6.385731092436977"/>
    <x v="426"/>
  </r>
  <r>
    <x v="425"/>
    <x v="0"/>
    <x v="2"/>
    <x v="0"/>
    <x v="196"/>
    <x v="267"/>
    <n v="135.01"/>
    <n v="20.46"/>
    <n v="113.45378151260503"/>
    <n v="85.727400000000003"/>
    <n v="27.72638151260503"/>
    <x v="427"/>
  </r>
  <r>
    <x v="426"/>
    <x v="0"/>
    <x v="0"/>
    <x v="0"/>
    <x v="301"/>
    <x v="141"/>
    <n v="107.11"/>
    <n v="24.51"/>
    <n v="90.008403361344548"/>
    <n v="67.647599999999997"/>
    <n v="22.360803361344551"/>
    <x v="428"/>
  </r>
  <r>
    <x v="427"/>
    <x v="0"/>
    <x v="2"/>
    <x v="0"/>
    <x v="136"/>
    <x v="268"/>
    <n v="138.72"/>
    <n v="20.25"/>
    <n v="116.57142857142857"/>
    <n v="80.797499999999999"/>
    <n v="35.77392857142857"/>
    <x v="429"/>
  </r>
  <r>
    <x v="428"/>
    <x v="1"/>
    <x v="1"/>
    <x v="1"/>
    <x v="104"/>
    <x v="17"/>
    <n v="57.55"/>
    <n v="28.61"/>
    <n v="48.361344537815128"/>
    <n v="37.192999999999998"/>
    <n v="11.16834453781513"/>
    <x v="430"/>
  </r>
  <r>
    <x v="429"/>
    <x v="1"/>
    <x v="1"/>
    <x v="0"/>
    <x v="302"/>
    <x v="139"/>
    <n v="55.58"/>
    <n v="29.83"/>
    <n v="46.705882352941174"/>
    <n v="36.392599999999995"/>
    <n v="10.313282352941179"/>
    <x v="431"/>
  </r>
  <r>
    <x v="430"/>
    <x v="0"/>
    <x v="1"/>
    <x v="0"/>
    <x v="1"/>
    <x v="173"/>
    <n v="71.739999999999995"/>
    <n v="29.4"/>
    <n v="60.285714285714285"/>
    <n v="48.51"/>
    <n v="11.775714285714287"/>
    <x v="432"/>
  </r>
  <r>
    <x v="431"/>
    <x v="0"/>
    <x v="0"/>
    <x v="0"/>
    <x v="303"/>
    <x v="269"/>
    <n v="97.14"/>
    <n v="22.38"/>
    <n v="81.630252100840337"/>
    <n v="59.978400000000001"/>
    <n v="21.651852100840337"/>
    <x v="433"/>
  </r>
  <r>
    <x v="432"/>
    <x v="1"/>
    <x v="0"/>
    <x v="2"/>
    <x v="3"/>
    <x v="28"/>
    <n v="84.1"/>
    <n v="23.94"/>
    <n v="70.672268907563023"/>
    <n v="53.865000000000002"/>
    <n v="16.807268907563021"/>
    <x v="434"/>
  </r>
  <r>
    <x v="433"/>
    <x v="0"/>
    <x v="2"/>
    <x v="2"/>
    <x v="124"/>
    <x v="270"/>
    <n v="125.65"/>
    <n v="23.1"/>
    <n v="105.58823529411765"/>
    <n v="85.701000000000008"/>
    <n v="19.887235294117644"/>
    <x v="435"/>
  </r>
  <r>
    <x v="434"/>
    <x v="1"/>
    <x v="0"/>
    <x v="0"/>
    <x v="304"/>
    <x v="33"/>
    <n v="79.77"/>
    <n v="22.16"/>
    <n v="67.033613445378151"/>
    <n v="42.547200000000004"/>
    <n v="24.486413445378147"/>
    <x v="436"/>
  </r>
  <r>
    <x v="435"/>
    <x v="1"/>
    <x v="2"/>
    <x v="1"/>
    <x v="305"/>
    <x v="271"/>
    <n v="145.65"/>
    <n v="17.96"/>
    <n v="122.39495798319329"/>
    <n v="73.276800000000009"/>
    <n v="49.118157983193285"/>
    <x v="437"/>
  </r>
  <r>
    <x v="436"/>
    <x v="0"/>
    <x v="1"/>
    <x v="0"/>
    <x v="306"/>
    <x v="206"/>
    <n v="46.85"/>
    <n v="28.83"/>
    <n v="39.36974789915967"/>
    <n v="29.983199999999997"/>
    <n v="9.3865478991596731"/>
    <x v="438"/>
  </r>
  <r>
    <x v="437"/>
    <x v="0"/>
    <x v="2"/>
    <x v="0"/>
    <x v="307"/>
    <x v="272"/>
    <n v="213.34"/>
    <n v="17.690000000000001"/>
    <n v="179.27731092436977"/>
    <n v="109.14730000000002"/>
    <n v="70.130010924369756"/>
    <x v="439"/>
  </r>
  <r>
    <x v="438"/>
    <x v="1"/>
    <x v="2"/>
    <x v="1"/>
    <x v="308"/>
    <x v="273"/>
    <n v="181.76"/>
    <n v="21.04"/>
    <n v="152.73949579831933"/>
    <n v="109.40799999999999"/>
    <n v="43.331495798319338"/>
    <x v="440"/>
  </r>
  <r>
    <x v="439"/>
    <x v="0"/>
    <x v="2"/>
    <x v="2"/>
    <x v="309"/>
    <x v="274"/>
    <n v="164.01"/>
    <n v="20.84"/>
    <n v="137.8235294117647"/>
    <n v="105.8672"/>
    <n v="31.956329411764699"/>
    <x v="441"/>
  </r>
  <r>
    <x v="440"/>
    <x v="0"/>
    <x v="2"/>
    <x v="2"/>
    <x v="268"/>
    <x v="270"/>
    <n v="127.41"/>
    <n v="18.829999999999998"/>
    <n v="107.0672268907563"/>
    <n v="69.85929999999999"/>
    <n v="37.207926890756312"/>
    <x v="442"/>
  </r>
  <r>
    <x v="441"/>
    <x v="1"/>
    <x v="2"/>
    <x v="1"/>
    <x v="310"/>
    <x v="275"/>
    <n v="206.55"/>
    <n v="20.3"/>
    <n v="173.57142857142858"/>
    <n v="125.86"/>
    <n v="47.711428571428584"/>
    <x v="443"/>
  </r>
  <r>
    <x v="442"/>
    <x v="1"/>
    <x v="0"/>
    <x v="0"/>
    <x v="243"/>
    <x v="218"/>
    <n v="114.51"/>
    <n v="22.62"/>
    <n v="96.226890756302524"/>
    <n v="64.91940000000001"/>
    <n v="31.307490756302514"/>
    <x v="444"/>
  </r>
  <r>
    <x v="443"/>
    <x v="1"/>
    <x v="1"/>
    <x v="1"/>
    <x v="311"/>
    <x v="80"/>
    <n v="43.44"/>
    <n v="29.95"/>
    <n v="36.504201680672267"/>
    <n v="26.655499999999996"/>
    <n v="9.8487016806722707"/>
    <x v="445"/>
  </r>
  <r>
    <x v="444"/>
    <x v="1"/>
    <x v="1"/>
    <x v="0"/>
    <x v="224"/>
    <x v="276"/>
    <n v="65.19"/>
    <n v="29.72"/>
    <n v="54.781512605042018"/>
    <n v="42.202399999999997"/>
    <n v="12.57911260504202"/>
    <x v="446"/>
  </r>
  <r>
    <x v="445"/>
    <x v="0"/>
    <x v="2"/>
    <x v="1"/>
    <x v="312"/>
    <x v="277"/>
    <n v="167.82"/>
    <n v="19.48"/>
    <n v="141.0252100840336"/>
    <n v="100.12719999999999"/>
    <n v="40.898010084033615"/>
    <x v="447"/>
  </r>
  <r>
    <x v="446"/>
    <x v="0"/>
    <x v="0"/>
    <x v="0"/>
    <x v="60"/>
    <x v="160"/>
    <n v="73.44"/>
    <n v="26"/>
    <n v="61.714285714285715"/>
    <n v="47.06"/>
    <n v="14.654285714285713"/>
    <x v="448"/>
  </r>
  <r>
    <x v="447"/>
    <x v="1"/>
    <x v="2"/>
    <x v="1"/>
    <x v="313"/>
    <x v="278"/>
    <n v="163.26"/>
    <n v="22.35"/>
    <n v="137.19327731092437"/>
    <n v="108.62100000000001"/>
    <n v="28.572277310924363"/>
    <x v="449"/>
  </r>
  <r>
    <x v="448"/>
    <x v="1"/>
    <x v="0"/>
    <x v="0"/>
    <x v="314"/>
    <x v="127"/>
    <n v="98.77"/>
    <n v="23.59"/>
    <n v="83"/>
    <n v="58.5032"/>
    <n v="24.4968"/>
    <x v="450"/>
  </r>
  <r>
    <x v="449"/>
    <x v="0"/>
    <x v="1"/>
    <x v="0"/>
    <x v="315"/>
    <x v="194"/>
    <n v="48.01"/>
    <n v="31.31"/>
    <n v="40.344537815126053"/>
    <n v="30.370699999999996"/>
    <n v="9.9738378151260569"/>
    <x v="451"/>
  </r>
  <r>
    <x v="450"/>
    <x v="1"/>
    <x v="1"/>
    <x v="2"/>
    <x v="174"/>
    <x v="47"/>
    <n v="68.680000000000007"/>
    <n v="28.68"/>
    <n v="57.714285714285722"/>
    <n v="46.461599999999997"/>
    <n v="11.252685714285725"/>
    <x v="452"/>
  </r>
  <r>
    <x v="451"/>
    <x v="0"/>
    <x v="0"/>
    <x v="0"/>
    <x v="171"/>
    <x v="54"/>
    <n v="120.32"/>
    <n v="22.12"/>
    <n v="101.10924369747899"/>
    <n v="68.129599999999996"/>
    <n v="32.979643697478991"/>
    <x v="453"/>
  </r>
  <r>
    <x v="452"/>
    <x v="0"/>
    <x v="0"/>
    <x v="0"/>
    <x v="316"/>
    <x v="14"/>
    <n v="100.1"/>
    <n v="22.82"/>
    <n v="84.117647058823522"/>
    <n v="63.439599999999999"/>
    <n v="20.678047058823523"/>
    <x v="454"/>
  </r>
  <r>
    <x v="453"/>
    <x v="0"/>
    <x v="1"/>
    <x v="0"/>
    <x v="317"/>
    <x v="139"/>
    <n v="53.45"/>
    <n v="29.36"/>
    <n v="44.915966386554629"/>
    <n v="35.819200000000002"/>
    <n v="9.0967663865546271"/>
    <x v="455"/>
  </r>
  <r>
    <x v="454"/>
    <x v="0"/>
    <x v="0"/>
    <x v="0"/>
    <x v="318"/>
    <x v="279"/>
    <n v="87.55"/>
    <n v="24.04"/>
    <n v="73.571428571428569"/>
    <n v="56.494"/>
    <n v="17.07742857142857"/>
    <x v="456"/>
  </r>
  <r>
    <x v="455"/>
    <x v="0"/>
    <x v="1"/>
    <x v="0"/>
    <x v="315"/>
    <x v="157"/>
    <n v="59.44"/>
    <n v="30.46"/>
    <n v="49.949579831932773"/>
    <n v="42.034800000000004"/>
    <n v="7.9147798319327691"/>
    <x v="457"/>
  </r>
  <r>
    <x v="456"/>
    <x v="0"/>
    <x v="0"/>
    <x v="0"/>
    <x v="108"/>
    <x v="125"/>
    <n v="0"/>
    <n v="25.64"/>
    <n v="0"/>
    <n v="66.151200000000003"/>
    <n v="-66.151200000000003"/>
    <x v="458"/>
  </r>
  <r>
    <x v="457"/>
    <x v="0"/>
    <x v="1"/>
    <x v="2"/>
    <x v="319"/>
    <x v="20"/>
    <n v="41.15"/>
    <n v="30.04"/>
    <n v="34.579831932773111"/>
    <n v="26.435199999999998"/>
    <n v="8.1446319327731125"/>
    <x v="459"/>
  </r>
  <r>
    <x v="458"/>
    <x v="1"/>
    <x v="2"/>
    <x v="0"/>
    <x v="173"/>
    <x v="280"/>
    <n v="172.82"/>
    <n v="19.010000000000002"/>
    <n v="145.22689075630251"/>
    <n v="95.810400000000016"/>
    <n v="49.416490756302494"/>
    <x v="460"/>
  </r>
  <r>
    <x v="459"/>
    <x v="1"/>
    <x v="1"/>
    <x v="2"/>
    <x v="320"/>
    <x v="176"/>
    <n v="67.75"/>
    <n v="30.2"/>
    <n v="56.932773109243698"/>
    <n v="45.601999999999997"/>
    <n v="11.330773109243701"/>
    <x v="461"/>
  </r>
  <r>
    <x v="460"/>
    <x v="1"/>
    <x v="0"/>
    <x v="1"/>
    <x v="321"/>
    <x v="93"/>
    <n v="89.11"/>
    <n v="22.14"/>
    <n v="74.882352941176478"/>
    <n v="53.800200000000004"/>
    <n v="21.082152941176474"/>
    <x v="462"/>
  </r>
  <r>
    <x v="461"/>
    <x v="1"/>
    <x v="1"/>
    <x v="0"/>
    <x v="322"/>
    <x v="193"/>
    <n v="45.38"/>
    <n v="30.2"/>
    <n v="38.134453781512612"/>
    <n v="26.274000000000001"/>
    <n v="11.860453781512611"/>
    <x v="463"/>
  </r>
  <r>
    <x v="462"/>
    <x v="0"/>
    <x v="1"/>
    <x v="1"/>
    <x v="323"/>
    <x v="62"/>
    <n v="63.72"/>
    <n v="31.75"/>
    <n v="53.54621848739496"/>
    <n v="47.307499999999997"/>
    <n v="6.2387184873949622"/>
    <x v="464"/>
  </r>
  <r>
    <x v="463"/>
    <x v="0"/>
    <x v="0"/>
    <x v="0"/>
    <x v="124"/>
    <x v="281"/>
    <n v="75.05"/>
    <n v="27.36"/>
    <n v="63.067226890756302"/>
    <n v="54.72"/>
    <n v="8.3472268907563034"/>
    <x v="465"/>
  </r>
  <r>
    <x v="464"/>
    <x v="1"/>
    <x v="0"/>
    <x v="1"/>
    <x v="324"/>
    <x v="266"/>
    <n v="80.400000000000006"/>
    <n v="22.64"/>
    <n v="67.563025210084035"/>
    <n v="47.544000000000004"/>
    <n v="20.019025210084031"/>
    <x v="466"/>
  </r>
  <r>
    <x v="465"/>
    <x v="0"/>
    <x v="0"/>
    <x v="0"/>
    <x v="325"/>
    <x v="282"/>
    <n v="81.459999999999994"/>
    <n v="22.1"/>
    <n v="68.453781512605033"/>
    <n v="42.874000000000002"/>
    <n v="25.579781512605031"/>
    <x v="467"/>
  </r>
  <r>
    <x v="466"/>
    <x v="1"/>
    <x v="1"/>
    <x v="0"/>
    <x v="326"/>
    <x v="233"/>
    <n v="51.33"/>
    <n v="29.8"/>
    <n v="43.134453781512605"/>
    <n v="33.078000000000003"/>
    <n v="10.056453781512602"/>
    <x v="468"/>
  </r>
  <r>
    <x v="467"/>
    <x v="0"/>
    <x v="0"/>
    <x v="2"/>
    <x v="232"/>
    <x v="283"/>
    <n v="112.18"/>
    <n v="22.95"/>
    <n v="94.268907563025223"/>
    <n v="67.243499999999997"/>
    <n v="27.025407563025226"/>
    <x v="469"/>
  </r>
  <r>
    <x v="468"/>
    <x v="1"/>
    <x v="2"/>
    <x v="2"/>
    <x v="327"/>
    <x v="145"/>
    <n v="178.72"/>
    <n v="16.75"/>
    <n v="150.18487394957984"/>
    <n v="84.754999999999995"/>
    <n v="65.429873949579843"/>
    <x v="470"/>
  </r>
  <r>
    <x v="469"/>
    <x v="0"/>
    <x v="2"/>
    <x v="2"/>
    <x v="328"/>
    <x v="284"/>
    <n v="130.93"/>
    <n v="22.12"/>
    <n v="110.02521008403363"/>
    <n v="88.701200000000014"/>
    <n v="21.324010084033617"/>
    <x v="471"/>
  </r>
  <r>
    <x v="470"/>
    <x v="1"/>
    <x v="1"/>
    <x v="0"/>
    <x v="204"/>
    <x v="59"/>
    <n v="67.44"/>
    <n v="28.45"/>
    <n v="56.672268907563023"/>
    <n v="44.666499999999999"/>
    <n v="12.005768907563024"/>
    <x v="472"/>
  </r>
  <r>
    <x v="471"/>
    <x v="0"/>
    <x v="0"/>
    <x v="1"/>
    <x v="2"/>
    <x v="285"/>
    <n v="117.96"/>
    <n v="24.43"/>
    <n v="99.12605042016807"/>
    <n v="76.465900000000005"/>
    <n v="22.660150420168065"/>
    <x v="473"/>
  </r>
  <r>
    <x v="472"/>
    <x v="1"/>
    <x v="1"/>
    <x v="0"/>
    <x v="329"/>
    <x v="202"/>
    <n v="65.31"/>
    <n v="29.12"/>
    <n v="54.882352941176478"/>
    <n v="45.427199999999999"/>
    <n v="9.455152941176479"/>
    <x v="474"/>
  </r>
  <r>
    <x v="473"/>
    <x v="0"/>
    <x v="1"/>
    <x v="0"/>
    <x v="330"/>
    <x v="97"/>
    <n v="46.2"/>
    <n v="28.69"/>
    <n v="38.82352941176471"/>
    <n v="29.550700000000003"/>
    <n v="9.2728294117647074"/>
    <x v="475"/>
  </r>
  <r>
    <x v="474"/>
    <x v="1"/>
    <x v="2"/>
    <x v="0"/>
    <x v="184"/>
    <x v="286"/>
    <n v="161.16"/>
    <n v="18.399999999999999"/>
    <n v="135.42857142857144"/>
    <n v="89.055999999999983"/>
    <n v="46.372571428571462"/>
    <x v="476"/>
  </r>
  <r>
    <x v="475"/>
    <x v="1"/>
    <x v="1"/>
    <x v="1"/>
    <x v="196"/>
    <x v="208"/>
    <n v="72.72"/>
    <n v="31.21"/>
    <n v="61.109243697478995"/>
    <n v="51.808600000000006"/>
    <n v="9.3006436974789892"/>
    <x v="477"/>
  </r>
  <r>
    <x v="476"/>
    <x v="0"/>
    <x v="0"/>
    <x v="0"/>
    <x v="331"/>
    <x v="112"/>
    <n v="110.32"/>
    <n v="23.57"/>
    <n v="92.705882352941174"/>
    <n v="69.531499999999994"/>
    <n v="23.17438235294118"/>
    <x v="478"/>
  </r>
  <r>
    <x v="477"/>
    <x v="1"/>
    <x v="0"/>
    <x v="0"/>
    <x v="300"/>
    <x v="287"/>
    <n v="70.3"/>
    <n v="25"/>
    <n v="59.075630252100844"/>
    <n v="43"/>
    <n v="16.075630252100844"/>
    <x v="479"/>
  </r>
  <r>
    <x v="478"/>
    <x v="1"/>
    <x v="0"/>
    <x v="2"/>
    <x v="332"/>
    <x v="171"/>
    <n v="71.959999999999994"/>
    <n v="22.5"/>
    <n v="60.470588235294116"/>
    <n v="-3.375"/>
    <n v="63.845588235294116"/>
    <x v="480"/>
  </r>
  <r>
    <x v="479"/>
    <x v="0"/>
    <x v="0"/>
    <x v="0"/>
    <x v="194"/>
    <x v="204"/>
    <n v="92.14"/>
    <n v="25.09"/>
    <n v="77.428571428571431"/>
    <n v="61.2196"/>
    <n v="16.208971428571431"/>
    <x v="481"/>
  </r>
  <r>
    <x v="480"/>
    <x v="1"/>
    <x v="1"/>
    <x v="0"/>
    <x v="81"/>
    <x v="260"/>
    <n v="70.11"/>
    <n v="28.95"/>
    <n v="58.915966386554622"/>
    <n v="46.030500000000004"/>
    <n v="12.885466386554619"/>
    <x v="482"/>
  </r>
  <r>
    <x v="481"/>
    <x v="1"/>
    <x v="1"/>
    <x v="0"/>
    <x v="333"/>
    <x v="9"/>
    <n v="55.42"/>
    <n v="32.71"/>
    <n v="46.571428571428577"/>
    <n v="41.8688"/>
    <n v="4.7026285714285763"/>
    <x v="483"/>
  </r>
  <r>
    <x v="482"/>
    <x v="1"/>
    <x v="0"/>
    <x v="2"/>
    <x v="334"/>
    <x v="53"/>
    <n v="99.72"/>
    <n v="24.26"/>
    <n v="83.798319327731093"/>
    <n v="60.65"/>
    <n v="23.148319327731095"/>
    <x v="484"/>
  </r>
  <r>
    <x v="483"/>
    <x v="0"/>
    <x v="1"/>
    <x v="0"/>
    <x v="335"/>
    <x v="124"/>
    <n v="44.91"/>
    <n v="31.72"/>
    <n v="37.739495798319325"/>
    <n v="29.182399999999998"/>
    <n v="8.5570957983193274"/>
    <x v="485"/>
  </r>
  <r>
    <x v="484"/>
    <x v="0"/>
    <x v="0"/>
    <x v="0"/>
    <x v="105"/>
    <x v="141"/>
    <n v="100.28"/>
    <n v="25.55"/>
    <n v="84.268907563025209"/>
    <n v="70.518000000000001"/>
    <n v="13.750907563025208"/>
    <x v="486"/>
  </r>
  <r>
    <x v="485"/>
    <x v="1"/>
    <x v="1"/>
    <x v="2"/>
    <x v="149"/>
    <x v="71"/>
    <n v="64.900000000000006"/>
    <n v="28.26"/>
    <n v="54.537815126050425"/>
    <n v="42.955200000000005"/>
    <n v="11.58261512605042"/>
    <x v="487"/>
  </r>
  <r>
    <x v="486"/>
    <x v="1"/>
    <x v="1"/>
    <x v="2"/>
    <x v="88"/>
    <x v="164"/>
    <n v="53.58"/>
    <n v="28.08"/>
    <n v="45.025210084033617"/>
    <n v="32.292000000000002"/>
    <n v="12.733210084033615"/>
    <x v="488"/>
  </r>
  <r>
    <x v="487"/>
    <x v="0"/>
    <x v="0"/>
    <x v="0"/>
    <x v="306"/>
    <x v="155"/>
    <n v="106.89"/>
    <n v="25.31"/>
    <n v="89.82352941176471"/>
    <n v="74.917599999999993"/>
    <n v="14.905929411764717"/>
    <x v="489"/>
  </r>
  <r>
    <x v="488"/>
    <x v="1"/>
    <x v="1"/>
    <x v="1"/>
    <x v="336"/>
    <x v="83"/>
    <n v="69.099999999999994"/>
    <n v="30.1"/>
    <n v="58.067226890756302"/>
    <n v="49.364000000000004"/>
    <n v="8.703226890756298"/>
    <x v="490"/>
  </r>
  <r>
    <x v="489"/>
    <x v="0"/>
    <x v="0"/>
    <x v="1"/>
    <x v="144"/>
    <x v="165"/>
    <n v="77.09"/>
    <n v="25.1"/>
    <n v="64.781512605042025"/>
    <n v="50.451000000000001"/>
    <n v="14.330512605042024"/>
    <x v="491"/>
  </r>
  <r>
    <x v="490"/>
    <x v="0"/>
    <x v="0"/>
    <x v="1"/>
    <x v="337"/>
    <x v="288"/>
    <n v="96.92"/>
    <n v="22.94"/>
    <n v="81.445378151260513"/>
    <n v="58.267600000000002"/>
    <n v="23.177778151260512"/>
    <x v="492"/>
  </r>
  <r>
    <x v="491"/>
    <x v="0"/>
    <x v="2"/>
    <x v="0"/>
    <x v="338"/>
    <x v="289"/>
    <n v="149.53"/>
    <n v="18.23"/>
    <n v="125.65546218487395"/>
    <n v="78.206699999999998"/>
    <n v="47.448762184873956"/>
    <x v="493"/>
  </r>
  <r>
    <x v="492"/>
    <x v="0"/>
    <x v="1"/>
    <x v="2"/>
    <x v="339"/>
    <x v="30"/>
    <n v="63.27"/>
    <n v="28.12"/>
    <n v="53.168067226890763"/>
    <n v="42.18"/>
    <n v="10.988067226890763"/>
    <x v="494"/>
  </r>
  <r>
    <x v="493"/>
    <x v="1"/>
    <x v="1"/>
    <x v="0"/>
    <x v="340"/>
    <x v="175"/>
    <n v="57.85"/>
    <n v="31.85"/>
    <n v="48.613445378151262"/>
    <n v="42.042000000000002"/>
    <n v="6.5714453781512603"/>
    <x v="495"/>
  </r>
  <r>
    <x v="494"/>
    <x v="0"/>
    <x v="1"/>
    <x v="0"/>
    <x v="287"/>
    <x v="140"/>
    <n v="58.46"/>
    <n v="30.67"/>
    <n v="49.12605042016807"/>
    <n v="41.711199999999998"/>
    <n v="7.4148504201680723"/>
    <x v="496"/>
  </r>
  <r>
    <x v="495"/>
    <x v="1"/>
    <x v="0"/>
    <x v="0"/>
    <x v="341"/>
    <x v="123"/>
    <n v="110.56"/>
    <n v="25.73"/>
    <n v="92.907563025210095"/>
    <n v="77.19"/>
    <n v="15.717563025210097"/>
    <x v="497"/>
  </r>
  <r>
    <x v="496"/>
    <x v="1"/>
    <x v="0"/>
    <x v="0"/>
    <x v="342"/>
    <x v="49"/>
    <n v="87.91"/>
    <n v="23.06"/>
    <n v="73.87394957983193"/>
    <n v="53.729799999999997"/>
    <n v="20.144149579831932"/>
    <x v="498"/>
  </r>
  <r>
    <x v="497"/>
    <x v="1"/>
    <x v="1"/>
    <x v="0"/>
    <x v="28"/>
    <x v="290"/>
    <n v="69.95"/>
    <n v="30.45"/>
    <n v="58.781512605042025"/>
    <n v="48.72"/>
    <n v="10.061512605042026"/>
    <x v="499"/>
  </r>
  <r>
    <x v="498"/>
    <x v="0"/>
    <x v="2"/>
    <x v="1"/>
    <x v="191"/>
    <x v="291"/>
    <n v="167.91"/>
    <n v="21.89"/>
    <n v="141.10084033613447"/>
    <n v="111.85790000000001"/>
    <n v="29.242940336134453"/>
    <x v="500"/>
  </r>
  <r>
    <x v="499"/>
    <x v="0"/>
    <x v="1"/>
    <x v="0"/>
    <x v="21"/>
    <x v="128"/>
    <n v="46.22"/>
    <n v="29.27"/>
    <n v="38.840336134453786"/>
    <n v="28.0992"/>
    <n v="10.741136134453786"/>
    <x v="501"/>
  </r>
  <r>
    <x v="500"/>
    <x v="1"/>
    <x v="0"/>
    <x v="0"/>
    <x v="343"/>
    <x v="102"/>
    <n v="104.6"/>
    <n v="25.39"/>
    <n v="87.899159663865547"/>
    <n v="71.599800000000002"/>
    <n v="16.299359663865545"/>
    <x v="502"/>
  </r>
  <r>
    <x v="501"/>
    <x v="1"/>
    <x v="0"/>
    <x v="0"/>
    <x v="103"/>
    <x v="223"/>
    <n v="112.85"/>
    <n v="25.79"/>
    <n v="94.831932773109244"/>
    <n v="77.112099999999998"/>
    <n v="17.719832773109246"/>
    <x v="503"/>
  </r>
  <r>
    <x v="502"/>
    <x v="0"/>
    <x v="2"/>
    <x v="0"/>
    <x v="182"/>
    <x v="292"/>
    <n v="144.49"/>
    <n v="20.92"/>
    <n v="121.42016806722691"/>
    <n v="91.838800000000006"/>
    <n v="29.581368067226904"/>
    <x v="504"/>
  </r>
  <r>
    <x v="503"/>
    <x v="1"/>
    <x v="0"/>
    <x v="2"/>
    <x v="17"/>
    <x v="293"/>
    <n v="119.27"/>
    <n v="24.96"/>
    <n v="100.22689075630252"/>
    <n v="77.126400000000004"/>
    <n v="23.10049075630252"/>
    <x v="505"/>
  </r>
  <r>
    <x v="504"/>
    <x v="1"/>
    <x v="2"/>
    <x v="0"/>
    <x v="344"/>
    <x v="294"/>
    <n v="201.03"/>
    <n v="0.19"/>
    <n v="168.9327731092437"/>
    <n v="1.2084000000000001"/>
    <n v="167.72437310924369"/>
    <x v="506"/>
  </r>
  <r>
    <x v="505"/>
    <x v="1"/>
    <x v="1"/>
    <x v="0"/>
    <x v="345"/>
    <x v="295"/>
    <n v="51.38"/>
    <n v="31.13"/>
    <n v="43.176470588235297"/>
    <n v="32.997799999999998"/>
    <n v="10.178670588235299"/>
    <x v="507"/>
  </r>
  <r>
    <x v="506"/>
    <x v="1"/>
    <x v="2"/>
    <x v="0"/>
    <x v="60"/>
    <x v="96"/>
    <n v="232.78"/>
    <n v="21.32"/>
    <n v="195.61344537815128"/>
    <n v="141.13839999999999"/>
    <n v="54.475045378151293"/>
    <x v="508"/>
  </r>
  <r>
    <x v="507"/>
    <x v="1"/>
    <x v="1"/>
    <x v="0"/>
    <x v="346"/>
    <x v="296"/>
    <n v="43.29"/>
    <n v="28.04"/>
    <n v="36.378151260504204"/>
    <n v="26.637999999999998"/>
    <n v="9.7401512605042058"/>
    <x v="509"/>
  </r>
  <r>
    <x v="508"/>
    <x v="0"/>
    <x v="2"/>
    <x v="0"/>
    <x v="274"/>
    <x v="297"/>
    <n v="135.93"/>
    <n v="20.079999999999998"/>
    <n v="114.22689075630254"/>
    <n v="80.319999999999993"/>
    <n v="33.906890756302545"/>
    <x v="510"/>
  </r>
  <r>
    <x v="509"/>
    <x v="1"/>
    <x v="0"/>
    <x v="1"/>
    <x v="119"/>
    <x v="298"/>
    <n v="78.06"/>
    <n v="26.82"/>
    <n v="65.596638655462186"/>
    <n v="53.1036"/>
    <n v="12.493038655462186"/>
    <x v="511"/>
  </r>
  <r>
    <x v="510"/>
    <x v="1"/>
    <x v="2"/>
    <x v="2"/>
    <x v="347"/>
    <x v="299"/>
    <n v="216.13"/>
    <n v="19.61"/>
    <n v="181.62184873949579"/>
    <n v="123.93520000000001"/>
    <n v="57.68664873949578"/>
    <x v="512"/>
  </r>
  <r>
    <x v="511"/>
    <x v="0"/>
    <x v="0"/>
    <x v="0"/>
    <x v="341"/>
    <x v="141"/>
    <n v="104.27"/>
    <n v="25.96"/>
    <n v="87.621848739495803"/>
    <n v="71.649600000000007"/>
    <n v="15.972248739495797"/>
    <x v="513"/>
  </r>
  <r>
    <x v="512"/>
    <x v="0"/>
    <x v="0"/>
    <x v="1"/>
    <x v="26"/>
    <x v="33"/>
    <n v="75.069999999999993"/>
    <n v="23.25"/>
    <n v="63.084033613445378"/>
    <n v="44.64"/>
    <n v="18.444033613445377"/>
    <x v="514"/>
  </r>
  <r>
    <x v="513"/>
    <x v="0"/>
    <x v="0"/>
    <x v="1"/>
    <x v="348"/>
    <x v="87"/>
    <n v="91.01"/>
    <n v="23.36"/>
    <n v="76.478991596638664"/>
    <n v="56.063999999999993"/>
    <n v="20.414991596638671"/>
    <x v="515"/>
  </r>
  <r>
    <x v="514"/>
    <x v="1"/>
    <x v="0"/>
    <x v="2"/>
    <x v="125"/>
    <x v="144"/>
    <n v="109.17"/>
    <n v="24.32"/>
    <n v="91.739495798319339"/>
    <n v="65.4208"/>
    <n v="26.318695798319339"/>
    <x v="516"/>
  </r>
  <r>
    <x v="515"/>
    <x v="1"/>
    <x v="1"/>
    <x v="0"/>
    <x v="160"/>
    <x v="37"/>
    <n v="40.82"/>
    <n v="29.77"/>
    <n v="34.30252100840336"/>
    <n v="26.793000000000003"/>
    <n v="7.5095210084033575"/>
    <x v="517"/>
  </r>
  <r>
    <x v="516"/>
    <x v="0"/>
    <x v="1"/>
    <x v="0"/>
    <x v="245"/>
    <x v="59"/>
    <n v="64.760000000000005"/>
    <n v="29.04"/>
    <n v="54.420168067226896"/>
    <n v="45.592799999999997"/>
    <n v="8.8273680672268995"/>
    <x v="518"/>
  </r>
  <r>
    <x v="517"/>
    <x v="1"/>
    <x v="1"/>
    <x v="0"/>
    <x v="15"/>
    <x v="30"/>
    <n v="65.63"/>
    <n v="29.37"/>
    <n v="55.15126050420168"/>
    <n v="44.055"/>
    <n v="11.09626050420168"/>
    <x v="519"/>
  </r>
  <r>
    <x v="518"/>
    <x v="0"/>
    <x v="1"/>
    <x v="1"/>
    <x v="349"/>
    <x v="255"/>
    <n v="55.22"/>
    <n v="31.34"/>
    <n v="46.403361344537814"/>
    <n v="39.174999999999997"/>
    <n v="7.2283613445378165"/>
    <x v="520"/>
  </r>
  <r>
    <x v="519"/>
    <x v="1"/>
    <x v="2"/>
    <x v="2"/>
    <x v="15"/>
    <x v="161"/>
    <n v="227.45"/>
    <n v="21.18"/>
    <n v="191.1344537815126"/>
    <n v="138.9408"/>
    <n v="52.193653781512609"/>
    <x v="521"/>
  </r>
  <r>
    <x v="520"/>
    <x v="1"/>
    <x v="1"/>
    <x v="0"/>
    <x v="350"/>
    <x v="114"/>
    <n v="56.15"/>
    <n v="28.74"/>
    <n v="47.184873949579831"/>
    <n v="33.913199999999996"/>
    <n v="13.271673949579835"/>
    <x v="522"/>
  </r>
  <r>
    <x v="521"/>
    <x v="1"/>
    <x v="2"/>
    <x v="0"/>
    <x v="78"/>
    <x v="96"/>
    <n v="225.77"/>
    <n v="18.36"/>
    <n v="189.72268907563026"/>
    <n v="121.5432"/>
    <n v="68.179489075630258"/>
    <x v="523"/>
  </r>
  <r>
    <x v="522"/>
    <x v="0"/>
    <x v="1"/>
    <x v="2"/>
    <x v="351"/>
    <x v="29"/>
    <n v="60.75"/>
    <n v="31.71"/>
    <n v="51.050420168067227"/>
    <n v="44.076900000000002"/>
    <n v="6.9735201680672247"/>
    <x v="524"/>
  </r>
  <r>
    <x v="523"/>
    <x v="0"/>
    <x v="1"/>
    <x v="2"/>
    <x v="352"/>
    <x v="140"/>
    <n v="58.98"/>
    <n v="28.25"/>
    <n v="49.563025210084035"/>
    <n v="38.42"/>
    <n v="11.143025210084033"/>
    <x v="525"/>
  </r>
  <r>
    <x v="524"/>
    <x v="0"/>
    <x v="2"/>
    <x v="2"/>
    <x v="353"/>
    <x v="300"/>
    <n v="136.16"/>
    <n v="16.96"/>
    <n v="114.4201680672269"/>
    <n v="65.8048"/>
    <n v="48.615368067226896"/>
    <x v="526"/>
  </r>
  <r>
    <x v="525"/>
    <x v="0"/>
    <x v="0"/>
    <x v="1"/>
    <x v="354"/>
    <x v="285"/>
    <n v="116.86"/>
    <n v="22.65"/>
    <n v="98.201680672268907"/>
    <n v="70.894499999999994"/>
    <n v="27.307180672268913"/>
    <x v="527"/>
  </r>
  <r>
    <x v="526"/>
    <x v="1"/>
    <x v="0"/>
    <x v="0"/>
    <x v="355"/>
    <x v="106"/>
    <n v="89.95"/>
    <n v="24.38"/>
    <n v="75.588235294117652"/>
    <n v="58.024399999999993"/>
    <n v="17.563835294117659"/>
    <x v="528"/>
  </r>
  <r>
    <x v="527"/>
    <x v="1"/>
    <x v="0"/>
    <x v="1"/>
    <x v="58"/>
    <x v="282"/>
    <n v="74.930000000000007"/>
    <n v="22.6"/>
    <n v="62.966386554621856"/>
    <n v="43.844000000000008"/>
    <n v="19.122386554621848"/>
    <x v="529"/>
  </r>
  <r>
    <x v="528"/>
    <x v="1"/>
    <x v="0"/>
    <x v="1"/>
    <x v="356"/>
    <x v="151"/>
    <n v="66.569999999999993"/>
    <n v="0.26"/>
    <n v="55.941176470588232"/>
    <n v="0.43940000000000007"/>
    <n v="55.501776470588233"/>
    <x v="530"/>
  </r>
  <r>
    <x v="529"/>
    <x v="1"/>
    <x v="1"/>
    <x v="0"/>
    <x v="68"/>
    <x v="17"/>
    <n v="54.4"/>
    <n v="29.79"/>
    <n v="45.714285714285715"/>
    <n v="38.726999999999997"/>
    <n v="6.9872857142857185"/>
    <x v="531"/>
  </r>
  <r>
    <x v="530"/>
    <x v="1"/>
    <x v="2"/>
    <x v="0"/>
    <x v="183"/>
    <x v="105"/>
    <n v="168.02"/>
    <n v="19.010000000000002"/>
    <n v="141.19327731092437"/>
    <n v="96.760900000000007"/>
    <n v="44.432377310924366"/>
    <x v="532"/>
  </r>
  <r>
    <x v="531"/>
    <x v="1"/>
    <x v="2"/>
    <x v="1"/>
    <x v="285"/>
    <x v="301"/>
    <n v="196.08"/>
    <n v="17.73"/>
    <n v="164.77310924369749"/>
    <n v="101.59290000000001"/>
    <n v="63.180209243697476"/>
    <x v="533"/>
  </r>
  <r>
    <x v="532"/>
    <x v="1"/>
    <x v="0"/>
    <x v="0"/>
    <x v="357"/>
    <x v="133"/>
    <n v="121.76"/>
    <n v="23.88"/>
    <n v="102.31932773109244"/>
    <n v="75.221999999999994"/>
    <n v="27.097327731092449"/>
    <x v="534"/>
  </r>
  <r>
    <x v="533"/>
    <x v="1"/>
    <x v="1"/>
    <x v="1"/>
    <x v="58"/>
    <x v="37"/>
    <n v="42.37"/>
    <n v="30.65"/>
    <n v="35.605042016806721"/>
    <n v="27.585000000000001"/>
    <n v="8.0200420168067197"/>
    <x v="535"/>
  </r>
  <r>
    <x v="534"/>
    <x v="0"/>
    <x v="0"/>
    <x v="1"/>
    <x v="20"/>
    <x v="188"/>
    <n v="109.53"/>
    <n v="25"/>
    <n v="92.0420168067227"/>
    <n v="72"/>
    <n v="20.0420168067227"/>
    <x v="536"/>
  </r>
  <r>
    <x v="535"/>
    <x v="0"/>
    <x v="1"/>
    <x v="2"/>
    <x v="358"/>
    <x v="211"/>
    <n v="47.02"/>
    <n v="31.02"/>
    <n v="39.512605042016808"/>
    <n v="30.709800000000001"/>
    <n v="8.8028050420168071"/>
    <x v="537"/>
  </r>
  <r>
    <x v="536"/>
    <x v="0"/>
    <x v="1"/>
    <x v="0"/>
    <x v="359"/>
    <x v="73"/>
    <n v="61.7"/>
    <n v="30.31"/>
    <n v="51.848739495798327"/>
    <n v="46.980499999999999"/>
    <n v="4.8682394957983277"/>
    <x v="538"/>
  </r>
  <r>
    <x v="537"/>
    <x v="1"/>
    <x v="1"/>
    <x v="0"/>
    <x v="200"/>
    <x v="71"/>
    <n v="64.89"/>
    <n v="31.62"/>
    <n v="54.529411764705884"/>
    <n v="48.062399999999997"/>
    <n v="6.4670117647058873"/>
    <x v="539"/>
  </r>
  <r>
    <x v="538"/>
    <x v="1"/>
    <x v="0"/>
    <x v="1"/>
    <x v="258"/>
    <x v="198"/>
    <n v="101.28"/>
    <n v="25.27"/>
    <n v="85.109243697479002"/>
    <n v="64.943899999999999"/>
    <n v="20.165343697479003"/>
    <x v="540"/>
  </r>
  <r>
    <x v="539"/>
    <x v="0"/>
    <x v="2"/>
    <x v="0"/>
    <x v="112"/>
    <x v="302"/>
    <n v="180.54"/>
    <n v="20.29"/>
    <n v="151.71428571428572"/>
    <n v="115.65299999999999"/>
    <n v="36.061285714285731"/>
    <x v="541"/>
  </r>
  <r>
    <x v="540"/>
    <x v="1"/>
    <x v="0"/>
    <x v="1"/>
    <x v="360"/>
    <x v="303"/>
    <n v="82.94"/>
    <n v="22.22"/>
    <n v="69.69747899159664"/>
    <n v="48.661799999999992"/>
    <n v="21.035678991596647"/>
    <x v="542"/>
  </r>
  <r>
    <x v="541"/>
    <x v="1"/>
    <x v="0"/>
    <x v="1"/>
    <x v="262"/>
    <x v="304"/>
    <n v="96.37"/>
    <n v="22.03"/>
    <n v="80.983193277310932"/>
    <n v="53.973500000000001"/>
    <n v="27.00969327731093"/>
    <x v="543"/>
  </r>
  <r>
    <x v="542"/>
    <x v="0"/>
    <x v="0"/>
    <x v="0"/>
    <x v="361"/>
    <x v="305"/>
    <n v="116.57"/>
    <n v="22.85"/>
    <n v="97.957983193277315"/>
    <n v="69.235500000000002"/>
    <n v="28.722483193277313"/>
    <x v="544"/>
  </r>
  <r>
    <x v="543"/>
    <x v="0"/>
    <x v="1"/>
    <x v="0"/>
    <x v="120"/>
    <x v="139"/>
    <n v="50.17"/>
    <n v="30.65"/>
    <n v="42.159663865546221"/>
    <n v="37.393000000000001"/>
    <n v="4.7666638655462208"/>
    <x v="545"/>
  </r>
  <r>
    <x v="544"/>
    <x v="1"/>
    <x v="0"/>
    <x v="0"/>
    <x v="362"/>
    <x v="3"/>
    <n v="88.74"/>
    <n v="23.64"/>
    <n v="74.571428571428569"/>
    <n v="53.426400000000001"/>
    <n v="21.145028571428568"/>
    <x v="546"/>
  </r>
  <r>
    <x v="545"/>
    <x v="0"/>
    <x v="2"/>
    <x v="0"/>
    <x v="363"/>
    <x v="306"/>
    <n v="168.8"/>
    <n v="18.510000000000002"/>
    <n v="141.84873949579833"/>
    <n v="92.179800000000014"/>
    <n v="49.668939495798313"/>
    <x v="547"/>
  </r>
  <r>
    <x v="546"/>
    <x v="1"/>
    <x v="1"/>
    <x v="2"/>
    <x v="135"/>
    <x v="307"/>
    <n v="68.02"/>
    <n v="31.54"/>
    <n v="57.159663865546214"/>
    <n v="48.2562"/>
    <n v="8.9034638655462146"/>
    <x v="548"/>
  </r>
  <r>
    <x v="547"/>
    <x v="0"/>
    <x v="2"/>
    <x v="2"/>
    <x v="260"/>
    <x v="308"/>
    <n v="157.57"/>
    <n v="20.98"/>
    <n v="132.41176470588235"/>
    <n v="93.361000000000004"/>
    <n v="39.050764705882344"/>
    <x v="549"/>
  </r>
  <r>
    <x v="548"/>
    <x v="1"/>
    <x v="0"/>
    <x v="1"/>
    <x v="342"/>
    <x v="22"/>
    <n v="77.31"/>
    <n v="25.64"/>
    <n v="64.966386554621849"/>
    <n v="50.254400000000004"/>
    <n v="14.711986554621845"/>
    <x v="550"/>
  </r>
  <r>
    <x v="549"/>
    <x v="1"/>
    <x v="0"/>
    <x v="1"/>
    <x v="105"/>
    <x v="42"/>
    <n v="104.08"/>
    <n v="25.26"/>
    <n v="87.462184873949582"/>
    <n v="71.991"/>
    <n v="15.471184873949582"/>
    <x v="551"/>
  </r>
  <r>
    <x v="550"/>
    <x v="1"/>
    <x v="0"/>
    <x v="0"/>
    <x v="364"/>
    <x v="231"/>
    <n v="119.41"/>
    <n v="24.76"/>
    <n v="100.34453781512605"/>
    <n v="75.270400000000009"/>
    <n v="25.074137815126036"/>
    <x v="552"/>
  </r>
  <r>
    <x v="551"/>
    <x v="1"/>
    <x v="0"/>
    <x v="2"/>
    <x v="365"/>
    <x v="309"/>
    <n v="74.09"/>
    <n v="23.09"/>
    <n v="62.260504201680675"/>
    <n v="42.485600000000005"/>
    <n v="19.77490420168067"/>
    <x v="553"/>
  </r>
  <r>
    <x v="552"/>
    <x v="0"/>
    <x v="2"/>
    <x v="1"/>
    <x v="151"/>
    <x v="310"/>
    <n v="140.19"/>
    <n v="17.45"/>
    <n v="117.80672268907563"/>
    <n v="72.0685"/>
    <n v="45.738222689075627"/>
    <x v="554"/>
  </r>
  <r>
    <x v="553"/>
    <x v="0"/>
    <x v="2"/>
    <x v="1"/>
    <x v="95"/>
    <x v="98"/>
    <n v="130.24"/>
    <n v="17.420000000000002"/>
    <n v="109.44537815126051"/>
    <n v="66.195999999999998"/>
    <n v="43.249378151260515"/>
    <x v="555"/>
  </r>
  <r>
    <x v="554"/>
    <x v="0"/>
    <x v="0"/>
    <x v="2"/>
    <x v="12"/>
    <x v="28"/>
    <n v="90.52"/>
    <n v="23.37"/>
    <n v="76.067226890756302"/>
    <n v="52.582500000000003"/>
    <n v="23.484726890756299"/>
    <x v="556"/>
  </r>
  <r>
    <x v="555"/>
    <x v="1"/>
    <x v="1"/>
    <x v="0"/>
    <x v="294"/>
    <x v="50"/>
    <n v="57.85"/>
    <n v="29.72"/>
    <n v="48.613445378151262"/>
    <n v="35.961199999999998"/>
    <n v="12.652245378151264"/>
    <x v="557"/>
  </r>
  <r>
    <x v="556"/>
    <x v="1"/>
    <x v="0"/>
    <x v="2"/>
    <x v="366"/>
    <x v="311"/>
    <n v="115.85"/>
    <n v="25.32"/>
    <n v="97.352941176470594"/>
    <n v="73.681200000000004"/>
    <n v="23.67174117647059"/>
    <x v="558"/>
  </r>
  <r>
    <x v="557"/>
    <x v="1"/>
    <x v="2"/>
    <x v="0"/>
    <x v="367"/>
    <x v="11"/>
    <n v="190.31"/>
    <n v="17.100000000000001"/>
    <n v="159.92436974789916"/>
    <n v="94.05"/>
    <n v="65.874369747899166"/>
    <x v="559"/>
  </r>
  <r>
    <x v="558"/>
    <x v="0"/>
    <x v="1"/>
    <x v="0"/>
    <x v="368"/>
    <x v="91"/>
    <n v="57.04"/>
    <n v="32.94"/>
    <n v="47.932773109243698"/>
    <n v="44.468999999999994"/>
    <n v="3.4637731092437036"/>
    <x v="560"/>
  </r>
  <r>
    <x v="559"/>
    <x v="0"/>
    <x v="0"/>
    <x v="0"/>
    <x v="95"/>
    <x v="3"/>
    <n v="90.31"/>
    <n v="24.13"/>
    <n v="75.890756302521012"/>
    <n v="54.533799999999999"/>
    <n v="21.356956302521013"/>
    <x v="561"/>
  </r>
  <r>
    <x v="560"/>
    <x v="0"/>
    <x v="0"/>
    <x v="2"/>
    <x v="369"/>
    <x v="34"/>
    <n v="110.09"/>
    <n v="25.15"/>
    <n v="92.512605042016816"/>
    <n v="77.210499999999996"/>
    <n v="15.302105042016819"/>
    <x v="562"/>
  </r>
  <r>
    <x v="561"/>
    <x v="0"/>
    <x v="0"/>
    <x v="2"/>
    <x v="370"/>
    <x v="304"/>
    <n v="91.31"/>
    <n v="23.97"/>
    <n v="76.731092436974791"/>
    <n v="58.726499999999994"/>
    <n v="18.004592436974796"/>
    <x v="563"/>
  </r>
  <r>
    <x v="562"/>
    <x v="1"/>
    <x v="1"/>
    <x v="1"/>
    <x v="371"/>
    <x v="173"/>
    <n v="74.569999999999993"/>
    <n v="29.2"/>
    <n v="62.663865546218481"/>
    <n v="48.18"/>
    <n v="14.483865546218482"/>
    <x v="564"/>
  </r>
  <r>
    <x v="563"/>
    <x v="0"/>
    <x v="0"/>
    <x v="1"/>
    <x v="372"/>
    <x v="312"/>
    <n v="100.8"/>
    <n v="24.38"/>
    <n v="84.705882352941174"/>
    <n v="66.313599999999994"/>
    <n v="18.39228235294118"/>
    <x v="565"/>
  </r>
  <r>
    <x v="564"/>
    <x v="0"/>
    <x v="2"/>
    <x v="1"/>
    <x v="129"/>
    <x v="313"/>
    <n v="123.62"/>
    <n v="18.670000000000002"/>
    <n v="103.88235294117648"/>
    <n v="70.012500000000003"/>
    <n v="33.869852941176475"/>
    <x v="566"/>
  </r>
  <r>
    <x v="565"/>
    <x v="1"/>
    <x v="1"/>
    <x v="2"/>
    <x v="373"/>
    <x v="314"/>
    <n v="60.46"/>
    <n v="28.66"/>
    <n v="50.806722689075634"/>
    <n v="40.124000000000002"/>
    <n v="10.682722689075632"/>
    <x v="567"/>
  </r>
  <r>
    <x v="566"/>
    <x v="0"/>
    <x v="1"/>
    <x v="0"/>
    <x v="374"/>
    <x v="1"/>
    <n v="50.47"/>
    <n v="28.47"/>
    <n v="42.411764705882355"/>
    <n v="31.316999999999997"/>
    <n v="11.094764705882358"/>
    <x v="568"/>
  </r>
  <r>
    <x v="567"/>
    <x v="0"/>
    <x v="2"/>
    <x v="0"/>
    <x v="104"/>
    <x v="315"/>
    <n v="185.3"/>
    <n v="19.23"/>
    <n v="155.71428571428572"/>
    <n v="108.07260000000001"/>
    <n v="47.641685714285714"/>
    <x v="569"/>
  </r>
  <r>
    <x v="568"/>
    <x v="1"/>
    <x v="1"/>
    <x v="0"/>
    <x v="172"/>
    <x v="80"/>
    <n v="42.9"/>
    <n v="31.61"/>
    <n v="36.050420168067227"/>
    <n v="28.132899999999999"/>
    <n v="7.9175201680672274"/>
    <x v="570"/>
  </r>
  <r>
    <x v="569"/>
    <x v="0"/>
    <x v="2"/>
    <x v="1"/>
    <x v="152"/>
    <x v="316"/>
    <n v="129.04"/>
    <n v="18.22"/>
    <n v="108.43697478991596"/>
    <n v="71.240200000000002"/>
    <n v="37.196774789915963"/>
    <x v="571"/>
  </r>
  <r>
    <x v="570"/>
    <x v="1"/>
    <x v="0"/>
    <x v="1"/>
    <x v="6"/>
    <x v="293"/>
    <n v="120.91"/>
    <n v="24.93"/>
    <n v="101.60504201680672"/>
    <n v="77.033699999999996"/>
    <n v="24.571342016806724"/>
    <x v="572"/>
  </r>
  <r>
    <x v="571"/>
    <x v="1"/>
    <x v="1"/>
    <x v="0"/>
    <x v="289"/>
    <x v="178"/>
    <n v="48.62"/>
    <n v="30.63"/>
    <n v="40.857142857142854"/>
    <n v="31.242599999999996"/>
    <n v="9.6145428571428582"/>
    <x v="573"/>
  </r>
  <r>
    <x v="572"/>
    <x v="1"/>
    <x v="2"/>
    <x v="0"/>
    <x v="134"/>
    <x v="317"/>
    <n v="202.41"/>
    <n v="21.16"/>
    <n v="170.09243697478993"/>
    <n v="129.71080000000001"/>
    <n v="40.381636974789927"/>
    <x v="574"/>
  </r>
  <r>
    <x v="573"/>
    <x v="0"/>
    <x v="0"/>
    <x v="2"/>
    <x v="246"/>
    <x v="318"/>
    <n v="82.69"/>
    <n v="25.28"/>
    <n v="69.487394957983199"/>
    <n v="53.846400000000003"/>
    <n v="15.640994957983196"/>
    <x v="575"/>
  </r>
  <r>
    <x v="574"/>
    <x v="1"/>
    <x v="0"/>
    <x v="0"/>
    <x v="375"/>
    <x v="226"/>
    <n v="101.14"/>
    <n v="24.27"/>
    <n v="84.991596638655466"/>
    <n v="66.499799999999993"/>
    <n v="18.491796638655472"/>
    <x v="576"/>
  </r>
  <r>
    <x v="575"/>
    <x v="0"/>
    <x v="0"/>
    <x v="1"/>
    <x v="121"/>
    <x v="102"/>
    <n v="112.21"/>
    <n v="24.63"/>
    <n v="94.294117647058826"/>
    <n v="69.456599999999995"/>
    <n v="24.837517647058831"/>
    <x v="577"/>
  </r>
  <r>
    <x v="576"/>
    <x v="0"/>
    <x v="0"/>
    <x v="2"/>
    <x v="78"/>
    <x v="319"/>
    <n v="95.97"/>
    <n v="25.59"/>
    <n v="80.64705882352942"/>
    <n v="64.486800000000002"/>
    <n v="16.160258823529418"/>
    <x v="578"/>
  </r>
  <r>
    <x v="577"/>
    <x v="0"/>
    <x v="1"/>
    <x v="0"/>
    <x v="50"/>
    <x v="63"/>
    <n v="50.4"/>
    <n v="29.6"/>
    <n v="42.352941176470587"/>
    <n v="32.264000000000003"/>
    <n v="10.088941176470584"/>
    <x v="579"/>
  </r>
  <r>
    <x v="578"/>
    <x v="1"/>
    <x v="0"/>
    <x v="0"/>
    <x v="120"/>
    <x v="320"/>
    <n v="79.11"/>
    <n v="23.31"/>
    <n v="66.478991596638664"/>
    <n v="47.086199999999998"/>
    <n v="19.392791596638666"/>
    <x v="580"/>
  </r>
  <r>
    <x v="579"/>
    <x v="0"/>
    <x v="2"/>
    <x v="1"/>
    <x v="212"/>
    <x v="321"/>
    <n v="0"/>
    <n v="18.05"/>
    <n v="0"/>
    <n v="62.091999999999999"/>
    <n v="-62.091999999999999"/>
    <x v="581"/>
  </r>
  <r>
    <x v="580"/>
    <x v="0"/>
    <x v="1"/>
    <x v="2"/>
    <x v="376"/>
    <x v="162"/>
    <n v="48.69"/>
    <n v="31.31"/>
    <n v="40.915966386554622"/>
    <n v="33.814799999999998"/>
    <n v="7.101166386554624"/>
    <x v="582"/>
  </r>
  <r>
    <x v="581"/>
    <x v="1"/>
    <x v="0"/>
    <x v="0"/>
    <x v="377"/>
    <x v="92"/>
    <n v="107.87"/>
    <n v="25.2"/>
    <n v="90.64705882352942"/>
    <n v="69.3"/>
    <n v="21.347058823529423"/>
    <x v="583"/>
  </r>
  <r>
    <x v="582"/>
    <x v="0"/>
    <x v="1"/>
    <x v="2"/>
    <x v="287"/>
    <x v="47"/>
    <n v="71.44"/>
    <n v="28.42"/>
    <n v="60.033613445378151"/>
    <n v="46.040399999999998"/>
    <n v="13.993213445378153"/>
    <x v="584"/>
  </r>
  <r>
    <x v="583"/>
    <x v="0"/>
    <x v="2"/>
    <x v="0"/>
    <x v="378"/>
    <x v="252"/>
    <n v="202.33"/>
    <n v="21.38"/>
    <n v="170.02521008403363"/>
    <n v="133.41119999999998"/>
    <n v="36.614010084033652"/>
    <x v="585"/>
  </r>
  <r>
    <x v="584"/>
    <x v="0"/>
    <x v="1"/>
    <x v="0"/>
    <x v="102"/>
    <x v="76"/>
    <n v="63.89"/>
    <n v="29.86"/>
    <n v="53.689075630252105"/>
    <n v="43.894199999999998"/>
    <n v="9.7948756302521076"/>
    <x v="586"/>
  </r>
  <r>
    <x v="585"/>
    <x v="0"/>
    <x v="2"/>
    <x v="1"/>
    <x v="379"/>
    <x v="322"/>
    <n v="200.42"/>
    <n v="17.09"/>
    <n v="168.42016806722688"/>
    <n v="101.85639999999999"/>
    <n v="66.563768067226889"/>
    <x v="587"/>
  </r>
  <r>
    <x v="586"/>
    <x v="0"/>
    <x v="0"/>
    <x v="2"/>
    <x v="80"/>
    <x v="16"/>
    <n v="108.33"/>
    <n v="25.92"/>
    <n v="91.033613445378151"/>
    <n v="71.798400000000001"/>
    <n v="19.23521344537815"/>
    <x v="588"/>
  </r>
  <r>
    <x v="587"/>
    <x v="0"/>
    <x v="1"/>
    <x v="0"/>
    <x v="34"/>
    <x v="45"/>
    <n v="47.3"/>
    <n v="28.86"/>
    <n v="39.747899159663866"/>
    <n v="30.302999999999997"/>
    <n v="9.4448991596638692"/>
    <x v="589"/>
  </r>
  <r>
    <x v="588"/>
    <x v="1"/>
    <x v="1"/>
    <x v="2"/>
    <x v="105"/>
    <x v="260"/>
    <n v="66.45"/>
    <n v="30.27"/>
    <n v="55.840336134453786"/>
    <n v="48.129300000000001"/>
    <n v="7.711036134453785"/>
    <x v="590"/>
  </r>
  <r>
    <x v="589"/>
    <x v="0"/>
    <x v="1"/>
    <x v="1"/>
    <x v="96"/>
    <x v="29"/>
    <n v="62.57"/>
    <n v="30.38"/>
    <n v="52.579831932773111"/>
    <n v="42.228199999999994"/>
    <n v="10.351631932773117"/>
    <x v="591"/>
  </r>
  <r>
    <x v="590"/>
    <x v="0"/>
    <x v="0"/>
    <x v="0"/>
    <x v="313"/>
    <x v="228"/>
    <n v="97.19"/>
    <n v="26.96"/>
    <n v="81.672268907563023"/>
    <n v="70.096000000000004"/>
    <n v="11.576268907563019"/>
    <x v="592"/>
  </r>
  <r>
    <x v="591"/>
    <x v="1"/>
    <x v="1"/>
    <x v="0"/>
    <x v="380"/>
    <x v="124"/>
    <n v="45.1"/>
    <n v="28.13"/>
    <n v="37.899159663865547"/>
    <n v="25.8796"/>
    <n v="12.019559663865547"/>
    <x v="593"/>
  </r>
  <r>
    <x v="592"/>
    <x v="0"/>
    <x v="2"/>
    <x v="2"/>
    <x v="59"/>
    <x v="323"/>
    <n v="163.04"/>
    <n v="19.79"/>
    <n v="137.00840336134453"/>
    <n v="95.387799999999984"/>
    <n v="41.62060336134455"/>
    <x v="594"/>
  </r>
  <r>
    <x v="593"/>
    <x v="1"/>
    <x v="0"/>
    <x v="0"/>
    <x v="381"/>
    <x v="93"/>
    <n v="94.65"/>
    <n v="26.13"/>
    <n v="79.537815126050432"/>
    <n v="63.495899999999999"/>
    <n v="16.041915126050434"/>
    <x v="595"/>
  </r>
  <r>
    <x v="594"/>
    <x v="0"/>
    <x v="1"/>
    <x v="0"/>
    <x v="294"/>
    <x v="202"/>
    <n v="64.84"/>
    <n v="28.41"/>
    <n v="54.487394957983199"/>
    <n v="44.319600000000001"/>
    <n v="10.167794957983197"/>
    <x v="596"/>
  </r>
  <r>
    <x v="595"/>
    <x v="0"/>
    <x v="0"/>
    <x v="0"/>
    <x v="274"/>
    <x v="125"/>
    <n v="96.41"/>
    <n v="22.69"/>
    <n v="81.016806722689083"/>
    <n v="58.540200000000006"/>
    <n v="22.476606722689077"/>
    <x v="597"/>
  </r>
  <r>
    <x v="596"/>
    <x v="0"/>
    <x v="0"/>
    <x v="2"/>
    <x v="66"/>
    <x v="58"/>
    <n v="88.43"/>
    <n v="24.27"/>
    <n v="74.310924369747909"/>
    <n v="55.820999999999998"/>
    <n v="18.489924369747911"/>
    <x v="598"/>
  </r>
  <r>
    <x v="597"/>
    <x v="0"/>
    <x v="1"/>
    <x v="1"/>
    <x v="382"/>
    <x v="173"/>
    <n v="66.88"/>
    <n v="29.19"/>
    <n v="56.201680672268907"/>
    <n v="48.163500000000006"/>
    <n v="8.0381806722689007"/>
    <x v="599"/>
  </r>
  <r>
    <x v="598"/>
    <x v="0"/>
    <x v="1"/>
    <x v="1"/>
    <x v="383"/>
    <x v="124"/>
    <n v="47.46"/>
    <n v="31.75"/>
    <n v="39.882352941176471"/>
    <n v="29.21"/>
    <n v="10.67235294117647"/>
    <x v="600"/>
  </r>
  <r>
    <x v="599"/>
    <x v="0"/>
    <x v="1"/>
    <x v="0"/>
    <x v="384"/>
    <x v="114"/>
    <n v="57.41"/>
    <n v="31.27"/>
    <n v="48.243697478991599"/>
    <n v="36.898600000000002"/>
    <n v="11.345097478991597"/>
    <x v="601"/>
  </r>
  <r>
    <x v="600"/>
    <x v="0"/>
    <x v="0"/>
    <x v="1"/>
    <x v="385"/>
    <x v="324"/>
    <n v="67.87"/>
    <n v="25.93"/>
    <n v="57.033613445378158"/>
    <n v="11762.625900000001"/>
    <n v="-11705.592286554624"/>
    <x v="602"/>
  </r>
  <r>
    <x v="601"/>
    <x v="0"/>
    <x v="0"/>
    <x v="1"/>
    <x v="386"/>
    <x v="325"/>
    <n v="110.32"/>
    <n v="23.04"/>
    <n v="92.705882352941174"/>
    <n v="66.815999999999988"/>
    <n v="25.889882352941186"/>
    <x v="603"/>
  </r>
  <r>
    <x v="602"/>
    <x v="0"/>
    <x v="0"/>
    <x v="2"/>
    <x v="310"/>
    <x v="326"/>
    <n v="124.73"/>
    <n v="25.88"/>
    <n v="104.81512605042018"/>
    <n v="82.557199999999995"/>
    <n v="22.257926050420181"/>
    <x v="604"/>
  </r>
  <r>
    <x v="603"/>
    <x v="0"/>
    <x v="2"/>
    <x v="2"/>
    <x v="315"/>
    <x v="327"/>
    <n v="151.36000000000001"/>
    <n v="18.66"/>
    <n v="127.19327731092439"/>
    <n v="79.491600000000005"/>
    <n v="47.701677310924381"/>
    <x v="605"/>
  </r>
  <r>
    <x v="604"/>
    <x v="0"/>
    <x v="2"/>
    <x v="0"/>
    <x v="58"/>
    <x v="275"/>
    <n v="196.36"/>
    <n v="18.239999999999998"/>
    <n v="165.00840336134456"/>
    <n v="113.08799999999999"/>
    <n v="51.920403361344569"/>
    <x v="606"/>
  </r>
  <r>
    <x v="605"/>
    <x v="0"/>
    <x v="0"/>
    <x v="1"/>
    <x v="26"/>
    <x v="153"/>
    <n v="86.36"/>
    <n v="22.2"/>
    <n v="72.571428571428569"/>
    <n v="47.951999999999998"/>
    <n v="24.619428571428571"/>
    <x v="607"/>
  </r>
  <r>
    <x v="606"/>
    <x v="1"/>
    <x v="2"/>
    <x v="0"/>
    <x v="347"/>
    <x v="328"/>
    <n v="210.15"/>
    <n v="16.760000000000002"/>
    <n v="176.59663865546219"/>
    <n v="106.7612"/>
    <n v="69.835438655462184"/>
    <x v="608"/>
  </r>
  <r>
    <x v="607"/>
    <x v="0"/>
    <x v="1"/>
    <x v="0"/>
    <x v="309"/>
    <x v="27"/>
    <n v="63.32"/>
    <n v="32.770000000000003"/>
    <n v="53.210084033613448"/>
    <n v="47.844200000000001"/>
    <n v="5.3658840336134475"/>
    <x v="609"/>
  </r>
  <r>
    <x v="608"/>
    <x v="1"/>
    <x v="1"/>
    <x v="0"/>
    <x v="61"/>
    <x v="176"/>
    <n v="61.34"/>
    <n v="29.83"/>
    <n v="51.546218487394967"/>
    <n v="45.043300000000002"/>
    <n v="6.5029184873949646"/>
    <x v="610"/>
  </r>
  <r>
    <x v="609"/>
    <x v="1"/>
    <x v="1"/>
    <x v="0"/>
    <x v="353"/>
    <x v="121"/>
    <n v="42.65"/>
    <n v="28.91"/>
    <n v="35.840336134453779"/>
    <n v="24.284400000000002"/>
    <n v="11.555936134453777"/>
    <x v="611"/>
  </r>
  <r>
    <x v="610"/>
    <x v="0"/>
    <x v="1"/>
    <x v="0"/>
    <x v="387"/>
    <x v="83"/>
    <n v="65.03"/>
    <n v="32.46"/>
    <n v="54.647058823529413"/>
    <n v="53.234400000000008"/>
    <n v="1.4126588235294051"/>
    <x v="612"/>
  </r>
  <r>
    <x v="611"/>
    <x v="1"/>
    <x v="0"/>
    <x v="1"/>
    <x v="70"/>
    <x v="188"/>
    <n v="104.73"/>
    <n v="23.01"/>
    <n v="88.008403361344548"/>
    <n v="66.268799999999999"/>
    <n v="21.73960336134455"/>
    <x v="613"/>
  </r>
  <r>
    <x v="612"/>
    <x v="1"/>
    <x v="2"/>
    <x v="0"/>
    <x v="51"/>
    <x v="216"/>
    <n v="145.63"/>
    <n v="19.39"/>
    <n v="122.3781512605042"/>
    <n v="84.346499999999992"/>
    <n v="38.031651260504205"/>
    <x v="614"/>
  </r>
  <r>
    <x v="613"/>
    <x v="0"/>
    <x v="1"/>
    <x v="1"/>
    <x v="388"/>
    <x v="307"/>
    <n v="66.489999999999995"/>
    <n v="29.44"/>
    <n v="55.87394957983193"/>
    <n v="45.043200000000006"/>
    <n v="10.830749579831924"/>
    <x v="615"/>
  </r>
  <r>
    <x v="614"/>
    <x v="0"/>
    <x v="1"/>
    <x v="0"/>
    <x v="23"/>
    <x v="259"/>
    <n v="49.87"/>
    <n v="31.29"/>
    <n v="41.907563025210081"/>
    <n v="33.4803"/>
    <n v="8.4272630252100811"/>
    <x v="616"/>
  </r>
  <r>
    <x v="615"/>
    <x v="1"/>
    <x v="0"/>
    <x v="0"/>
    <x v="389"/>
    <x v="329"/>
    <n v="115.44"/>
    <n v="25.28"/>
    <n v="97.008403361344534"/>
    <n v="78.87360000000001"/>
    <n v="18.134803361344524"/>
    <x v="617"/>
  </r>
  <r>
    <x v="616"/>
    <x v="1"/>
    <x v="2"/>
    <x v="1"/>
    <x v="390"/>
    <x v="270"/>
    <n v="132.66999999999999"/>
    <n v="18.89"/>
    <n v="111.48739495798318"/>
    <n v="70.081900000000005"/>
    <n v="41.40549495798318"/>
    <x v="618"/>
  </r>
  <r>
    <x v="617"/>
    <x v="0"/>
    <x v="1"/>
    <x v="0"/>
    <x v="391"/>
    <x v="276"/>
    <n v="62.13"/>
    <n v="29.4"/>
    <n v="52.210084033613448"/>
    <n v="41.748000000000005"/>
    <n v="10.462084033613444"/>
    <x v="619"/>
  </r>
  <r>
    <x v="618"/>
    <x v="0"/>
    <x v="0"/>
    <x v="0"/>
    <x v="132"/>
    <x v="198"/>
    <n v="98.98"/>
    <n v="23.45"/>
    <n v="83.176470588235304"/>
    <n v="60.266499999999994"/>
    <n v="22.909970588235311"/>
    <x v="620"/>
  </r>
  <r>
    <x v="619"/>
    <x v="0"/>
    <x v="1"/>
    <x v="1"/>
    <x v="392"/>
    <x v="126"/>
    <n v="44.99"/>
    <n v="31.22"/>
    <n v="37.806722689075634"/>
    <n v="28.4102"/>
    <n v="9.3965226890756348"/>
    <x v="621"/>
  </r>
  <r>
    <x v="620"/>
    <x v="0"/>
    <x v="1"/>
    <x v="0"/>
    <x v="118"/>
    <x v="97"/>
    <n v="48.44"/>
    <n v="29.31"/>
    <n v="40.705882352941174"/>
    <n v="30.189299999999999"/>
    <n v="10.516582352941175"/>
    <x v="622"/>
  </r>
  <r>
    <x v="621"/>
    <x v="1"/>
    <x v="2"/>
    <x v="0"/>
    <x v="393"/>
    <x v="113"/>
    <n v="123.32"/>
    <n v="17.55"/>
    <n v="103.63025210084034"/>
    <n v="59.143500000000003"/>
    <n v="44.486752100840334"/>
    <x v="623"/>
  </r>
  <r>
    <x v="622"/>
    <x v="0"/>
    <x v="2"/>
    <x v="0"/>
    <x v="153"/>
    <x v="330"/>
    <n v="166.96"/>
    <n v="16.920000000000002"/>
    <n v="140.30252100840337"/>
    <n v="82.908000000000015"/>
    <n v="57.394521008403359"/>
    <x v="624"/>
  </r>
  <r>
    <x v="623"/>
    <x v="0"/>
    <x v="1"/>
    <x v="2"/>
    <x v="111"/>
    <x v="162"/>
    <n v="51.56"/>
    <n v="31.87"/>
    <n v="43.327731092436977"/>
    <n v="34.419600000000003"/>
    <n v="8.9081310924369745"/>
    <x v="625"/>
  </r>
  <r>
    <x v="624"/>
    <x v="1"/>
    <x v="2"/>
    <x v="1"/>
    <x v="394"/>
    <x v="331"/>
    <n v="178.72"/>
    <n v="18.91"/>
    <n v="150.18487394957984"/>
    <n v="100.7903"/>
    <n v="49.394573949579836"/>
    <x v="626"/>
  </r>
  <r>
    <x v="625"/>
    <x v="0"/>
    <x v="0"/>
    <x v="1"/>
    <x v="395"/>
    <x v="153"/>
    <n v="85.97"/>
    <n v="27.36"/>
    <n v="72.243697478991592"/>
    <n v="59.0976"/>
    <n v="13.146097478991592"/>
    <x v="627"/>
  </r>
  <r>
    <x v="626"/>
    <x v="0"/>
    <x v="2"/>
    <x v="1"/>
    <x v="396"/>
    <x v="332"/>
    <n v="147.11000000000001"/>
    <n v="19.61"/>
    <n v="123.62184873949582"/>
    <n v="84.911299999999997"/>
    <n v="38.71054873949582"/>
    <x v="628"/>
  </r>
  <r>
    <x v="627"/>
    <x v="1"/>
    <x v="0"/>
    <x v="0"/>
    <x v="397"/>
    <x v="325"/>
    <n v="106.96"/>
    <n v="23.52"/>
    <n v="89.882352941176464"/>
    <n v="68.207999999999998"/>
    <n v="21.674352941176465"/>
    <x v="629"/>
  </r>
  <r>
    <x v="628"/>
    <x v="1"/>
    <x v="0"/>
    <x v="0"/>
    <x v="398"/>
    <x v="333"/>
    <n v="68.12"/>
    <n v="25.23"/>
    <n v="57.243697478991606"/>
    <n v="44.152500000000003"/>
    <n v="13.091197478991603"/>
    <x v="630"/>
  </r>
  <r>
    <x v="629"/>
    <x v="0"/>
    <x v="0"/>
    <x v="1"/>
    <x v="11"/>
    <x v="334"/>
    <n v="121.77"/>
    <n v="25.29"/>
    <n v="102.32773109243698"/>
    <n v="80.169299999999993"/>
    <n v="22.158431092436984"/>
    <x v="631"/>
  </r>
  <r>
    <x v="630"/>
    <x v="0"/>
    <x v="0"/>
    <x v="0"/>
    <x v="399"/>
    <x v="54"/>
    <n v="116.59"/>
    <n v="23.54"/>
    <n v="97.974789915966397"/>
    <n v="72.503199999999993"/>
    <n v="25.471589915966405"/>
    <x v="632"/>
  </r>
  <r>
    <x v="631"/>
    <x v="0"/>
    <x v="1"/>
    <x v="0"/>
    <x v="400"/>
    <x v="29"/>
    <n v="59.38"/>
    <n v="29.84"/>
    <n v="49.899159663865554"/>
    <n v="41.477600000000002"/>
    <n v="8.4215596638655512"/>
    <x v="633"/>
  </r>
  <r>
    <x v="632"/>
    <x v="0"/>
    <x v="1"/>
    <x v="0"/>
    <x v="401"/>
    <x v="335"/>
    <n v="61.81"/>
    <n v="29.21"/>
    <n v="51.941176470588239"/>
    <n v="38.849299999999999"/>
    <n v="13.09187647058824"/>
    <x v="634"/>
  </r>
  <r>
    <x v="633"/>
    <x v="0"/>
    <x v="1"/>
    <x v="0"/>
    <x v="310"/>
    <x v="107"/>
    <n v="65.03"/>
    <n v="31.73"/>
    <n v="54.647058823529413"/>
    <n v="50.133400000000002"/>
    <n v="4.5136588235294113"/>
    <x v="635"/>
  </r>
  <r>
    <x v="634"/>
    <x v="0"/>
    <x v="0"/>
    <x v="2"/>
    <x v="402"/>
    <x v="298"/>
    <n v="80.59"/>
    <n v="22.47"/>
    <n v="67.722689075630257"/>
    <n v="44.490599999999993"/>
    <n v="23.232089075630263"/>
    <x v="636"/>
  </r>
  <r>
    <x v="635"/>
    <x v="0"/>
    <x v="1"/>
    <x v="0"/>
    <x v="403"/>
    <x v="37"/>
    <n v="41.93"/>
    <n v="31.73"/>
    <n v="35.235294117647058"/>
    <n v="28.556999999999999"/>
    <n v="6.6782941176470594"/>
    <x v="637"/>
  </r>
  <r>
    <x v="636"/>
    <x v="0"/>
    <x v="0"/>
    <x v="0"/>
    <x v="151"/>
    <x v="181"/>
    <n v="84.76"/>
    <n v="24.74"/>
    <n v="71.226890756302524"/>
    <n v="51.211799999999997"/>
    <n v="20.015090756302527"/>
    <x v="638"/>
  </r>
  <r>
    <x v="637"/>
    <x v="0"/>
    <x v="2"/>
    <x v="0"/>
    <x v="108"/>
    <x v="336"/>
    <n v="206.4"/>
    <n v="19.16"/>
    <n v="173.44537815126051"/>
    <n v="114.57680000000001"/>
    <n v="58.868578151260508"/>
    <x v="639"/>
  </r>
  <r>
    <x v="638"/>
    <x v="0"/>
    <x v="1"/>
    <x v="2"/>
    <x v="31"/>
    <x v="43"/>
    <n v="40.14"/>
    <n v="28.13"/>
    <n v="33.731092436974791"/>
    <n v="24.191799999999997"/>
    <n v="9.5392924369747938"/>
    <x v="640"/>
  </r>
  <r>
    <x v="639"/>
    <x v="0"/>
    <x v="0"/>
    <x v="0"/>
    <x v="312"/>
    <x v="337"/>
    <n v="101.42"/>
    <n v="23.9"/>
    <n v="85.226890756302524"/>
    <n v="63.095999999999997"/>
    <n v="22.130890756302527"/>
    <x v="641"/>
  </r>
  <r>
    <x v="640"/>
    <x v="0"/>
    <x v="0"/>
    <x v="0"/>
    <x v="144"/>
    <x v="15"/>
    <n v="120.39"/>
    <n v="23.63"/>
    <n v="101.16806722689076"/>
    <n v="78.451599999999999"/>
    <n v="22.716467226890757"/>
    <x v="642"/>
  </r>
  <r>
    <x v="641"/>
    <x v="0"/>
    <x v="2"/>
    <x v="1"/>
    <x v="343"/>
    <x v="338"/>
    <n v="205.89"/>
    <n v="17.309999999999999"/>
    <n v="173.01680672268907"/>
    <n v="107.1489"/>
    <n v="65.867906722689071"/>
    <x v="643"/>
  </r>
  <r>
    <x v="642"/>
    <x v="1"/>
    <x v="1"/>
    <x v="1"/>
    <x v="47"/>
    <x v="35"/>
    <n v="56.09"/>
    <n v="30.63"/>
    <n v="47.134453781512612"/>
    <n v="38.900099999999995"/>
    <n v="8.2343537815126169"/>
    <x v="644"/>
  </r>
  <r>
    <x v="643"/>
    <x v="1"/>
    <x v="0"/>
    <x v="0"/>
    <x v="404"/>
    <x v="4"/>
    <n v="72.53"/>
    <n v="25.88"/>
    <n v="60.949579831932773"/>
    <n v="46.066399999999994"/>
    <n v="14.883179831932779"/>
    <x v="645"/>
  </r>
  <r>
    <x v="644"/>
    <x v="1"/>
    <x v="2"/>
    <x v="0"/>
    <x v="402"/>
    <x v="250"/>
    <n v="199.68"/>
    <n v="19.309999999999999"/>
    <n v="167.79831932773109"/>
    <n v="117.9841"/>
    <n v="49.814219327731095"/>
    <x v="646"/>
  </r>
  <r>
    <x v="645"/>
    <x v="1"/>
    <x v="2"/>
    <x v="0"/>
    <x v="93"/>
    <x v="331"/>
    <n v="187.33"/>
    <n v="20.07"/>
    <n v="157.42016806722691"/>
    <n v="106.97309999999999"/>
    <n v="50.447068067226922"/>
    <x v="647"/>
  </r>
  <r>
    <x v="646"/>
    <x v="0"/>
    <x v="0"/>
    <x v="0"/>
    <x v="334"/>
    <x v="339"/>
    <n v="69.930000000000007"/>
    <n v="22.27"/>
    <n v="58.764705882352949"/>
    <n v="41.422200000000004"/>
    <n v="17.342505882352945"/>
    <x v="648"/>
  </r>
  <r>
    <x v="647"/>
    <x v="0"/>
    <x v="0"/>
    <x v="0"/>
    <x v="134"/>
    <x v="25"/>
    <n v="68.83"/>
    <n v="23.67"/>
    <n v="57.840336134453786"/>
    <n v="43.316100000000006"/>
    <n v="14.52423613445378"/>
    <x v="649"/>
  </r>
  <r>
    <x v="648"/>
    <x v="0"/>
    <x v="0"/>
    <x v="0"/>
    <x v="265"/>
    <x v="340"/>
    <n v="119.08"/>
    <n v="22.47"/>
    <n v="100.0672268907563"/>
    <n v="71.454599999999999"/>
    <n v="28.612626890756303"/>
    <x v="650"/>
  </r>
  <r>
    <x v="649"/>
    <x v="1"/>
    <x v="2"/>
    <x v="0"/>
    <x v="64"/>
    <x v="341"/>
    <n v="185.56"/>
    <n v="19.559999999999999"/>
    <n v="155.9327731092437"/>
    <n v="108.75359999999999"/>
    <n v="47.179173109243706"/>
    <x v="651"/>
  </r>
  <r>
    <x v="650"/>
    <x v="1"/>
    <x v="0"/>
    <x v="0"/>
    <x v="405"/>
    <x v="342"/>
    <n v="118.62"/>
    <n v="25.75"/>
    <n v="99.680672268907571"/>
    <n v="78.537499999999994"/>
    <n v="21.143172268907577"/>
    <x v="652"/>
  </r>
  <r>
    <x v="651"/>
    <x v="0"/>
    <x v="1"/>
    <x v="1"/>
    <x v="406"/>
    <x v="59"/>
    <n v="67.27"/>
    <n v="30.65"/>
    <n v="56.529411764705884"/>
    <n v="48.1205"/>
    <n v="8.4089117647058842"/>
    <x v="653"/>
  </r>
  <r>
    <x v="652"/>
    <x v="0"/>
    <x v="2"/>
    <x v="2"/>
    <x v="40"/>
    <x v="343"/>
    <n v="166.45"/>
    <n v="0.18"/>
    <n v="139.87394957983193"/>
    <n v="0.94319999999999993"/>
    <n v="138.93074957983194"/>
    <x v="654"/>
  </r>
  <r>
    <x v="653"/>
    <x v="0"/>
    <x v="0"/>
    <x v="1"/>
    <x v="407"/>
    <x v="5"/>
    <n v="98.58"/>
    <n v="23.42"/>
    <n v="82.840336134453779"/>
    <n v="59.252600000000001"/>
    <n v="23.587736134453777"/>
    <x v="655"/>
  </r>
  <r>
    <x v="654"/>
    <x v="0"/>
    <x v="0"/>
    <x v="0"/>
    <x v="381"/>
    <x v="106"/>
    <n v="91.27"/>
    <n v="26.2"/>
    <n v="76.69747899159664"/>
    <n v="62.355999999999995"/>
    <n v="14.341478991596645"/>
    <x v="656"/>
  </r>
  <r>
    <x v="655"/>
    <x v="1"/>
    <x v="1"/>
    <x v="0"/>
    <x v="232"/>
    <x v="1"/>
    <n v="51.44"/>
    <n v="29.61"/>
    <n v="43.226890756302524"/>
    <n v="32.570999999999998"/>
    <n v="10.655890756302526"/>
    <x v="657"/>
  </r>
  <r>
    <x v="656"/>
    <x v="1"/>
    <x v="0"/>
    <x v="2"/>
    <x v="408"/>
    <x v="344"/>
    <n v="97.03"/>
    <n v="25.33"/>
    <n v="81.537815126050418"/>
    <n v="60.538699999999999"/>
    <n v="20.99911512605042"/>
    <x v="658"/>
  </r>
  <r>
    <x v="657"/>
    <x v="0"/>
    <x v="0"/>
    <x v="0"/>
    <x v="409"/>
    <x v="155"/>
    <n v="111.89"/>
    <n v="25.26"/>
    <n v="94.025210084033617"/>
    <n v="74.769599999999997"/>
    <n v="19.25561008403362"/>
    <x v="659"/>
  </r>
  <r>
    <x v="658"/>
    <x v="1"/>
    <x v="0"/>
    <x v="0"/>
    <x v="410"/>
    <x v="174"/>
    <n v="102.18"/>
    <n v="0.24"/>
    <n v="85.86554621848741"/>
    <n v="0.64080000000000004"/>
    <n v="85.224746218487411"/>
    <x v="660"/>
  </r>
  <r>
    <x v="659"/>
    <x v="1"/>
    <x v="1"/>
    <x v="1"/>
    <x v="411"/>
    <x v="107"/>
    <n v="65.08"/>
    <n v="29.49"/>
    <n v="54.689075630252098"/>
    <n v="46.594200000000001"/>
    <n v="8.0948756302520977"/>
    <x v="661"/>
  </r>
  <r>
    <x v="660"/>
    <x v="0"/>
    <x v="0"/>
    <x v="1"/>
    <x v="187"/>
    <x v="345"/>
    <n v="94.03"/>
    <n v="23.02"/>
    <n v="79.016806722689083"/>
    <n v="55.478199999999994"/>
    <n v="23.538606722689089"/>
    <x v="662"/>
  </r>
  <r>
    <x v="661"/>
    <x v="0"/>
    <x v="2"/>
    <x v="1"/>
    <x v="412"/>
    <x v="346"/>
    <n v="182.88"/>
    <n v="17.03"/>
    <n v="153.68067226890756"/>
    <n v="91.280799999999999"/>
    <n v="62.399872268907558"/>
    <x v="663"/>
  </r>
  <r>
    <x v="662"/>
    <x v="0"/>
    <x v="1"/>
    <x v="0"/>
    <x v="413"/>
    <x v="140"/>
    <n v="60.69"/>
    <n v="29.42"/>
    <n v="51"/>
    <n v="40.011200000000002"/>
    <n v="10.988799999999998"/>
    <x v="664"/>
  </r>
  <r>
    <x v="663"/>
    <x v="0"/>
    <x v="2"/>
    <x v="0"/>
    <x v="252"/>
    <x v="219"/>
    <n v="169.94"/>
    <n v="18.57"/>
    <n v="142.80672268907563"/>
    <n v="98.606700000000004"/>
    <n v="44.200022689075624"/>
    <x v="665"/>
  </r>
  <r>
    <x v="664"/>
    <x v="0"/>
    <x v="0"/>
    <x v="2"/>
    <x v="218"/>
    <x v="234"/>
    <n v="111.54"/>
    <n v="24.7"/>
    <n v="93.731092436974805"/>
    <n v="70.147999999999996"/>
    <n v="23.583092436974809"/>
    <x v="666"/>
  </r>
  <r>
    <x v="665"/>
    <x v="0"/>
    <x v="2"/>
    <x v="0"/>
    <x v="414"/>
    <x v="347"/>
    <n v="143.61000000000001"/>
    <n v="19.79"/>
    <n v="120.68067226890759"/>
    <n v="81.53479999999999"/>
    <n v="39.145872268907596"/>
    <x v="667"/>
  </r>
  <r>
    <x v="666"/>
    <x v="0"/>
    <x v="2"/>
    <x v="1"/>
    <x v="365"/>
    <x v="280"/>
    <n v="170.74"/>
    <n v="16.850000000000001"/>
    <n v="143.47899159663868"/>
    <n v="84.924000000000021"/>
    <n v="58.554991596638658"/>
    <x v="668"/>
  </r>
  <r>
    <x v="667"/>
    <x v="0"/>
    <x v="0"/>
    <x v="1"/>
    <x v="415"/>
    <x v="309"/>
    <n v="73.3"/>
    <n v="23.58"/>
    <n v="61.596638655462186"/>
    <n v="43.387199999999993"/>
    <n v="18.209438655462193"/>
    <x v="669"/>
  </r>
  <r>
    <x v="668"/>
    <x v="1"/>
    <x v="0"/>
    <x v="1"/>
    <x v="42"/>
    <x v="245"/>
    <n v="92.41"/>
    <n v="22.73"/>
    <n v="77.655462184873954"/>
    <n v="52.506300000000003"/>
    <n v="25.149162184873951"/>
    <x v="670"/>
  </r>
  <r>
    <x v="669"/>
    <x v="0"/>
    <x v="2"/>
    <x v="0"/>
    <x v="161"/>
    <x v="261"/>
    <n v="167.25"/>
    <n v="17.28"/>
    <n v="140.54621848739495"/>
    <n v="85.708800000000011"/>
    <n v="54.837418487394942"/>
    <x v="671"/>
  </r>
  <r>
    <x v="670"/>
    <x v="0"/>
    <x v="0"/>
    <x v="0"/>
    <x v="416"/>
    <x v="92"/>
    <n v="100.79"/>
    <n v="25.31"/>
    <n v="84.697478991596654"/>
    <n v="69.602500000000006"/>
    <n v="15.094978991596648"/>
    <x v="672"/>
  </r>
  <r>
    <x v="671"/>
    <x v="0"/>
    <x v="1"/>
    <x v="1"/>
    <x v="365"/>
    <x v="134"/>
    <n v="66.180000000000007"/>
    <n v="28.17"/>
    <n v="55.613445378151269"/>
    <n v="45.917099999999998"/>
    <n v="9.6963453781512712"/>
    <x v="673"/>
  </r>
  <r>
    <x v="672"/>
    <x v="1"/>
    <x v="0"/>
    <x v="2"/>
    <x v="417"/>
    <x v="174"/>
    <n v="105.6"/>
    <n v="25.68"/>
    <n v="88.739495798319325"/>
    <n v="68.565599999999989"/>
    <n v="20.173895798319336"/>
    <x v="674"/>
  </r>
  <r>
    <x v="673"/>
    <x v="0"/>
    <x v="2"/>
    <x v="2"/>
    <x v="418"/>
    <x v="348"/>
    <n v="181.57"/>
    <n v="17.34"/>
    <n v="152.57983193277312"/>
    <n v="100.74539999999999"/>
    <n v="51.834431932773128"/>
    <x v="675"/>
  </r>
  <r>
    <x v="674"/>
    <x v="0"/>
    <x v="2"/>
    <x v="0"/>
    <x v="419"/>
    <x v="349"/>
    <n v="176.41"/>
    <n v="20.9"/>
    <n v="148.24369747899161"/>
    <n v="104.91799999999999"/>
    <n v="43.325697478991614"/>
    <x v="676"/>
  </r>
  <r>
    <x v="675"/>
    <x v="1"/>
    <x v="2"/>
    <x v="0"/>
    <x v="215"/>
    <x v="350"/>
    <n v="188.46"/>
    <n v="19.29"/>
    <n v="158.36974789915968"/>
    <n v="105.1305"/>
    <n v="53.239247899159679"/>
    <x v="677"/>
  </r>
  <r>
    <x v="676"/>
    <x v="1"/>
    <x v="0"/>
    <x v="2"/>
    <x v="420"/>
    <x v="351"/>
    <n v="72.44"/>
    <n v="22.93"/>
    <n v="60.873949579831937"/>
    <n v="41.044700000000006"/>
    <n v="19.829249579831931"/>
    <x v="678"/>
  </r>
  <r>
    <x v="677"/>
    <x v="1"/>
    <x v="2"/>
    <x v="1"/>
    <x v="421"/>
    <x v="352"/>
    <n v="141.77000000000001"/>
    <n v="21.01"/>
    <n v="119.13445378151262"/>
    <n v="87.821799999999996"/>
    <n v="31.312653781512623"/>
    <x v="679"/>
  </r>
  <r>
    <x v="678"/>
    <x v="0"/>
    <x v="1"/>
    <x v="2"/>
    <x v="422"/>
    <x v="353"/>
    <n v="49.72"/>
    <n v="30.93"/>
    <n v="41.781512605042018"/>
    <n v="34.950900000000004"/>
    <n v="6.8306126050420133"/>
    <x v="680"/>
  </r>
  <r>
    <x v="679"/>
    <x v="0"/>
    <x v="0"/>
    <x v="0"/>
    <x v="23"/>
    <x v="304"/>
    <n v="97.3"/>
    <n v="25.83"/>
    <n v="81.764705882352942"/>
    <n v="63.283499999999997"/>
    <n v="18.481205882352945"/>
    <x v="681"/>
  </r>
  <r>
    <x v="680"/>
    <x v="1"/>
    <x v="1"/>
    <x v="1"/>
    <x v="423"/>
    <x v="193"/>
    <n v="42.82"/>
    <n v="28.88"/>
    <n v="35.983193277310924"/>
    <n v="25.125599999999999"/>
    <n v="10.857593277310926"/>
    <x v="682"/>
  </r>
  <r>
    <x v="681"/>
    <x v="1"/>
    <x v="1"/>
    <x v="1"/>
    <x v="230"/>
    <x v="296"/>
    <n v="47.03"/>
    <n v="31.54"/>
    <n v="39.52100840336135"/>
    <n v="29.962999999999997"/>
    <n v="9.5580084033613524"/>
    <x v="683"/>
  </r>
  <r>
    <x v="682"/>
    <x v="1"/>
    <x v="0"/>
    <x v="1"/>
    <x v="359"/>
    <x v="318"/>
    <n v="85.65"/>
    <n v="25.74"/>
    <n v="71.974789915966397"/>
    <n v="54.8262"/>
    <n v="17.148589915966397"/>
    <x v="684"/>
  </r>
  <r>
    <x v="683"/>
    <x v="1"/>
    <x v="0"/>
    <x v="0"/>
    <x v="424"/>
    <x v="354"/>
    <n v="117.71"/>
    <n v="27.67"/>
    <n v="98.915966386554615"/>
    <n v="90.757599999999996"/>
    <n v="8.1583663865546185"/>
    <x v="685"/>
  </r>
  <r>
    <x v="684"/>
    <x v="0"/>
    <x v="0"/>
    <x v="0"/>
    <x v="425"/>
    <x v="355"/>
    <n v="82.76"/>
    <n v="24.54"/>
    <n v="69.546218487394967"/>
    <n v="54.4788"/>
    <n v="15.067418487394967"/>
    <x v="686"/>
  </r>
  <r>
    <x v="685"/>
    <x v="1"/>
    <x v="0"/>
    <x v="1"/>
    <x v="426"/>
    <x v="225"/>
    <n v="96.58"/>
    <n v="24.52"/>
    <n v="81.159663865546221"/>
    <n v="60.564399999999999"/>
    <n v="20.595263865546222"/>
    <x v="687"/>
  </r>
  <r>
    <x v="686"/>
    <x v="0"/>
    <x v="0"/>
    <x v="0"/>
    <x v="65"/>
    <x v="281"/>
    <n v="83.78"/>
    <n v="23.61"/>
    <n v="70.403361344537814"/>
    <n v="47.22"/>
    <n v="23.183361344537815"/>
    <x v="688"/>
  </r>
  <r>
    <x v="687"/>
    <x v="0"/>
    <x v="1"/>
    <x v="0"/>
    <x v="427"/>
    <x v="75"/>
    <n v="56.79"/>
    <n v="33.01"/>
    <n v="47.722689075630257"/>
    <n v="44.233400000000003"/>
    <n v="3.4892890756302535"/>
    <x v="689"/>
  </r>
  <r>
    <x v="688"/>
    <x v="0"/>
    <x v="0"/>
    <x v="2"/>
    <x v="211"/>
    <x v="356"/>
    <n v="83.18"/>
    <n v="24.13"/>
    <n v="69.899159663865561"/>
    <n v="51.638199999999998"/>
    <n v="18.260959663865563"/>
    <x v="690"/>
  </r>
  <r>
    <x v="689"/>
    <x v="0"/>
    <x v="1"/>
    <x v="0"/>
    <x v="428"/>
    <x v="24"/>
    <n v="46.91"/>
    <n v="30.71"/>
    <n v="39.420168067226889"/>
    <n v="30.71"/>
    <n v="8.7101680672268884"/>
    <x v="691"/>
  </r>
  <r>
    <x v="690"/>
    <x v="0"/>
    <x v="1"/>
    <x v="2"/>
    <x v="429"/>
    <x v="103"/>
    <n v="55.29"/>
    <n v="31.71"/>
    <n v="46.462184873949582"/>
    <n v="39.954599999999999"/>
    <n v="6.5075848739495825"/>
    <x v="692"/>
  </r>
  <r>
    <x v="691"/>
    <x v="0"/>
    <x v="0"/>
    <x v="0"/>
    <x v="241"/>
    <x v="205"/>
    <n v="67.37"/>
    <n v="26.93"/>
    <n v="56.613445378151269"/>
    <n v="45.242399999999996"/>
    <n v="11.371045378151273"/>
    <x v="693"/>
  </r>
  <r>
    <x v="692"/>
    <x v="1"/>
    <x v="0"/>
    <x v="1"/>
    <x v="291"/>
    <x v="205"/>
    <n v="70.48"/>
    <n v="25.3"/>
    <n v="59.226890756302524"/>
    <n v="42.504000000000005"/>
    <n v="16.722890756302519"/>
    <x v="694"/>
  </r>
  <r>
    <x v="693"/>
    <x v="0"/>
    <x v="0"/>
    <x v="2"/>
    <x v="430"/>
    <x v="120"/>
    <n v="80.099999999999994"/>
    <n v="22.59"/>
    <n v="67.310924369747895"/>
    <n v="45.857699999999994"/>
    <n v="21.4532243697479"/>
    <x v="695"/>
  </r>
  <r>
    <x v="694"/>
    <x v="1"/>
    <x v="0"/>
    <x v="0"/>
    <x v="167"/>
    <x v="262"/>
    <n v="72.5"/>
    <n v="25.33"/>
    <n v="60.924369747899163"/>
    <n v="43.820900000000002"/>
    <n v="17.103469747899162"/>
    <x v="696"/>
  </r>
  <r>
    <x v="695"/>
    <x v="0"/>
    <x v="0"/>
    <x v="0"/>
    <x v="431"/>
    <x v="357"/>
    <n v="71.47"/>
    <n v="24.16"/>
    <n v="60.058823529411768"/>
    <n v="44.696000000000005"/>
    <n v="15.362823529411763"/>
    <x v="697"/>
  </r>
  <r>
    <x v="696"/>
    <x v="0"/>
    <x v="2"/>
    <x v="0"/>
    <x v="432"/>
    <x v="358"/>
    <n v="158.28"/>
    <n v="20.72"/>
    <n v="133.00840336134453"/>
    <n v="92.411199999999994"/>
    <n v="40.59720336134454"/>
    <x v="698"/>
  </r>
  <r>
    <x v="697"/>
    <x v="0"/>
    <x v="0"/>
    <x v="0"/>
    <x v="433"/>
    <x v="123"/>
    <n v="109.33"/>
    <n v="23.73"/>
    <n v="91.87394957983193"/>
    <n v="71.19"/>
    <n v="20.683949579831932"/>
    <x v="699"/>
  </r>
  <r>
    <x v="698"/>
    <x v="0"/>
    <x v="0"/>
    <x v="1"/>
    <x v="201"/>
    <x v="359"/>
    <n v="93.07"/>
    <n v="23.52"/>
    <n v="78.210084033613441"/>
    <n v="61.622399999999999"/>
    <n v="16.587684033613442"/>
    <x v="700"/>
  </r>
  <r>
    <x v="699"/>
    <x v="0"/>
    <x v="1"/>
    <x v="2"/>
    <x v="28"/>
    <x v="103"/>
    <n v="55.63"/>
    <n v="31.66"/>
    <n v="46.747899159663866"/>
    <n v="39.891599999999997"/>
    <n v="6.8562991596638696"/>
    <x v="701"/>
  </r>
  <r>
    <x v="700"/>
    <x v="0"/>
    <x v="1"/>
    <x v="0"/>
    <x v="386"/>
    <x v="162"/>
    <n v="50.04"/>
    <n v="29"/>
    <n v="42.050420168067227"/>
    <n v="31.32"/>
    <n v="10.730420168067226"/>
    <x v="702"/>
  </r>
  <r>
    <x v="701"/>
    <x v="0"/>
    <x v="0"/>
    <x v="0"/>
    <x v="173"/>
    <x v="264"/>
    <n v="117.23"/>
    <n v="25.38"/>
    <n v="98.512605042016816"/>
    <n v="81.72359999999999"/>
    <n v="16.789005042016825"/>
    <x v="703"/>
  </r>
  <r>
    <x v="702"/>
    <x v="1"/>
    <x v="0"/>
    <x v="0"/>
    <x v="434"/>
    <x v="49"/>
    <n v="88.74"/>
    <n v="23.94"/>
    <n v="74.571428571428569"/>
    <n v="55.780200000000008"/>
    <n v="18.791228571428562"/>
    <x v="704"/>
  </r>
  <r>
    <x v="703"/>
    <x v="0"/>
    <x v="0"/>
    <x v="1"/>
    <x v="435"/>
    <x v="224"/>
    <n v="74.260000000000005"/>
    <n v="24.06"/>
    <n v="62.403361344537821"/>
    <n v="43.789200000000001"/>
    <n v="18.61416134453782"/>
    <x v="705"/>
  </r>
  <r>
    <x v="704"/>
    <x v="1"/>
    <x v="0"/>
    <x v="0"/>
    <x v="263"/>
    <x v="144"/>
    <n v="99.5"/>
    <n v="23.23"/>
    <n v="83.613445378151269"/>
    <n v="62.488700000000001"/>
    <n v="21.124745378151268"/>
    <x v="706"/>
  </r>
  <r>
    <x v="705"/>
    <x v="0"/>
    <x v="0"/>
    <x v="1"/>
    <x v="436"/>
    <x v="339"/>
    <n v="74.81"/>
    <n v="24.29"/>
    <n v="62.865546218487403"/>
    <n v="45.179399999999994"/>
    <n v="17.686146218487409"/>
    <x v="707"/>
  </r>
  <r>
    <x v="706"/>
    <x v="1"/>
    <x v="2"/>
    <x v="1"/>
    <x v="437"/>
    <x v="360"/>
    <n v="155.51"/>
    <n v="18.13"/>
    <n v="130.68067226890756"/>
    <n v="81.222399999999993"/>
    <n v="49.458272268907564"/>
    <x v="708"/>
  </r>
  <r>
    <x v="707"/>
    <x v="1"/>
    <x v="2"/>
    <x v="1"/>
    <x v="438"/>
    <x v="349"/>
    <n v="167.18"/>
    <n v="16.7"/>
    <n v="140.48739495798321"/>
    <n v="83.834000000000003"/>
    <n v="56.65339495798321"/>
    <x v="709"/>
  </r>
  <r>
    <x v="708"/>
    <x v="1"/>
    <x v="0"/>
    <x v="0"/>
    <x v="68"/>
    <x v="329"/>
    <n v="119.3"/>
    <n v="23.09"/>
    <n v="100.25210084033614"/>
    <n v="72.040800000000004"/>
    <n v="28.211300840336136"/>
    <x v="710"/>
  </r>
  <r>
    <x v="709"/>
    <x v="0"/>
    <x v="2"/>
    <x v="1"/>
    <x v="439"/>
    <x v="306"/>
    <n v="163.34"/>
    <n v="16.53"/>
    <n v="137.26050420168067"/>
    <n v="82.319400000000002"/>
    <n v="54.941104201680673"/>
    <x v="711"/>
  </r>
  <r>
    <x v="710"/>
    <x v="0"/>
    <x v="1"/>
    <x v="0"/>
    <x v="200"/>
    <x v="276"/>
    <n v="64.02"/>
    <n v="31.91"/>
    <n v="53.798319327731093"/>
    <n v="45.312200000000004"/>
    <n v="8.4861193277310889"/>
    <x v="712"/>
  </r>
  <r>
    <x v="711"/>
    <x v="0"/>
    <x v="1"/>
    <x v="0"/>
    <x v="440"/>
    <x v="208"/>
    <n v="68.510000000000005"/>
    <n v="33.86"/>
    <n v="57.571428571428577"/>
    <n v="56.207599999999999"/>
    <n v="1.3638285714285772"/>
    <x v="713"/>
  </r>
  <r>
    <x v="712"/>
    <x v="1"/>
    <x v="1"/>
    <x v="2"/>
    <x v="115"/>
    <x v="39"/>
    <n v="45.6"/>
    <n v="29.58"/>
    <n v="38.319327731092443"/>
    <n v="27.805199999999999"/>
    <n v="10.514127731092444"/>
    <x v="714"/>
  </r>
  <r>
    <x v="713"/>
    <x v="1"/>
    <x v="0"/>
    <x v="1"/>
    <x v="441"/>
    <x v="318"/>
    <n v="86.2"/>
    <n v="26.91"/>
    <n v="72.436974789915979"/>
    <n v="57.318300000000001"/>
    <n v="15.118674789915978"/>
    <x v="715"/>
  </r>
  <r>
    <x v="714"/>
    <x v="1"/>
    <x v="2"/>
    <x v="0"/>
    <x v="442"/>
    <x v="361"/>
    <n v="167.99"/>
    <n v="18.23"/>
    <n v="141.16806722689077"/>
    <n v="84.769500000000008"/>
    <n v="56.398567226890762"/>
    <x v="716"/>
  </r>
  <r>
    <x v="715"/>
    <x v="0"/>
    <x v="1"/>
    <x v="0"/>
    <x v="440"/>
    <x v="114"/>
    <n v="51.36"/>
    <n v="32.68"/>
    <n v="43.159663865546221"/>
    <n v="38.562399999999997"/>
    <n v="4.5972638655462248"/>
    <x v="717"/>
  </r>
  <r>
    <x v="716"/>
    <x v="1"/>
    <x v="2"/>
    <x v="0"/>
    <x v="181"/>
    <x v="362"/>
    <n v="167.95"/>
    <n v="20.53"/>
    <n v="141.1344537815126"/>
    <n v="96.491"/>
    <n v="44.643453781512605"/>
    <x v="718"/>
  </r>
  <r>
    <x v="717"/>
    <x v="1"/>
    <x v="1"/>
    <x v="0"/>
    <x v="443"/>
    <x v="260"/>
    <n v="68.510000000000005"/>
    <n v="31.79"/>
    <n v="57.571428571428577"/>
    <n v="50.546099999999996"/>
    <n v="7.0253285714285809"/>
    <x v="719"/>
  </r>
  <r>
    <x v="718"/>
    <x v="0"/>
    <x v="2"/>
    <x v="0"/>
    <x v="386"/>
    <x v="149"/>
    <n v="179.98"/>
    <n v="18.5"/>
    <n v="151.24369747899161"/>
    <n v="105.82"/>
    <n v="45.423697478991613"/>
    <x v="720"/>
  </r>
  <r>
    <x v="719"/>
    <x v="0"/>
    <x v="0"/>
    <x v="0"/>
    <x v="258"/>
    <x v="269"/>
    <n v="99.03"/>
    <n v="25.13"/>
    <n v="83.21848739495799"/>
    <n v="67.348399999999998"/>
    <n v="15.870087394957991"/>
    <x v="721"/>
  </r>
  <r>
    <x v="720"/>
    <x v="1"/>
    <x v="1"/>
    <x v="0"/>
    <x v="444"/>
    <x v="63"/>
    <n v="49.65"/>
    <n v="29.06"/>
    <n v="41.72268907563025"/>
    <n v="31.6754"/>
    <n v="10.04728907563025"/>
    <x v="722"/>
  </r>
  <r>
    <x v="721"/>
    <x v="1"/>
    <x v="0"/>
    <x v="1"/>
    <x v="445"/>
    <x v="231"/>
    <n v="111.99"/>
    <n v="25.96"/>
    <n v="94.109243697478988"/>
    <n v="78.918400000000005"/>
    <n v="15.190843697478982"/>
    <x v="723"/>
  </r>
  <r>
    <x v="722"/>
    <x v="1"/>
    <x v="1"/>
    <x v="1"/>
    <x v="446"/>
    <x v="134"/>
    <n v="64.06"/>
    <n v="28.1"/>
    <n v="53.831932773109251"/>
    <n v="45.803000000000004"/>
    <n v="8.028932773109247"/>
    <x v="724"/>
  </r>
  <r>
    <x v="723"/>
    <x v="0"/>
    <x v="1"/>
    <x v="1"/>
    <x v="447"/>
    <x v="71"/>
    <n v="68.19"/>
    <n v="30.41"/>
    <n v="57.30252100840336"/>
    <n v="46.223199999999999"/>
    <n v="11.079321008403362"/>
    <x v="725"/>
  </r>
  <r>
    <x v="724"/>
    <x v="1"/>
    <x v="1"/>
    <x v="0"/>
    <x v="448"/>
    <x v="363"/>
    <n v="40.1"/>
    <n v="30.64"/>
    <n v="33.69747899159664"/>
    <n v="25.4312"/>
    <n v="8.2662789915966393"/>
    <x v="726"/>
  </r>
  <r>
    <x v="725"/>
    <x v="0"/>
    <x v="2"/>
    <x v="2"/>
    <x v="47"/>
    <x v="243"/>
    <n v="185.14"/>
    <n v="19.940000000000001"/>
    <n v="155.57983193277312"/>
    <n v="108.87240000000001"/>
    <n v="46.707431932773105"/>
    <x v="727"/>
  </r>
  <r>
    <x v="726"/>
    <x v="0"/>
    <x v="0"/>
    <x v="2"/>
    <x v="141"/>
    <x v="258"/>
    <n v="67.3"/>
    <n v="22.48"/>
    <n v="56.554621848739494"/>
    <n v="39.564799999999998"/>
    <n v="16.989821848739496"/>
    <x v="728"/>
  </r>
  <r>
    <x v="727"/>
    <x v="0"/>
    <x v="1"/>
    <x v="2"/>
    <x v="449"/>
    <x v="45"/>
    <n v="47.42"/>
    <n v="31.75"/>
    <n v="39.84873949579832"/>
    <n v="33.337499999999999"/>
    <n v="6.5112394957983213"/>
    <x v="729"/>
  </r>
  <r>
    <x v="728"/>
    <x v="1"/>
    <x v="0"/>
    <x v="2"/>
    <x v="32"/>
    <x v="94"/>
    <n v="67.41"/>
    <n v="22.72"/>
    <n v="56.647058823529413"/>
    <n v="40.214399999999998"/>
    <n v="16.432658823529415"/>
    <x v="730"/>
  </r>
  <r>
    <x v="729"/>
    <x v="1"/>
    <x v="0"/>
    <x v="2"/>
    <x v="450"/>
    <x v="174"/>
    <n v="105.57"/>
    <n v="24.49"/>
    <n v="88.714285714285708"/>
    <n v="65.388300000000001"/>
    <n v="23.325985714285707"/>
    <x v="731"/>
  </r>
  <r>
    <x v="730"/>
    <x v="0"/>
    <x v="1"/>
    <x v="0"/>
    <x v="312"/>
    <x v="67"/>
    <n v="64.86"/>
    <n v="28.89"/>
    <n v="54.504201680672274"/>
    <n v="40.734900000000003"/>
    <n v="13.769301680672271"/>
    <x v="732"/>
  </r>
  <r>
    <x v="731"/>
    <x v="0"/>
    <x v="0"/>
    <x v="0"/>
    <x v="451"/>
    <x v="339"/>
    <n v="71.8"/>
    <n v="23.23"/>
    <n v="60.336134453781511"/>
    <n v="43.207799999999999"/>
    <n v="17.128334453781513"/>
    <x v="733"/>
  </r>
  <r>
    <x v="732"/>
    <x v="1"/>
    <x v="1"/>
    <x v="1"/>
    <x v="452"/>
    <x v="164"/>
    <n v="48.9"/>
    <n v="30.19"/>
    <n v="41.092436974789919"/>
    <n v="34.718500000000006"/>
    <n v="6.3739369747899133"/>
    <x v="734"/>
  </r>
  <r>
    <x v="733"/>
    <x v="0"/>
    <x v="1"/>
    <x v="1"/>
    <x v="241"/>
    <x v="50"/>
    <n v="52.85"/>
    <n v="31.67"/>
    <n v="44.411764705882355"/>
    <n v="38.320700000000002"/>
    <n v="6.0910647058823528"/>
    <x v="735"/>
  </r>
  <r>
    <x v="734"/>
    <x v="1"/>
    <x v="0"/>
    <x v="1"/>
    <x v="453"/>
    <x v="79"/>
    <n v="89.9"/>
    <n v="22.64"/>
    <n v="75.546218487394967"/>
    <n v="51.619199999999999"/>
    <n v="23.927018487394967"/>
    <x v="736"/>
  </r>
  <r>
    <x v="735"/>
    <x v="0"/>
    <x v="1"/>
    <x v="0"/>
    <x v="454"/>
    <x v="166"/>
    <n v="44.33"/>
    <n v="28.68"/>
    <n v="37.252100840336134"/>
    <n v="26.672399999999996"/>
    <n v="10.579700840336137"/>
    <x v="737"/>
  </r>
  <r>
    <x v="736"/>
    <x v="0"/>
    <x v="0"/>
    <x v="0"/>
    <x v="54"/>
    <x v="110"/>
    <n v="91.56"/>
    <n v="23.67"/>
    <n v="76.941176470588246"/>
    <n v="55.861200000000011"/>
    <n v="21.079976470588235"/>
    <x v="738"/>
  </r>
  <r>
    <x v="737"/>
    <x v="0"/>
    <x v="0"/>
    <x v="0"/>
    <x v="455"/>
    <x v="38"/>
    <n v="109.52"/>
    <n v="25.03"/>
    <n v="92.033613445378151"/>
    <n v="73.087600000000009"/>
    <n v="18.946013445378142"/>
    <x v="739"/>
  </r>
  <r>
    <x v="738"/>
    <x v="0"/>
    <x v="1"/>
    <x v="2"/>
    <x v="125"/>
    <x v="364"/>
    <n v="42.62"/>
    <n v="29.59"/>
    <n v="35.815126050420169"/>
    <n v="13704.0167"/>
    <n v="-13668.20157394958"/>
    <x v="740"/>
  </r>
  <r>
    <x v="739"/>
    <x v="1"/>
    <x v="0"/>
    <x v="1"/>
    <x v="114"/>
    <x v="64"/>
    <n v="71.819999999999993"/>
    <n v="22.34"/>
    <n v="60.352941176470587"/>
    <n v="40.211999999999996"/>
    <n v="20.140941176470591"/>
    <x v="741"/>
  </r>
  <r>
    <x v="740"/>
    <x v="0"/>
    <x v="1"/>
    <x v="0"/>
    <x v="447"/>
    <x v="353"/>
    <n v="55.04"/>
    <n v="29.57"/>
    <n v="46.252100840336134"/>
    <n v="33.414099999999998"/>
    <n v="12.838000840336136"/>
    <x v="742"/>
  </r>
  <r>
    <x v="741"/>
    <x v="0"/>
    <x v="2"/>
    <x v="0"/>
    <x v="456"/>
    <x v="180"/>
    <n v="206.67"/>
    <n v="17"/>
    <n v="173.67226890756302"/>
    <n v="110.16"/>
    <n v="63.512268907563026"/>
    <x v="743"/>
  </r>
  <r>
    <x v="742"/>
    <x v="1"/>
    <x v="0"/>
    <x v="0"/>
    <x v="35"/>
    <x v="14"/>
    <n v="99.73"/>
    <n v="22.07"/>
    <n v="83.806722689075642"/>
    <n v="61.354599999999998"/>
    <n v="22.452122689075644"/>
    <x v="744"/>
  </r>
  <r>
    <x v="743"/>
    <x v="0"/>
    <x v="2"/>
    <x v="2"/>
    <x v="91"/>
    <x v="365"/>
    <n v="177.03"/>
    <n v="19.809999999999999"/>
    <n v="148.76470588235296"/>
    <n v="110.93599999999998"/>
    <n v="37.828705882352978"/>
    <x v="745"/>
  </r>
  <r>
    <x v="744"/>
    <x v="0"/>
    <x v="0"/>
    <x v="1"/>
    <x v="291"/>
    <x v="248"/>
    <n v="81.7"/>
    <n v="24.41"/>
    <n v="68.655462184873954"/>
    <n v="55.410699999999999"/>
    <n v="13.244762184873956"/>
    <x v="746"/>
  </r>
  <r>
    <x v="745"/>
    <x v="1"/>
    <x v="1"/>
    <x v="1"/>
    <x v="164"/>
    <x v="335"/>
    <n v="56.89"/>
    <n v="28.65"/>
    <n v="47.806722689075634"/>
    <n v="38.104500000000002"/>
    <n v="9.7022226890756329"/>
    <x v="747"/>
  </r>
  <r>
    <x v="746"/>
    <x v="1"/>
    <x v="0"/>
    <x v="0"/>
    <x v="225"/>
    <x v="151"/>
    <n v="69.2"/>
    <n v="0.23"/>
    <n v="58.151260504201687"/>
    <n v="0.38870000000000005"/>
    <n v="57.762560504201687"/>
    <x v="748"/>
  </r>
  <r>
    <x v="747"/>
    <x v="0"/>
    <x v="2"/>
    <x v="1"/>
    <x v="99"/>
    <x v="243"/>
    <n v="176.42"/>
    <n v="18.62"/>
    <n v="148.25210084033614"/>
    <n v="101.6652"/>
    <n v="46.586900840336142"/>
    <x v="749"/>
  </r>
  <r>
    <x v="748"/>
    <x v="1"/>
    <x v="0"/>
    <x v="0"/>
    <x v="457"/>
    <x v="326"/>
    <n v="118.76"/>
    <n v="27.34"/>
    <n v="99.798319327731107"/>
    <n v="87.21459999999999"/>
    <n v="12.583719327731117"/>
    <x v="750"/>
  </r>
  <r>
    <x v="749"/>
    <x v="1"/>
    <x v="2"/>
    <x v="1"/>
    <x v="217"/>
    <x v="167"/>
    <n v="186.93"/>
    <n v="21.37"/>
    <n v="157.0840336134454"/>
    <n v="114.97060000000002"/>
    <n v="42.11343361344538"/>
    <x v="751"/>
  </r>
  <r>
    <x v="750"/>
    <x v="0"/>
    <x v="2"/>
    <x v="0"/>
    <x v="194"/>
    <x v="366"/>
    <n v="205.96"/>
    <n v="17.18"/>
    <n v="173.07563025210086"/>
    <n v="107.375"/>
    <n v="65.700630252100865"/>
    <x v="752"/>
  </r>
  <r>
    <x v="751"/>
    <x v="0"/>
    <x v="1"/>
    <x v="0"/>
    <x v="199"/>
    <x v="18"/>
    <n v="65.819999999999993"/>
    <n v="28.93"/>
    <n v="55.310924369747895"/>
    <n v="41.659199999999998"/>
    <n v="13.651724369747896"/>
    <x v="753"/>
  </r>
  <r>
    <x v="752"/>
    <x v="1"/>
    <x v="1"/>
    <x v="1"/>
    <x v="458"/>
    <x v="166"/>
    <n v="46.8"/>
    <n v="31.47"/>
    <n v="39.327731092436977"/>
    <n v="29.267099999999999"/>
    <n v="10.060631092436978"/>
    <x v="754"/>
  </r>
  <r>
    <x v="753"/>
    <x v="1"/>
    <x v="0"/>
    <x v="2"/>
    <x v="382"/>
    <x v="334"/>
    <n v="111.96"/>
    <n v="25.71"/>
    <n v="94.084033613445371"/>
    <n v="81.500700000000009"/>
    <n v="12.583333613445362"/>
    <x v="755"/>
  </r>
  <r>
    <x v="754"/>
    <x v="0"/>
    <x v="0"/>
    <x v="0"/>
    <x v="459"/>
    <x v="4"/>
    <n v="74.09"/>
    <n v="23.68"/>
    <n v="62.260504201680675"/>
    <n v="42.150399999999998"/>
    <n v="20.110104201680677"/>
    <x v="756"/>
  </r>
  <r>
    <x v="755"/>
    <x v="1"/>
    <x v="2"/>
    <x v="2"/>
    <x v="372"/>
    <x v="291"/>
    <n v="171.34"/>
    <n v="16.75"/>
    <n v="143.98319327731093"/>
    <n v="85.592500000000001"/>
    <n v="58.39069327731093"/>
    <x v="757"/>
  </r>
  <r>
    <x v="756"/>
    <x v="1"/>
    <x v="2"/>
    <x v="0"/>
    <x v="84"/>
    <x v="98"/>
    <n v="139.21"/>
    <n v="16.7"/>
    <n v="116.98319327731093"/>
    <n v="63.46"/>
    <n v="53.523193277310931"/>
    <x v="758"/>
  </r>
  <r>
    <x v="757"/>
    <x v="0"/>
    <x v="0"/>
    <x v="0"/>
    <x v="460"/>
    <x v="151"/>
    <n v="67.319999999999993"/>
    <n v="24.3"/>
    <n v="56.571428571428569"/>
    <n v="41.067"/>
    <n v="15.504428571428569"/>
    <x v="759"/>
  </r>
  <r>
    <x v="758"/>
    <x v="0"/>
    <x v="1"/>
    <x v="0"/>
    <x v="138"/>
    <x v="114"/>
    <n v="57.93"/>
    <n v="29.57"/>
    <n v="48.680672268907564"/>
    <n v="34.892600000000002"/>
    <n v="13.788072268907563"/>
    <x v="760"/>
  </r>
  <r>
    <x v="759"/>
    <x v="0"/>
    <x v="2"/>
    <x v="0"/>
    <x v="461"/>
    <x v="367"/>
    <n v="148.18"/>
    <n v="16.64"/>
    <n v="124.52100840336135"/>
    <n v="71.884799999999998"/>
    <n v="52.636208403361351"/>
    <x v="761"/>
  </r>
  <r>
    <x v="760"/>
    <x v="1"/>
    <x v="1"/>
    <x v="0"/>
    <x v="362"/>
    <x v="74"/>
    <n v="53.21"/>
    <n v="30.33"/>
    <n v="44.714285714285715"/>
    <n v="37.609199999999994"/>
    <n v="7.1050857142857211"/>
    <x v="762"/>
  </r>
  <r>
    <x v="761"/>
    <x v="0"/>
    <x v="2"/>
    <x v="0"/>
    <x v="462"/>
    <x v="368"/>
    <n v="177.38"/>
    <n v="18.559999999999999"/>
    <n v="149.05882352941177"/>
    <n v="97.625599999999991"/>
    <n v="51.433223529411777"/>
    <x v="763"/>
  </r>
  <r>
    <x v="762"/>
    <x v="1"/>
    <x v="0"/>
    <x v="0"/>
    <x v="258"/>
    <x v="148"/>
    <n v="71.819999999999993"/>
    <n v="25.15"/>
    <n v="60.352941176470587"/>
    <n v="43.760999999999996"/>
    <n v="16.591941176470591"/>
    <x v="764"/>
  </r>
  <r>
    <x v="763"/>
    <x v="1"/>
    <x v="0"/>
    <x v="2"/>
    <x v="463"/>
    <x v="99"/>
    <n v="78.78"/>
    <n v="23.23"/>
    <n v="66.201680672268907"/>
    <n v="43.440100000000001"/>
    <n v="22.761580672268906"/>
    <x v="765"/>
  </r>
  <r>
    <x v="764"/>
    <x v="1"/>
    <x v="1"/>
    <x v="0"/>
    <x v="464"/>
    <x v="17"/>
    <n v="56.7"/>
    <n v="28.16"/>
    <n v="47.647058823529413"/>
    <n v="36.608000000000004"/>
    <n v="11.039058823529409"/>
    <x v="766"/>
  </r>
  <r>
    <x v="765"/>
    <x v="0"/>
    <x v="0"/>
    <x v="1"/>
    <x v="20"/>
    <x v="369"/>
    <n v="89.8"/>
    <n v="24.35"/>
    <n v="75.462184873949582"/>
    <n v="54.544000000000004"/>
    <n v="20.918184873949578"/>
    <x v="767"/>
  </r>
  <r>
    <x v="766"/>
    <x v="1"/>
    <x v="0"/>
    <x v="0"/>
    <x v="465"/>
    <x v="188"/>
    <n v="110.26"/>
    <n v="23.59"/>
    <n v="92.655462184873954"/>
    <n v="67.9392"/>
    <n v="24.716262184873955"/>
    <x v="768"/>
  </r>
  <r>
    <x v="767"/>
    <x v="0"/>
    <x v="0"/>
    <x v="1"/>
    <x v="274"/>
    <x v="92"/>
    <n v="101.04"/>
    <n v="25.9"/>
    <n v="84.907563025210095"/>
    <n v="71.224999999999994"/>
    <n v="13.682563025210101"/>
    <x v="769"/>
  </r>
  <r>
    <x v="768"/>
    <x v="1"/>
    <x v="1"/>
    <x v="0"/>
    <x v="427"/>
    <x v="196"/>
    <n v="63.36"/>
    <n v="32.18"/>
    <n v="53.243697478991599"/>
    <n v="49.557200000000002"/>
    <n v="3.6864974789915976"/>
    <x v="770"/>
  </r>
  <r>
    <x v="769"/>
    <x v="0"/>
    <x v="0"/>
    <x v="0"/>
    <x v="84"/>
    <x v="102"/>
    <n v="104.71"/>
    <n v="23.1"/>
    <n v="87.991596638655466"/>
    <n v="65.14200000000001"/>
    <n v="22.849596638655456"/>
    <x v="771"/>
  </r>
  <r>
    <x v="770"/>
    <x v="0"/>
    <x v="2"/>
    <x v="0"/>
    <x v="258"/>
    <x v="179"/>
    <n v="165.51"/>
    <n v="20.05"/>
    <n v="139.08403361344537"/>
    <n v="95.638500000000008"/>
    <n v="43.445533613445363"/>
    <x v="772"/>
  </r>
  <r>
    <x v="771"/>
    <x v="1"/>
    <x v="1"/>
    <x v="0"/>
    <x v="466"/>
    <x v="314"/>
    <n v="60.76"/>
    <n v="29.09"/>
    <n v="51.058823529411768"/>
    <n v="40.725999999999999"/>
    <n v="10.332823529411769"/>
    <x v="773"/>
  </r>
  <r>
    <x v="772"/>
    <x v="0"/>
    <x v="1"/>
    <x v="0"/>
    <x v="443"/>
    <x v="295"/>
    <n v="48.61"/>
    <n v="31.62"/>
    <n v="40.84873949579832"/>
    <n v="33.517200000000003"/>
    <n v="7.3315394957983173"/>
    <x v="774"/>
  </r>
  <r>
    <x v="773"/>
    <x v="0"/>
    <x v="1"/>
    <x v="1"/>
    <x v="235"/>
    <x v="63"/>
    <n v="48.83"/>
    <n v="29.5"/>
    <n v="41.033613445378151"/>
    <n v="32.155000000000001"/>
    <n v="8.87861344537815"/>
    <x v="775"/>
  </r>
  <r>
    <x v="774"/>
    <x v="1"/>
    <x v="0"/>
    <x v="2"/>
    <x v="467"/>
    <x v="370"/>
    <n v="113.21"/>
    <n v="24.2"/>
    <n v="95.134453781512605"/>
    <n v="72.116"/>
    <n v="23.018453781512605"/>
    <x v="776"/>
  </r>
  <r>
    <x v="775"/>
    <x v="1"/>
    <x v="0"/>
    <x v="2"/>
    <x v="468"/>
    <x v="345"/>
    <n v="93.39"/>
    <n v="22.2"/>
    <n v="78.478991596638664"/>
    <n v="53.501999999999995"/>
    <n v="24.976991596638669"/>
    <x v="777"/>
  </r>
  <r>
    <x v="776"/>
    <x v="1"/>
    <x v="0"/>
    <x v="1"/>
    <x v="469"/>
    <x v="123"/>
    <n v="110.34"/>
    <n v="25.7"/>
    <n v="92.722689075630257"/>
    <n v="77.099999999999994"/>
    <n v="15.622689075630262"/>
    <x v="778"/>
  </r>
  <r>
    <x v="777"/>
    <x v="1"/>
    <x v="1"/>
    <x v="0"/>
    <x v="470"/>
    <x v="71"/>
    <n v="60.75"/>
    <n v="31.33"/>
    <n v="51.050420168067227"/>
    <n v="47.621600000000001"/>
    <n v="3.4288201680672259"/>
    <x v="779"/>
  </r>
  <r>
    <x v="778"/>
    <x v="0"/>
    <x v="0"/>
    <x v="0"/>
    <x v="254"/>
    <x v="293"/>
    <n v="110.88"/>
    <n v="25.22"/>
    <n v="93.17647058823529"/>
    <n v="77.9298"/>
    <n v="15.24667058823529"/>
    <x v="780"/>
  </r>
  <r>
    <x v="779"/>
    <x v="0"/>
    <x v="0"/>
    <x v="0"/>
    <x v="471"/>
    <x v="326"/>
    <n v="120.46"/>
    <n v="24.9"/>
    <n v="101.22689075630252"/>
    <n v="79.430999999999997"/>
    <n v="21.795890756302526"/>
    <x v="781"/>
  </r>
  <r>
    <x v="780"/>
    <x v="0"/>
    <x v="0"/>
    <x v="0"/>
    <x v="447"/>
    <x v="106"/>
    <n v="90.54"/>
    <n v="22.9"/>
    <n v="76.084033613445385"/>
    <n v="54.501999999999995"/>
    <n v="21.58203361344539"/>
    <x v="782"/>
  </r>
  <r>
    <x v="781"/>
    <x v="0"/>
    <x v="2"/>
    <x v="0"/>
    <x v="65"/>
    <x v="371"/>
    <n v="146.38"/>
    <n v="20.59"/>
    <n v="123.00840336134453"/>
    <n v="90.596000000000004"/>
    <n v="32.412403361344531"/>
    <x v="783"/>
  </r>
  <r>
    <x v="782"/>
    <x v="1"/>
    <x v="1"/>
    <x v="0"/>
    <x v="472"/>
    <x v="175"/>
    <n v="55.5"/>
    <n v="31.72"/>
    <n v="46.638655462184879"/>
    <n v="41.870399999999997"/>
    <n v="4.7682554621848823"/>
    <x v="784"/>
  </r>
  <r>
    <x v="783"/>
    <x v="1"/>
    <x v="0"/>
    <x v="0"/>
    <x v="183"/>
    <x v="130"/>
    <n v="92.16"/>
    <n v="22.38"/>
    <n v="77.445378151260499"/>
    <n v="51.250199999999992"/>
    <n v="26.195178151260507"/>
    <x v="785"/>
  </r>
  <r>
    <x v="784"/>
    <x v="0"/>
    <x v="0"/>
    <x v="0"/>
    <x v="473"/>
    <x v="174"/>
    <n v="104.53"/>
    <n v="23.8"/>
    <n v="87.840336134453793"/>
    <n v="63.546000000000006"/>
    <n v="24.294336134453786"/>
    <x v="786"/>
  </r>
  <r>
    <x v="785"/>
    <x v="0"/>
    <x v="0"/>
    <x v="2"/>
    <x v="474"/>
    <x v="234"/>
    <n v="108.53"/>
    <n v="23.35"/>
    <n v="91.201680672268907"/>
    <n v="66.314000000000007"/>
    <n v="24.8876806722689"/>
    <x v="787"/>
  </r>
  <r>
    <x v="786"/>
    <x v="1"/>
    <x v="0"/>
    <x v="1"/>
    <x v="359"/>
    <x v="135"/>
    <n v="106.26"/>
    <n v="25.48"/>
    <n v="89.294117647058826"/>
    <n v="71.598799999999997"/>
    <n v="17.695317647058829"/>
    <x v="788"/>
  </r>
  <r>
    <x v="787"/>
    <x v="0"/>
    <x v="0"/>
    <x v="0"/>
    <x v="110"/>
    <x v="130"/>
    <n v="84.16"/>
    <n v="22.33"/>
    <n v="70.722689075630257"/>
    <n v="51.1357"/>
    <n v="19.586989075630257"/>
    <x v="789"/>
  </r>
  <r>
    <x v="788"/>
    <x v="1"/>
    <x v="2"/>
    <x v="2"/>
    <x v="223"/>
    <x v="372"/>
    <n v="140.88999999999999"/>
    <n v="17.559999999999999"/>
    <n v="118.39495798319327"/>
    <n v="68.308399999999992"/>
    <n v="50.086557983193273"/>
    <x v="790"/>
  </r>
  <r>
    <x v="789"/>
    <x v="0"/>
    <x v="1"/>
    <x v="2"/>
    <x v="197"/>
    <x v="85"/>
    <n v="49.8"/>
    <n v="31.01"/>
    <n v="41.84873949579832"/>
    <n v="36.901899999999998"/>
    <n v="4.9468394957983222"/>
    <x v="791"/>
  </r>
  <r>
    <x v="790"/>
    <x v="1"/>
    <x v="1"/>
    <x v="0"/>
    <x v="145"/>
    <x v="296"/>
    <n v="46.81"/>
    <n v="28.21"/>
    <n v="39.336134453781519"/>
    <n v="26.799500000000002"/>
    <n v="12.536634453781517"/>
    <x v="792"/>
  </r>
  <r>
    <x v="791"/>
    <x v="0"/>
    <x v="0"/>
    <x v="0"/>
    <x v="278"/>
    <x v="133"/>
    <n v="113.84"/>
    <n v="23.97"/>
    <n v="95.663865546218489"/>
    <n v="75.505499999999998"/>
    <n v="20.158365546218491"/>
    <x v="793"/>
  </r>
  <r>
    <x v="792"/>
    <x v="1"/>
    <x v="0"/>
    <x v="0"/>
    <x v="57"/>
    <x v="369"/>
    <n v="86.46"/>
    <n v="23.77"/>
    <n v="72.655462184873954"/>
    <n v="53.244799999999998"/>
    <n v="19.410662184873956"/>
    <x v="794"/>
  </r>
  <r>
    <x v="793"/>
    <x v="1"/>
    <x v="1"/>
    <x v="2"/>
    <x v="475"/>
    <x v="128"/>
    <n v="43.76"/>
    <n v="29.34"/>
    <n v="36.773109243697476"/>
    <n v="28.166399999999999"/>
    <n v="8.6067092436974768"/>
    <x v="795"/>
  </r>
  <r>
    <x v="794"/>
    <x v="1"/>
    <x v="1"/>
    <x v="2"/>
    <x v="476"/>
    <x v="81"/>
    <n v="43.5"/>
    <n v="29.58"/>
    <n v="36.554621848739501"/>
    <n v="25.142999999999997"/>
    <n v="11.411621848739504"/>
    <x v="796"/>
  </r>
  <r>
    <x v="795"/>
    <x v="1"/>
    <x v="1"/>
    <x v="0"/>
    <x v="477"/>
    <x v="70"/>
    <n v="58.99"/>
    <n v="30.12"/>
    <n v="49.571428571428577"/>
    <n v="41.264400000000002"/>
    <n v="8.3070285714285745"/>
    <x v="797"/>
  </r>
  <r>
    <x v="796"/>
    <x v="1"/>
    <x v="2"/>
    <x v="0"/>
    <x v="314"/>
    <x v="243"/>
    <n v="187.61"/>
    <n v="17.309999999999999"/>
    <n v="157.65546218487395"/>
    <n v="94.512599999999978"/>
    <n v="63.142862184873977"/>
    <x v="798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800">
  <r>
    <s v="C0001"/>
    <x v="0"/>
    <x v="0"/>
    <x v="0"/>
    <s v="24.04.2024"/>
    <n v="199"/>
    <n v="76.88"/>
    <n v="24.21"/>
    <n v="64.605042016806721"/>
    <n v="48.177900000000001"/>
    <n v="16.427142016806719"/>
    <n v="8.2548452345762406"/>
    <s v="24.04.2024"/>
    <e v="#VALUE!"/>
    <e v="#VALUE!"/>
    <e v="#VALUE!"/>
    <e v="#VALUE!"/>
  </r>
  <r>
    <s v="C0002"/>
    <x v="1"/>
    <x v="1"/>
    <x v="0"/>
    <s v="26.01.2024"/>
    <n v="110"/>
    <n v="49.75"/>
    <n v="30.01"/>
    <n v="41.806722689075634"/>
    <n v="33.011000000000003"/>
    <n v="8.7957226890756317"/>
    <n v="7.9961115355233012"/>
    <s v="26.01.2024"/>
    <n v="64.605042016806721"/>
    <n v="48.177900000000001"/>
    <n v="16.427142016806719"/>
    <n v="8.2548452345762406"/>
  </r>
  <r>
    <s v="C0003"/>
    <x v="1"/>
    <x v="0"/>
    <x v="0"/>
    <s v="08.10.2024"/>
    <n v="205"/>
    <n v="85.14"/>
    <n v="22.78"/>
    <n v="71.546218487394967"/>
    <n v="46.699000000000005"/>
    <n v="24.847218487394962"/>
    <n v="12.120594384095103"/>
    <s v="08.10.2024"/>
    <n v="41.806722689075634"/>
    <n v="33.011000000000003"/>
    <n v="8.7957226890756317"/>
    <n v="7.9961115355233012"/>
  </r>
  <r>
    <s v="C0004"/>
    <x v="1"/>
    <x v="0"/>
    <x v="0"/>
    <s v="07.09.2024"/>
    <n v="226"/>
    <n v="84.24"/>
    <n v="25.44"/>
    <n v="70.789915966386559"/>
    <n v="57.494400000000006"/>
    <n v="13.295515966386553"/>
    <n v="5.8829716665427227"/>
    <s v="07.09.2024"/>
    <n v="71.546218487394967"/>
    <n v="46.699000000000005"/>
    <n v="24.847218487394962"/>
    <n v="12.120594384095103"/>
  </r>
  <r>
    <s v="C0005"/>
    <x v="0"/>
    <x v="0"/>
    <x v="1"/>
    <s v="16.08.2024"/>
    <n v="178"/>
    <n v="70.680000000000007"/>
    <n v="24.71"/>
    <n v="59.394957983193287"/>
    <n v="43.983800000000002"/>
    <n v="15.411157983193284"/>
    <n v="8.6579539231422942"/>
    <s v="16.08.2024"/>
    <n v="70.789915966386559"/>
    <n v="57.494400000000006"/>
    <n v="13.295515966386553"/>
    <n v="5.8829716665427227"/>
  </r>
  <r>
    <s v="C0006"/>
    <x v="0"/>
    <x v="0"/>
    <x v="1"/>
    <s v="22.05.2024"/>
    <n v="253"/>
    <n v="94.37"/>
    <n v="25.35"/>
    <n v="79.302521008403374"/>
    <n v="64.135500000000008"/>
    <n v="15.167021008403367"/>
    <n v="5.9948699637957974"/>
    <s v="22.05.2024"/>
    <n v="59.394957983193287"/>
    <n v="43.983800000000002"/>
    <n v="15.411157983193284"/>
    <n v="8.6579539231422942"/>
  </r>
  <r>
    <s v="C0007"/>
    <x v="0"/>
    <x v="2"/>
    <x v="0"/>
    <s v="14.04.2024"/>
    <n v="356"/>
    <n v="118.13"/>
    <n v="20.79"/>
    <n v="99.268907563025209"/>
    <n v="74.0124"/>
    <n v="25.25650756302521"/>
    <n v="7.094524596355396"/>
    <s v="14.04.2024"/>
    <n v="79.302521008403374"/>
    <n v="64.135500000000008"/>
    <n v="15.167021008403367"/>
    <n v="5.9948699637957974"/>
  </r>
  <r>
    <s v="C0008"/>
    <x v="1"/>
    <x v="2"/>
    <x v="0"/>
    <s v="30.03.2024"/>
    <n v="600"/>
    <n v="201.44"/>
    <n v="20.239999999999998"/>
    <n v="169.27731092436974"/>
    <n v="121.43999999999998"/>
    <n v="47.83731092436976"/>
    <n v="7.9728851540616263"/>
    <s v="30.03.2024"/>
    <n v="99.268907563025209"/>
    <n v="74.0124"/>
    <n v="25.25650756302521"/>
    <n v="7.094524596355396"/>
  </r>
  <r>
    <s v="C0009"/>
    <x v="1"/>
    <x v="0"/>
    <x v="2"/>
    <s v="08.03.2025"/>
    <n v="206"/>
    <n v="81.819999999999993"/>
    <n v="23.76"/>
    <n v="68.756302521008408"/>
    <n v="48.945600000000006"/>
    <n v="19.810702521008402"/>
    <n v="9.6168458839846611"/>
    <s v="08.03.2025"/>
    <n v="169.27731092436974"/>
    <n v="121.43999999999998"/>
    <n v="47.83731092436976"/>
    <n v="7.9728851540616263"/>
  </r>
  <r>
    <s v="C0010"/>
    <x v="1"/>
    <x v="1"/>
    <x v="0"/>
    <s v="02.02.2024"/>
    <n v="128"/>
    <n v="56.66"/>
    <n v="30.44"/>
    <n v="47.613445378151262"/>
    <n v="38.963200000000001"/>
    <n v="8.6502453781512614"/>
    <n v="6.7580042016806727"/>
    <s v="02.02.2024"/>
    <n v="68.756302521008408"/>
    <n v="48.945600000000006"/>
    <n v="19.810702521008402"/>
    <n v="9.6168458839846611"/>
  </r>
  <r>
    <s v="C0011"/>
    <x v="0"/>
    <x v="2"/>
    <x v="1"/>
    <s v="31.01.2024"/>
    <n v="627"/>
    <n v="193.85"/>
    <n v="17.3"/>
    <n v="162.89915966386556"/>
    <n v="108.471"/>
    <n v="54.428159663865557"/>
    <n v="8.6807272191173137"/>
    <s v="31.01.2024"/>
    <n v="47.613445378151262"/>
    <n v="38.963200000000001"/>
    <n v="8.6502453781512614"/>
    <n v="6.7580042016806727"/>
  </r>
  <r>
    <s v="C0012"/>
    <x v="1"/>
    <x v="2"/>
    <x v="0"/>
    <s v="05.04.2024"/>
    <n v="550"/>
    <n v="185.06"/>
    <n v="19.87"/>
    <n v="155.51260504201682"/>
    <n v="109.285"/>
    <n v="46.227605042016819"/>
    <n v="8.4050190985485127"/>
    <s v="05.04.2024"/>
    <n v="162.89915966386556"/>
    <n v="108.471"/>
    <n v="54.428159663865557"/>
    <n v="8.6807272191173137"/>
  </r>
  <r>
    <s v="C0013"/>
    <x v="1"/>
    <x v="1"/>
    <x v="0"/>
    <s v="11.08.2024"/>
    <n v="128"/>
    <n v="55.34"/>
    <n v="28.72"/>
    <n v="46.504201680672274"/>
    <n v="36.761600000000001"/>
    <n v="9.7426016806722728"/>
    <n v="7.6114075630252129"/>
    <s v="11.08.2024"/>
    <n v="155.51260504201682"/>
    <n v="109.285"/>
    <n v="46.227605042016819"/>
    <n v="8.4050190985485127"/>
  </r>
  <r>
    <s v="C0014"/>
    <x v="0"/>
    <x v="2"/>
    <x v="0"/>
    <s v="26.08.2024"/>
    <n v="441"/>
    <n v="143.66999999999999"/>
    <n v="19.97"/>
    <n v="120.73109243697479"/>
    <n v="88.067699999999988"/>
    <n v="32.663392436974803"/>
    <n v="7.4066649516949665"/>
    <s v="26.08.2024"/>
    <n v="46.504201680672274"/>
    <n v="36.761600000000001"/>
    <n v="9.7426016806722728"/>
    <n v="7.6114075630252129"/>
  </r>
  <r>
    <s v="C0015"/>
    <x v="0"/>
    <x v="2"/>
    <x v="0"/>
    <s v="01.06.2025"/>
    <n v="444"/>
    <n v="152.84"/>
    <n v="17.649999999999999"/>
    <n v="128.43697478991598"/>
    <n v="78.366"/>
    <n v="50.070974789915979"/>
    <n v="11.277246574305401"/>
    <s v="01.06.2025"/>
    <n v="120.73109243697479"/>
    <n v="88.067699999999988"/>
    <n v="32.663392436974803"/>
    <n v="7.4066649516949665"/>
  </r>
  <r>
    <s v="C0016"/>
    <x v="0"/>
    <x v="0"/>
    <x v="2"/>
    <s v="28.01.2024"/>
    <n v="278"/>
    <n v="104.25"/>
    <n v="22.47"/>
    <n v="87.605042016806721"/>
    <n v="62.4666"/>
    <n v="25.138442016806721"/>
    <n v="9.042605042016806"/>
    <s v="28.01.2024"/>
    <n v="128.43697478991598"/>
    <n v="78.366"/>
    <n v="50.070974789915979"/>
    <n v="11.277246574305401"/>
  </r>
  <r>
    <s v="C0017"/>
    <x v="0"/>
    <x v="0"/>
    <x v="0"/>
    <s v="2024-07-22"/>
    <n v="332"/>
    <n v="129.06"/>
    <n v="22.66"/>
    <n v="108.45378151260505"/>
    <n v="75.231200000000001"/>
    <n v="33.222581512605046"/>
    <n v="10.006801660423207"/>
    <s v="2024-07"/>
    <n v="87.605042016806721"/>
    <n v="62.4666"/>
    <n v="25.138442016806721"/>
    <n v="9.042605042016806"/>
  </r>
  <r>
    <s v="C0018"/>
    <x v="0"/>
    <x v="0"/>
    <x v="0"/>
    <s v="05.03.2025"/>
    <n v="277"/>
    <n v="109.61"/>
    <n v="22.01"/>
    <n v="92.109243697479002"/>
    <n v="60.967700000000008"/>
    <n v="31.141543697478994"/>
    <n v="11.242434547826353"/>
    <s v="05.03.2025"/>
    <n v="108.45378151260505"/>
    <n v="75.231200000000001"/>
    <n v="33.222581512605046"/>
    <n v="10.006801660423207"/>
  </r>
  <r>
    <s v="C0019"/>
    <x v="0"/>
    <x v="1"/>
    <x v="0"/>
    <s v="13.08.2024"/>
    <n v="130"/>
    <n v="58.4"/>
    <n v="30.87"/>
    <n v="49.075630252100844"/>
    <n v="40.131"/>
    <n v="8.9446302521008434"/>
    <n v="6.8804848093083404"/>
    <s v="13.08.2024"/>
    <n v="92.109243697479002"/>
    <n v="60.967700000000008"/>
    <n v="31.141543697478994"/>
    <n v="11.242434547826353"/>
  </r>
  <r>
    <s v="C0020"/>
    <x v="0"/>
    <x v="1"/>
    <x v="0"/>
    <s v="04.04.2025"/>
    <n v="144"/>
    <n v="59.77"/>
    <n v="30.93"/>
    <n v="50.226890756302524"/>
    <n v="44.539200000000001"/>
    <n v="5.6876907563025227"/>
    <n v="3.9497852474323074"/>
    <s v="04.04.2025"/>
    <n v="49.075630252100844"/>
    <n v="40.131"/>
    <n v="8.9446302521008434"/>
    <n v="6.8804848093083404"/>
  </r>
  <r>
    <s v="C0021"/>
    <x v="1"/>
    <x v="2"/>
    <x v="0"/>
    <s v="11.10.2024"/>
    <n v="488"/>
    <n v="163.32"/>
    <n v="19.07"/>
    <n v="137.24369747899161"/>
    <n v="93.061599999999999"/>
    <n v="44.182097478991608"/>
    <n v="9.0537084997933626"/>
    <s v="11.10.2024"/>
    <n v="50.226890756302524"/>
    <n v="44.539200000000001"/>
    <n v="5.6876907563025227"/>
    <n v="3.9497852474323074"/>
  </r>
  <r>
    <s v="C0022"/>
    <x v="0"/>
    <x v="1"/>
    <x v="0"/>
    <s v="07.01.2024"/>
    <n v="88"/>
    <n v="41.01"/>
    <n v="28.65"/>
    <n v="34.462184873949582"/>
    <n v="25.212"/>
    <n v="9.250184873949582"/>
    <n v="10.511573720397251"/>
    <s v="07.01.2024"/>
    <n v="137.24369747899161"/>
    <n v="93.061599999999999"/>
    <n v="44.182097478991608"/>
    <n v="9.0537084997933626"/>
  </r>
  <r>
    <s v="C0023"/>
    <x v="0"/>
    <x v="1"/>
    <x v="1"/>
    <s v="12.06.2024"/>
    <n v="130"/>
    <n v="57.83"/>
    <n v="30.33"/>
    <n v="48.596638655462186"/>
    <n v="39.428999999999995"/>
    <n v="9.1676386554621914"/>
    <n v="7.0520297349709162"/>
    <s v="12.06.2024"/>
    <n v="34.462184873949582"/>
    <n v="25.212"/>
    <n v="9.250184873949582"/>
    <n v="10.511573720397251"/>
  </r>
  <r>
    <s v="C0024"/>
    <x v="0"/>
    <x v="0"/>
    <x v="0"/>
    <s v="08.03.2025"/>
    <n v="326"/>
    <n v="123.81"/>
    <n v="22.08"/>
    <n v="104.0420168067227"/>
    <n v="71.980799999999988"/>
    <n v="32.061216806722712"/>
    <n v="9.8347290818167821"/>
    <s v="08.03.2025"/>
    <n v="48.596638655462186"/>
    <n v="39.428999999999995"/>
    <n v="9.1676386554621914"/>
    <n v="7.0520297349709162"/>
  </r>
  <r>
    <s v="C0025"/>
    <x v="0"/>
    <x v="0"/>
    <x v="0"/>
    <s v="14.12.2024"/>
    <n v="196"/>
    <n v="78.67"/>
    <n v="22.66"/>
    <n v="66.109243697479002"/>
    <n v="44.413599999999995"/>
    <n v="21.695643697479007"/>
    <n v="11.069205968101533"/>
    <s v="14.12.2024"/>
    <n v="104.0420168067227"/>
    <n v="71.980799999999988"/>
    <n v="32.061216806722712"/>
    <n v="9.8347290818167821"/>
  </r>
  <r>
    <s v="C0026"/>
    <x v="1"/>
    <x v="2"/>
    <x v="2"/>
    <s v="11.10.2024"/>
    <n v="564"/>
    <n v="194.49"/>
    <n v="20.95"/>
    <n v="163.43697478991598"/>
    <n v="118.15799999999999"/>
    <n v="45.278974789915992"/>
    <n v="8.0281870194886515"/>
    <s v="11.10.2024"/>
    <n v="66.109243697479002"/>
    <n v="44.413599999999995"/>
    <n v="21.695643697479007"/>
    <n v="11.069205968101533"/>
  </r>
  <r>
    <s v="C0027"/>
    <x v="0"/>
    <x v="1"/>
    <x v="0"/>
    <s v="08.06.2024"/>
    <n v="100"/>
    <n v="47.51"/>
    <n v="30.97"/>
    <n v="39.924369747899156"/>
    <n v="30.97"/>
    <n v="8.9543697478991575"/>
    <n v="8.9543697478991575"/>
    <s v="08.06.2024"/>
    <n v="163.43697478991598"/>
    <n v="118.15799999999999"/>
    <n v="45.278974789915992"/>
    <n v="8.0281870194886515"/>
  </r>
  <r>
    <s v="C0028"/>
    <x v="0"/>
    <x v="1"/>
    <x v="2"/>
    <s v="08.08.2024"/>
    <n v="128"/>
    <n v="53.68"/>
    <n v="29.42"/>
    <n v="45.109243697478995"/>
    <n v="37.657600000000002"/>
    <n v="7.4516436974789926"/>
    <n v="5.8215966386554632"/>
    <s v="08.08.2024"/>
    <n v="39.924369747899156"/>
    <n v="30.97"/>
    <n v="8.9543697478991575"/>
    <n v="8.9543697478991575"/>
  </r>
  <r>
    <s v="C0029"/>
    <x v="1"/>
    <x v="0"/>
    <x v="0"/>
    <s v="10.12.2024"/>
    <n v="183"/>
    <n v="74.61"/>
    <n v="22.42"/>
    <n v="62.69747899159664"/>
    <n v="41.028600000000004"/>
    <n v="21.668878991596635"/>
    <n v="11.840917481746795"/>
    <s v="10.12.2024"/>
    <n v="45.109243697478995"/>
    <n v="37.657600000000002"/>
    <n v="7.4516436974789926"/>
    <n v="5.8215966386554632"/>
  </r>
  <r>
    <s v="C0030"/>
    <x v="0"/>
    <x v="0"/>
    <x v="2"/>
    <s v="14.04.2024"/>
    <n v="242"/>
    <n v="91.27"/>
    <n v="22.89"/>
    <n v="76.69747899159664"/>
    <n v="55.393799999999999"/>
    <n v="21.303678991596641"/>
    <n v="8.8031731370234052"/>
    <s v="14.04.2024"/>
    <n v="62.69747899159664"/>
    <n v="41.028600000000004"/>
    <n v="21.668878991596635"/>
    <n v="11.840917481746795"/>
  </r>
  <r>
    <s v="C0031"/>
    <x v="1"/>
    <x v="1"/>
    <x v="1"/>
    <s v="04.04.2024"/>
    <n v="146"/>
    <n v="65.63"/>
    <n v="30.08"/>
    <n v="55.15126050420168"/>
    <n v="43.916799999999995"/>
    <n v="11.234460504201685"/>
    <n v="7.6948359617819762"/>
    <s v="04.04.2024"/>
    <n v="76.69747899159664"/>
    <n v="55.393799999999999"/>
    <n v="21.303678991596641"/>
    <n v="8.8031731370234052"/>
  </r>
  <r>
    <s v="C0032"/>
    <x v="0"/>
    <x v="0"/>
    <x v="2"/>
    <s v="24.01.2025"/>
    <n v="225"/>
    <n v="86.07"/>
    <n v="24.43"/>
    <n v="72.327731092436977"/>
    <n v="54.967500000000001"/>
    <n v="17.360231092436976"/>
    <n v="7.7156582633053219"/>
    <s v="24.01.2025"/>
    <n v="55.15126050420168"/>
    <n v="43.916799999999995"/>
    <n v="11.234460504201685"/>
    <n v="7.6948359617819762"/>
  </r>
  <r>
    <s v="C0033"/>
    <x v="0"/>
    <x v="1"/>
    <x v="2"/>
    <s v="09.04.2024"/>
    <n v="139"/>
    <n v="59.27"/>
    <n v="28.98"/>
    <n v="49.806722689075634"/>
    <n v="40.282200000000003"/>
    <n v="9.5245226890756314"/>
    <n v="6.8521745964572887"/>
    <s v="09.04.2024"/>
    <n v="72.327731092436977"/>
    <n v="54.967500000000001"/>
    <n v="17.360231092436976"/>
    <n v="7.7156582633053219"/>
  </r>
  <r>
    <s v="C0034"/>
    <x v="1"/>
    <x v="1"/>
    <x v="0"/>
    <s v="02.01.2025"/>
    <n v="150"/>
    <n v="65.48"/>
    <n v="28.23"/>
    <n v="55.025210084033617"/>
    <n v="42.344999999999999"/>
    <n v="12.680210084033618"/>
    <n v="8.4534733893557448"/>
    <s v="02.01.2025"/>
    <n v="49.806722689075634"/>
    <n v="40.282200000000003"/>
    <n v="9.5245226890756314"/>
    <n v="6.8521745964572887"/>
  </r>
  <r>
    <s v="C0035"/>
    <x v="1"/>
    <x v="0"/>
    <x v="2"/>
    <s v="18.12.2024"/>
    <n v="321"/>
    <n v="117.03"/>
    <n v="23.56"/>
    <n v="98.34453781512606"/>
    <n v="75.627599999999987"/>
    <n v="22.716937815126073"/>
    <n v="7.0769276682635747"/>
    <s v="18.12.2024"/>
    <n v="55.025210084033617"/>
    <n v="42.344999999999999"/>
    <n v="12.680210084033618"/>
    <n v="8.4534733893557448"/>
  </r>
  <r>
    <s v="C0036"/>
    <x v="1"/>
    <x v="0"/>
    <x v="0"/>
    <s v="27.09.2024"/>
    <n v="206"/>
    <n v="83.4"/>
    <n v="22.94"/>
    <n v="70.084033613445385"/>
    <n v="47.256400000000006"/>
    <n v="22.827633613445379"/>
    <n v="11.081375540507466"/>
    <s v="27.09.2024"/>
    <n v="98.34453781512606"/>
    <n v="75.627599999999987"/>
    <n v="22.716937815126073"/>
    <n v="7.0769276682635747"/>
  </r>
  <r>
    <s v="C0037"/>
    <x v="0"/>
    <x v="2"/>
    <x v="0"/>
    <s v="14.02.2024"/>
    <n v="466"/>
    <n v="163.56"/>
    <n v="17.600000000000001"/>
    <n v="137.44537815126051"/>
    <n v="82.016000000000005"/>
    <n v="55.429378151260508"/>
    <n v="11.894716341472213"/>
    <s v="14.02.2024"/>
    <n v="70.084033613445385"/>
    <n v="47.256400000000006"/>
    <n v="22.827633613445379"/>
    <n v="11.081375540507466"/>
  </r>
  <r>
    <s v="C0038"/>
    <x v="0"/>
    <x v="0"/>
    <x v="0"/>
    <s v="15.04.2025"/>
    <n v="192"/>
    <n v="77.569999999999993"/>
    <n v="25.84"/>
    <n v="65.184873949579824"/>
    <n v="49.6128"/>
    <n v="15.572073949579824"/>
    <n v="8.1104551820728243"/>
    <s v="15.04.2025"/>
    <n v="137.44537815126051"/>
    <n v="82.016000000000005"/>
    <n v="55.429378151260508"/>
    <n v="11.894716341472213"/>
  </r>
  <r>
    <s v="C0039"/>
    <x v="1"/>
    <x v="0"/>
    <x v="0"/>
    <s v="07.05.2024"/>
    <n v="332"/>
    <n v="124.14"/>
    <n v="24.47"/>
    <n v="104.31932773109244"/>
    <n v="81.240399999999994"/>
    <n v="23.078927731092449"/>
    <n v="6.9514842563531483"/>
    <s v="07.05.2024"/>
    <n v="65.184873949579824"/>
    <n v="49.6128"/>
    <n v="15.572073949579824"/>
    <n v="8.1104551820728243"/>
  </r>
  <r>
    <s v="C0040"/>
    <x v="0"/>
    <x v="0"/>
    <x v="0"/>
    <s v="22.01.2025"/>
    <n v="321"/>
    <n v="118.63"/>
    <n v="24.23"/>
    <n v="99.689075630252105"/>
    <n v="77.778300000000002"/>
    <n v="21.910775630252104"/>
    <n v="6.8257868007015903"/>
    <s v="22.01.2025"/>
    <n v="104.31932773109244"/>
    <n v="81.240399999999994"/>
    <n v="23.078927731092449"/>
    <n v="6.9514842563531483"/>
  </r>
  <r>
    <s v="C0041"/>
    <x v="0"/>
    <x v="1"/>
    <x v="1"/>
    <s v="21.03.2024"/>
    <n v="128"/>
    <n v="60.82"/>
    <n v="29.66"/>
    <n v="51.109243697478995"/>
    <n v="37.964799999999997"/>
    <n v="13.144443697478998"/>
    <n v="10.269096638655467"/>
    <s v="21.03.2024"/>
    <n v="99.689075630252105"/>
    <n v="77.778300000000002"/>
    <n v="21.910775630252104"/>
    <n v="6.8257868007015903"/>
  </r>
  <r>
    <s v="C0042"/>
    <x v="0"/>
    <x v="0"/>
    <x v="0"/>
    <s v="27.10.2024"/>
    <n v="307"/>
    <n v="113.98"/>
    <n v="23.72"/>
    <n v="95.781512605042025"/>
    <n v="72.820400000000006"/>
    <n v="22.961112605042018"/>
    <n v="7.4791897736293214"/>
    <s v="27.10.2024"/>
    <n v="51.109243697478995"/>
    <n v="37.964799999999997"/>
    <n v="13.144443697478998"/>
    <n v="10.269096638655467"/>
  </r>
  <r>
    <s v="C0043"/>
    <x v="0"/>
    <x v="1"/>
    <x v="1"/>
    <s v="2025-01-05"/>
    <n v="127"/>
    <n v="55.56"/>
    <n v="30.16"/>
    <n v="46.689075630252105"/>
    <n v="38.303200000000004"/>
    <n v="8.3858756302521016"/>
    <n v="6.6030516773638599"/>
    <s v="2025-01"/>
    <n v="95.781512605042025"/>
    <n v="72.820400000000006"/>
    <n v="22.961112605042018"/>
    <n v="7.4791897736293214"/>
  </r>
  <r>
    <s v="C0044"/>
    <x v="1"/>
    <x v="2"/>
    <x v="2"/>
    <s v="15.07.2024"/>
    <n v="541"/>
    <n v="182.74"/>
    <n v="19.98"/>
    <n v="153.56302521008405"/>
    <n v="108.09180000000001"/>
    <n v="45.471225210084043"/>
    <n v="8.4050323863371617"/>
    <s v="15.07.2024"/>
    <n v="46.689075630252105"/>
    <n v="38.303200000000004"/>
    <n v="8.3858756302521016"/>
    <n v="6.6030516773638599"/>
  </r>
  <r>
    <s v="C0045"/>
    <x v="0"/>
    <x v="1"/>
    <x v="0"/>
    <s v="12.03.2024"/>
    <n v="90"/>
    <n v="41.86"/>
    <n v="30.81"/>
    <n v="35.176470588235297"/>
    <n v="27.728999999999999"/>
    <n v="7.4474705882352978"/>
    <n v="8.2749673202614424"/>
    <s v="12.03.2024"/>
    <n v="153.56302521008405"/>
    <n v="108.09180000000001"/>
    <n v="45.471225210084043"/>
    <n v="8.4050323863371617"/>
  </r>
  <r>
    <s v="C0046"/>
    <x v="1"/>
    <x v="0"/>
    <x v="0"/>
    <s v="16.02.2024"/>
    <n v="292"/>
    <n v="109.79"/>
    <n v="22.69"/>
    <n v="92.260504201680675"/>
    <n v="66.254800000000003"/>
    <n v="26.005704201680672"/>
    <n v="8.9060630827673535"/>
    <s v="16.02.2024"/>
    <n v="35.176470588235297"/>
    <n v="27.728999999999999"/>
    <n v="7.4474705882352978"/>
    <n v="8.2749673202614424"/>
  </r>
  <r>
    <s v="C0047"/>
    <x v="0"/>
    <x v="1"/>
    <x v="0"/>
    <s v="21.08.2024"/>
    <n v="94"/>
    <n v="46.35"/>
    <n v="30"/>
    <n v="38.949579831932773"/>
    <n v="28.2"/>
    <n v="10.749579831932774"/>
    <n v="11.435723225460398"/>
    <s v="21.08.2024"/>
    <n v="92.260504201680675"/>
    <n v="66.254800000000003"/>
    <n v="26.005704201680672"/>
    <n v="8.9060630827673535"/>
  </r>
  <r>
    <s v="C0048"/>
    <x v="0"/>
    <x v="2"/>
    <x v="0"/>
    <s v="23.10.2024"/>
    <n v="609"/>
    <n v="199.96"/>
    <n v="18.559999999999999"/>
    <n v="168.03361344537817"/>
    <n v="113.03039999999999"/>
    <n v="55.003213445378179"/>
    <n v="9.0317263457107035"/>
    <s v="23.10.2024"/>
    <n v="38.949579831932773"/>
    <n v="28.2"/>
    <n v="10.749579831932774"/>
    <n v="11.435723225460398"/>
  </r>
  <r>
    <s v="C0049"/>
    <x v="0"/>
    <x v="0"/>
    <x v="0"/>
    <s v="22.03.2024"/>
    <n v="297"/>
    <n v="115.75"/>
    <n v="25.48"/>
    <n v="97.268907563025209"/>
    <n v="75.675600000000003"/>
    <n v="21.593307563025206"/>
    <n v="7.270473926944514"/>
    <s v="22.03.2024"/>
    <n v="168.03361344537817"/>
    <n v="113.03039999999999"/>
    <n v="55.003213445378179"/>
    <n v="9.0317263457107035"/>
  </r>
  <r>
    <s v="C0050"/>
    <x v="0"/>
    <x v="0"/>
    <x v="0"/>
    <s v="26.08.2024"/>
    <n v="285"/>
    <n v="101.84"/>
    <n v="24.53"/>
    <n v="85.579831932773118"/>
    <n v="69.910499999999999"/>
    <n v="15.669331932773119"/>
    <n v="5.4980112044817959"/>
    <s v="26.08.2024"/>
    <n v="97.268907563025209"/>
    <n v="75.675600000000003"/>
    <n v="21.593307563025206"/>
    <n v="7.270473926944514"/>
  </r>
  <r>
    <s v="C0051"/>
    <x v="1"/>
    <x v="1"/>
    <x v="0"/>
    <s v="13.04.2024"/>
    <n v="86"/>
    <n v="45.72"/>
    <n v="30.13"/>
    <n v="38.420168067226889"/>
    <n v="25.911799999999999"/>
    <n v="12.50836806722689"/>
    <n v="14.544614031659176"/>
    <s v="13.04.2024"/>
    <n v="85.579831932773118"/>
    <n v="69.910499999999999"/>
    <n v="15.669331932773119"/>
    <n v="5.4980112044817959"/>
  </r>
  <r>
    <s v="C0052"/>
    <x v="1"/>
    <x v="0"/>
    <x v="2"/>
    <s v="24.01.2025"/>
    <n v="217"/>
    <n v="86.51"/>
    <n v="22.46"/>
    <n v="72.69747899159664"/>
    <n v="48.738200000000006"/>
    <n v="23.959278991596634"/>
    <n v="11.041142392440845"/>
    <s v="24.01.2025"/>
    <n v="38.420168067226889"/>
    <n v="25.911799999999999"/>
    <n v="12.50836806722689"/>
    <n v="14.544614031659176"/>
  </r>
  <r>
    <s v="C0053"/>
    <x v="1"/>
    <x v="1"/>
    <x v="1"/>
    <s v="11.10.2024"/>
    <n v="105"/>
    <n v="51.32"/>
    <n v="30.42"/>
    <n v="43.12605042016807"/>
    <n v="31.941000000000003"/>
    <n v="11.185050420168068"/>
    <n v="10.652428971588636"/>
    <s v="11.10.2024"/>
    <n v="72.69747899159664"/>
    <n v="48.738200000000006"/>
    <n v="23.959278991596634"/>
    <n v="11.041142392440845"/>
  </r>
  <r>
    <s v="C0054"/>
    <x v="1"/>
    <x v="2"/>
    <x v="0"/>
    <s v="09.04.2025"/>
    <n v="453"/>
    <n v="155.02000000000001"/>
    <n v="17.09"/>
    <n v="130.26890756302524"/>
    <n v="77.417699999999996"/>
    <n v="52.851207563025241"/>
    <n v="11.666933236870914"/>
    <s v="09.04.2025"/>
    <n v="43.12605042016807"/>
    <n v="31.941000000000003"/>
    <n v="11.185050420168068"/>
    <n v="10.652428971588636"/>
  </r>
  <r>
    <s v="C0055"/>
    <x v="1"/>
    <x v="1"/>
    <x v="1"/>
    <s v="08.01.2025"/>
    <n v="90"/>
    <n v="45.15"/>
    <n v="29.35"/>
    <n v="37.941176470588239"/>
    <n v="26.414999999999999"/>
    <n v="11.52617647058824"/>
    <n v="12.806862745098044"/>
    <s v="08.01.2025"/>
    <n v="130.26890756302524"/>
    <n v="77.417699999999996"/>
    <n v="52.851207563025241"/>
    <n v="11.666933236870914"/>
  </r>
  <r>
    <s v="C0056"/>
    <x v="1"/>
    <x v="1"/>
    <x v="0"/>
    <s v="15.06.2024"/>
    <n v="162"/>
    <n v="64.41"/>
    <n v="30.57"/>
    <n v="54.12605042016807"/>
    <n v="49.523400000000002"/>
    <n v="4.602650420168068"/>
    <n v="2.8411422346716471"/>
    <s v="15.06.2024"/>
    <n v="37.941176470588239"/>
    <n v="26.414999999999999"/>
    <n v="11.52617647058824"/>
    <n v="12.806862745098044"/>
  </r>
  <r>
    <s v="C0057"/>
    <x v="0"/>
    <x v="1"/>
    <x v="0"/>
    <s v="14.01.2025"/>
    <n v="130"/>
    <n v="57.15"/>
    <n v="30.77"/>
    <n v="48.025210084033617"/>
    <n v="40.000999999999998"/>
    <n v="8.0242100840336192"/>
    <n v="6.1724692954104761"/>
    <s v="14.01.2025"/>
    <n v="54.12605042016807"/>
    <n v="49.523400000000002"/>
    <n v="4.602650420168068"/>
    <n v="2.8411422346716471"/>
  </r>
  <r>
    <s v="C0058"/>
    <x v="0"/>
    <x v="0"/>
    <x v="1"/>
    <s v="29.12.2024"/>
    <n v="218"/>
    <n v="82.95"/>
    <n v="22.83"/>
    <n v="69.705882352941188"/>
    <n v="49.769399999999997"/>
    <n v="19.936482352941191"/>
    <n v="9.1451753912574265"/>
    <s v="29.12.2024"/>
    <n v="48.025210084033617"/>
    <n v="40.000999999999998"/>
    <n v="8.0242100840336192"/>
    <n v="6.1724692954104761"/>
  </r>
  <r>
    <s v="C0059"/>
    <x v="0"/>
    <x v="0"/>
    <x v="0"/>
    <s v="02.08.2024"/>
    <n v="233"/>
    <n v="94.73"/>
    <n v="23.57"/>
    <n v="79.605042016806735"/>
    <n v="54.918100000000003"/>
    <n v="24.686942016806732"/>
    <n v="10.595254084466408"/>
    <s v="02.08.2024"/>
    <n v="69.705882352941188"/>
    <n v="49.769399999999997"/>
    <n v="19.936482352941191"/>
    <n v="9.1451753912574265"/>
  </r>
  <r>
    <s v="C0060"/>
    <x v="0"/>
    <x v="1"/>
    <x v="0"/>
    <s v="30.09.2024"/>
    <n v="121"/>
    <n v="58.21"/>
    <n v="31.58"/>
    <n v="48.915966386554622"/>
    <n v="38.211799999999997"/>
    <n v="10.704166386554625"/>
    <n v="8.8464185012848144"/>
    <s v="30.09.2024"/>
    <n v="79.605042016806735"/>
    <n v="54.918100000000003"/>
    <n v="24.686942016806732"/>
    <n v="10.595254084466408"/>
  </r>
  <r>
    <s v="C0061"/>
    <x v="0"/>
    <x v="2"/>
    <x v="2"/>
    <s v="14.03.2024"/>
    <n v="534"/>
    <n v="173.65"/>
    <n v="17.52"/>
    <n v="145.92436974789916"/>
    <n v="93.55680000000001"/>
    <n v="52.367569747899154"/>
    <n v="9.8066610014792435"/>
    <s v="14.03.2024"/>
    <n v="48.915966386554622"/>
    <n v="38.211799999999997"/>
    <n v="10.704166386554625"/>
    <n v="8.8464185012848144"/>
  </r>
  <r>
    <s v="C0062"/>
    <x v="0"/>
    <x v="0"/>
    <x v="2"/>
    <s v="24.06.2024"/>
    <n v="253"/>
    <n v="94.91"/>
    <n v="26.03"/>
    <n v="79.756302521008408"/>
    <n v="65.855900000000005"/>
    <n v="13.900402521008402"/>
    <n v="5.4942302454578664"/>
    <s v="24.06.2024"/>
    <n v="145.92436974789916"/>
    <n v="93.55680000000001"/>
    <n v="52.367569747899154"/>
    <n v="9.8066610014792435"/>
  </r>
  <r>
    <s v="C0063"/>
    <x v="1"/>
    <x v="0"/>
    <x v="1"/>
    <s v="07.09.2024"/>
    <n v="320"/>
    <n v="121.29"/>
    <n v="23.68"/>
    <n v="101.92436974789916"/>
    <n v="75.77600000000001"/>
    <n v="26.148369747899153"/>
    <n v="8.1713655462184853"/>
    <s v="07.09.2024"/>
    <n v="79.756302521008408"/>
    <n v="65.855900000000005"/>
    <n v="13.900402521008402"/>
    <n v="5.4942302454578664"/>
  </r>
  <r>
    <s v="C0064"/>
    <x v="0"/>
    <x v="0"/>
    <x v="1"/>
    <s v="16.06.2024"/>
    <n v="250"/>
    <n v="92.05"/>
    <n v="24.07"/>
    <n v="77.352941176470594"/>
    <n v="60.174999999999997"/>
    <n v="17.177941176470597"/>
    <n v="6.8711764705882388"/>
    <s v="16.06.2024"/>
    <n v="101.92436974789916"/>
    <n v="75.77600000000001"/>
    <n v="26.148369747899153"/>
    <n v="8.1713655462184853"/>
  </r>
  <r>
    <s v="C0065"/>
    <x v="0"/>
    <x v="0"/>
    <x v="1"/>
    <s v="18.04.2025"/>
    <n v="332"/>
    <n v="125.87"/>
    <n v="25.17"/>
    <n v="105.77310924369749"/>
    <n v="83.564400000000006"/>
    <n v="22.208709243697484"/>
    <n v="6.6893702541257483"/>
    <s v="18.04.2025"/>
    <n v="77.352941176470594"/>
    <n v="60.174999999999997"/>
    <n v="17.177941176470597"/>
    <n v="6.8711764705882388"/>
  </r>
  <r>
    <s v="C0066"/>
    <x v="0"/>
    <x v="0"/>
    <x v="0"/>
    <s v="23.01.2025"/>
    <n v="308"/>
    <n v="110.9"/>
    <n v="22.28"/>
    <n v="93.193277310924373"/>
    <n v="68.622400000000013"/>
    <n v="24.570877310924359"/>
    <n v="7.9775575684819353"/>
    <s v="23.01.2025"/>
    <n v="105.77310924369749"/>
    <n v="83.564400000000006"/>
    <n v="22.208709243697484"/>
    <n v="6.6893702541257483"/>
  </r>
  <r>
    <s v="C0067"/>
    <x v="0"/>
    <x v="1"/>
    <x v="0"/>
    <s v="03.10.2024"/>
    <n v="100"/>
    <n v="45.15"/>
    <n v="29.9"/>
    <n v="37.941176470588239"/>
    <n v="29.9"/>
    <n v="8.0411764705882405"/>
    <n v="8.0411764705882405"/>
    <s v="03.10.2024"/>
    <n v="93.193277310924373"/>
    <n v="68.622400000000013"/>
    <n v="24.570877310924359"/>
    <n v="7.9775575684819353"/>
  </r>
  <r>
    <s v="C0068"/>
    <x v="1"/>
    <x v="1"/>
    <x v="0"/>
    <s v="12.08.2024"/>
    <n v="161"/>
    <n v="69.569999999999993"/>
    <n v="30.24"/>
    <n v="58.462184873949575"/>
    <n v="48.686399999999992"/>
    <n v="9.7757848739495827"/>
    <n v="6.0719160707761386"/>
    <s v="12.08.2024"/>
    <n v="37.941176470588239"/>
    <n v="29.9"/>
    <n v="8.0411764705882405"/>
    <n v="8.0411764705882405"/>
  </r>
  <r>
    <s v="C0069"/>
    <x v="0"/>
    <x v="2"/>
    <x v="0"/>
    <s v="28.11.2024"/>
    <n v="372"/>
    <n v="129.72999999999999"/>
    <n v="19.64"/>
    <n v="109.01680672268907"/>
    <n v="73.0608"/>
    <n v="35.956006722689068"/>
    <n v="9.6655932050239421"/>
    <s v="28.11.2024"/>
    <n v="58.462184873949575"/>
    <n v="48.686399999999992"/>
    <n v="9.7757848739495827"/>
    <n v="6.0719160707761386"/>
  </r>
  <r>
    <s v="C0070"/>
    <x v="1"/>
    <x v="2"/>
    <x v="0"/>
    <s v="27.02.2024"/>
    <n v="606"/>
    <n v="212"/>
    <n v="19.940000000000001"/>
    <n v="178.1512605042017"/>
    <n v="120.83640000000001"/>
    <n v="57.31486050420169"/>
    <n v="9.4578977729705755"/>
    <s v="27.02.2024"/>
    <n v="109.01680672268907"/>
    <n v="73.0608"/>
    <n v="35.956006722689068"/>
    <n v="9.6655932050239421"/>
  </r>
  <r>
    <s v="C0071"/>
    <x v="1"/>
    <x v="0"/>
    <x v="0"/>
    <s v="22.08.2024"/>
    <n v="230"/>
    <n v="87.96"/>
    <n v="23.01"/>
    <n v="73.915966386554615"/>
    <n v="52.923000000000002"/>
    <n v="20.992966386554613"/>
    <n v="9.1273766898063524"/>
    <s v="22.08.2024"/>
    <n v="178.1512605042017"/>
    <n v="120.83640000000001"/>
    <n v="57.31486050420169"/>
    <n v="9.4578977729705755"/>
  </r>
  <r>
    <s v="C0072"/>
    <x v="0"/>
    <x v="1"/>
    <x v="2"/>
    <s v="02.02.2024"/>
    <n v="157"/>
    <n v="66.150000000000006"/>
    <n v="28.04"/>
    <n v="55.588235294117652"/>
    <n v="44.022799999999997"/>
    <n v="11.565435294117655"/>
    <n v="7.3665192956163414"/>
    <s v="02.02.2024"/>
    <n v="73.915966386554615"/>
    <n v="52.923000000000002"/>
    <n v="20.992966386554613"/>
    <n v="9.1273766898063524"/>
  </r>
  <r>
    <s v="C0073"/>
    <x v="0"/>
    <x v="0"/>
    <x v="2"/>
    <s v="19.11.2024"/>
    <n v="311"/>
    <n v="115.16"/>
    <n v="24.89"/>
    <n v="96.773109243697476"/>
    <n v="77.407899999999998"/>
    <n v="19.365209243697478"/>
    <n v="6.226755383825556"/>
    <s v="19.11.2024"/>
    <n v="55.588235294117652"/>
    <n v="44.022799999999997"/>
    <n v="11.565435294117655"/>
    <n v="7.3665192956163414"/>
  </r>
  <r>
    <s v="C0074"/>
    <x v="1"/>
    <x v="0"/>
    <x v="1"/>
    <s v="14.02.2025"/>
    <n v="301"/>
    <n v="113.78"/>
    <n v="24.14"/>
    <n v="95.613445378151269"/>
    <n v="72.6614"/>
    <n v="22.952045378151269"/>
    <n v="7.6252642452329793"/>
    <s v="14.02.2025"/>
    <n v="96.773109243697476"/>
    <n v="77.407899999999998"/>
    <n v="19.365209243697478"/>
    <n v="6.226755383825556"/>
  </r>
  <r>
    <s v="C0075"/>
    <x v="1"/>
    <x v="1"/>
    <x v="0"/>
    <s v="01.10.2024"/>
    <n v="149"/>
    <n v="64.37"/>
    <n v="31.34"/>
    <n v="54.092436974789919"/>
    <n v="46.696599999999997"/>
    <n v="7.3958369747899226"/>
    <n v="4.9636489763690754"/>
    <s v="01.10.2024"/>
    <n v="95.613445378151269"/>
    <n v="72.6614"/>
    <n v="22.952045378151269"/>
    <n v="7.6252642452329793"/>
  </r>
  <r>
    <s v="C0076"/>
    <x v="1"/>
    <x v="1"/>
    <x v="2"/>
    <s v="08.03.2024"/>
    <n v="109"/>
    <n v="51"/>
    <n v="31.29"/>
    <n v="42.857142857142861"/>
    <n v="34.106099999999998"/>
    <n v="8.7510428571428633"/>
    <n v="8.0284796854521687"/>
    <s v="08.03.2024"/>
    <n v="54.092436974789919"/>
    <n v="46.696599999999997"/>
    <n v="7.3958369747899226"/>
    <n v="4.9636489763690754"/>
  </r>
  <r>
    <s v="C0077"/>
    <x v="1"/>
    <x v="0"/>
    <x v="0"/>
    <s v="04.08.2024"/>
    <n v="180"/>
    <n v="73.11"/>
    <n v="25.37"/>
    <n v="61.436974789915972"/>
    <n v="45.666000000000004"/>
    <n v="15.770974789915968"/>
    <n v="8.7616526610644279"/>
    <s v="04.08.2024"/>
    <n v="42.857142857142861"/>
    <n v="34.106099999999998"/>
    <n v="8.7510428571428633"/>
    <n v="8.0284796854521687"/>
  </r>
  <r>
    <s v="C0078"/>
    <x v="0"/>
    <x v="0"/>
    <x v="1"/>
    <s v="2024-11-18"/>
    <n v="234"/>
    <n v="88.9"/>
    <n v="23.94"/>
    <n v="74.705882352941188"/>
    <n v="56.019599999999997"/>
    <n v="18.686282352941191"/>
    <n v="7.985590749120167"/>
    <s v="2024-11"/>
    <n v="61.436974789915972"/>
    <n v="45.666000000000004"/>
    <n v="15.770974789915968"/>
    <n v="8.7616526610644279"/>
  </r>
  <r>
    <s v="C0079"/>
    <x v="0"/>
    <x v="1"/>
    <x v="0"/>
    <s v="05.08.2024"/>
    <n v="98"/>
    <n v="46.45"/>
    <n v="29.33"/>
    <n v="39.033613445378158"/>
    <n v="28.743399999999998"/>
    <n v="10.290213445378161"/>
    <n v="10.500217801406286"/>
    <s v="05.08.2024"/>
    <n v="74.705882352941188"/>
    <n v="56.019599999999997"/>
    <n v="18.686282352941191"/>
    <n v="7.985590749120167"/>
  </r>
  <r>
    <s v="C0080"/>
    <x v="0"/>
    <x v="1"/>
    <x v="1"/>
    <s v="2025-05-26"/>
    <n v="141"/>
    <n v="61.71"/>
    <n v="33.17"/>
    <n v="51.857142857142861"/>
    <n v="46.7697"/>
    <n v="5.0874428571428609"/>
    <n v="3.6081155015197597"/>
    <s v="2025-05"/>
    <n v="39.033613445378158"/>
    <n v="28.743399999999998"/>
    <n v="10.290213445378161"/>
    <n v="10.500217801406286"/>
  </r>
  <r>
    <s v="C0081"/>
    <x v="1"/>
    <x v="1"/>
    <x v="0"/>
    <s v="09.02.2025"/>
    <n v="112"/>
    <n v="50.62"/>
    <n v="29.81"/>
    <n v="42.537815126050418"/>
    <n v="33.3872"/>
    <n v="9.1506151260504183"/>
    <n v="8.1701920768307303"/>
    <s v="09.02.2025"/>
    <n v="51.857142857142861"/>
    <n v="46.7697"/>
    <n v="5.0874428571428609"/>
    <n v="3.6081155015197597"/>
  </r>
  <r>
    <s v="C0082"/>
    <x v="1"/>
    <x v="0"/>
    <x v="2"/>
    <s v="14.04.2025"/>
    <n v="329"/>
    <n v="120.21"/>
    <n v="22.73"/>
    <n v="101.01680672268907"/>
    <n v="74.781700000000001"/>
    <n v="26.235106722689068"/>
    <n v="7.9741965722459174"/>
    <s v="14.04.2025"/>
    <n v="42.537815126050418"/>
    <n v="33.3872"/>
    <n v="9.1506151260504183"/>
    <n v="8.1701920768307303"/>
  </r>
  <r>
    <s v="C0083"/>
    <x v="0"/>
    <x v="1"/>
    <x v="2"/>
    <s v="26.05.2024"/>
    <n v="137"/>
    <n v="61.97"/>
    <n v="31.42"/>
    <n v="52.075630252100844"/>
    <n v="43.045400000000001"/>
    <n v="9.0302302521008428"/>
    <n v="6.5914089431393013"/>
    <s v="26.05.2024"/>
    <n v="101.01680672268907"/>
    <n v="74.781700000000001"/>
    <n v="26.235106722689068"/>
    <n v="7.9741965722459174"/>
  </r>
  <r>
    <s v="C0084"/>
    <x v="0"/>
    <x v="1"/>
    <x v="0"/>
    <s v="28.09.2024"/>
    <n v="152"/>
    <n v="65.11"/>
    <n v="31.53"/>
    <n v="54.714285714285715"/>
    <n v="47.925600000000003"/>
    <n v="6.7886857142857124"/>
    <n v="4.4662406015037588"/>
    <s v="28.09.2024"/>
    <n v="52.075630252100844"/>
    <n v="43.045400000000001"/>
    <n v="9.0302302521008428"/>
    <n v="6.5914089431393013"/>
  </r>
  <r>
    <s v="C0085"/>
    <x v="0"/>
    <x v="2"/>
    <x v="0"/>
    <s v="22.05.2024"/>
    <n v="377"/>
    <n v="123.01"/>
    <n v="18.829999999999998"/>
    <n v="103.36974789915968"/>
    <n v="70.989099999999993"/>
    <n v="32.380647899159683"/>
    <n v="8.589031272986654"/>
    <s v="22.05.2024"/>
    <n v="54.714285714285715"/>
    <n v="47.925600000000003"/>
    <n v="6.7886857142857124"/>
    <n v="4.4662406015037588"/>
  </r>
  <r>
    <s v="C0086"/>
    <x v="0"/>
    <x v="1"/>
    <x v="2"/>
    <s v="09.09.2024"/>
    <n v="155"/>
    <n v="65.83"/>
    <n v="28.3"/>
    <n v="55.319327731092436"/>
    <n v="43.865000000000002"/>
    <n v="11.454327731092434"/>
    <n v="7.3898888587693126"/>
    <s v="09.09.2024"/>
    <n v="103.36974789915968"/>
    <n v="70.989099999999993"/>
    <n v="32.380647899159683"/>
    <n v="8.589031272986654"/>
  </r>
  <r>
    <s v="C0087"/>
    <x v="1"/>
    <x v="0"/>
    <x v="0"/>
    <s v="26.09.2024"/>
    <n v="320"/>
    <n v="115.52"/>
    <n v="23.55"/>
    <n v="97.075630252100837"/>
    <n v="75.36"/>
    <n v="21.715630252100837"/>
    <n v="6.7861344537815116"/>
    <s v="26.09.2024"/>
    <n v="55.319327731092436"/>
    <n v="43.865000000000002"/>
    <n v="11.454327731092434"/>
    <n v="7.3898888587693126"/>
  </r>
  <r>
    <s v="C0088"/>
    <x v="1"/>
    <x v="1"/>
    <x v="2"/>
    <s v="14.03.2025"/>
    <n v="124"/>
    <n v="56.75"/>
    <n v="31.21"/>
    <n v="47.689075630252105"/>
    <n v="38.700400000000002"/>
    <n v="8.9886756302521036"/>
    <n v="7.2489319598807294"/>
    <s v="14.03.2025"/>
    <n v="97.075630252100837"/>
    <n v="75.36"/>
    <n v="21.715630252100837"/>
    <n v="6.7861344537815116"/>
  </r>
  <r>
    <s v="C0089"/>
    <x v="1"/>
    <x v="1"/>
    <x v="1"/>
    <s v="12.02.2025"/>
    <n v="134"/>
    <n v="58.32"/>
    <n v="31.61"/>
    <n v="49.008403361344541"/>
    <n v="42.357399999999998"/>
    <n v="6.651003361344543"/>
    <n v="4.9634353442869728"/>
    <s v="12.02.2025"/>
    <n v="47.689075630252105"/>
    <n v="38.700400000000002"/>
    <n v="8.9886756302521036"/>
    <n v="7.2489319598807294"/>
  </r>
  <r>
    <s v="C0090"/>
    <x v="0"/>
    <x v="1"/>
    <x v="0"/>
    <s v="05.01.2025"/>
    <n v="147"/>
    <n v="62.08"/>
    <n v="28.81"/>
    <n v="52.168067226890756"/>
    <n v="42.350699999999996"/>
    <n v="9.8173672268907595"/>
    <n v="6.678481106728408"/>
    <s v="05.01.2025"/>
    <n v="49.008403361344541"/>
    <n v="42.357399999999998"/>
    <n v="6.651003361344543"/>
    <n v="4.9634353442869728"/>
  </r>
  <r>
    <s v="C0091"/>
    <x v="0"/>
    <x v="0"/>
    <x v="0"/>
    <s v="12.08.2024"/>
    <n v="196"/>
    <n v="77.959999999999994"/>
    <n v="22.27"/>
    <n v="65.512605042016801"/>
    <n v="43.6492"/>
    <n v="21.863405042016801"/>
    <n v="11.154798490824898"/>
    <s v="12.08.2024"/>
    <n v="52.168067226890756"/>
    <n v="42.350699999999996"/>
    <n v="9.8173672268907595"/>
    <n v="6.678481106728408"/>
  </r>
  <r>
    <s v="C0092"/>
    <x v="1"/>
    <x v="2"/>
    <x v="0"/>
    <s v="21.05.2024"/>
    <n v="501"/>
    <n v="164.88"/>
    <n v="20.89"/>
    <n v="138.55462184873949"/>
    <n v="104.65889999999999"/>
    <n v="33.895721848739498"/>
    <n v="6.7656131434609774"/>
    <s v="21.05.2024"/>
    <n v="65.512605042016801"/>
    <n v="43.6492"/>
    <n v="21.863405042016801"/>
    <n v="11.154798490824898"/>
  </r>
  <r>
    <s v="C0093"/>
    <x v="1"/>
    <x v="2"/>
    <x v="1"/>
    <s v="05.06.2025"/>
    <n v="466"/>
    <n v="159.11000000000001"/>
    <n v="18.45"/>
    <n v="133.70588235294119"/>
    <n v="85.97699999999999"/>
    <n v="47.728882352941199"/>
    <n v="10.24224943196163"/>
    <s v="05.06.2025"/>
    <n v="138.55462184873949"/>
    <n v="104.65889999999999"/>
    <n v="33.895721848739498"/>
    <n v="6.7656131434609774"/>
  </r>
  <r>
    <s v="C0094"/>
    <x v="1"/>
    <x v="0"/>
    <x v="0"/>
    <s v="2025-05-20"/>
    <n v="191"/>
    <n v="78.48"/>
    <n v="26.17"/>
    <n v="65.94957983193278"/>
    <n v="49.984700000000004"/>
    <n v="15.964879831932777"/>
    <n v="8.3585758282370559"/>
    <s v="2025-05"/>
    <n v="133.70588235294119"/>
    <n v="85.97699999999999"/>
    <n v="47.728882352941199"/>
    <n v="10.24224943196163"/>
  </r>
  <r>
    <s v="C0095"/>
    <x v="1"/>
    <x v="0"/>
    <x v="0"/>
    <s v="03.04.2024"/>
    <n v="228"/>
    <n v="87.33"/>
    <n v="25.87"/>
    <n v="73.386554621848745"/>
    <n v="58.983600000000003"/>
    <n v="14.402954621848743"/>
    <n v="6.3170853604599744"/>
    <s v="03.04.2024"/>
    <n v="65.94957983193278"/>
    <n v="49.984700000000004"/>
    <n v="15.964879831932777"/>
    <n v="8.3585758282370559"/>
  </r>
  <r>
    <s v="C0096"/>
    <x v="0"/>
    <x v="1"/>
    <x v="0"/>
    <s v="18.02.2024"/>
    <n v="89"/>
    <n v="40.93"/>
    <n v="28.27"/>
    <n v="34.394957983193279"/>
    <n v="25.160299999999996"/>
    <n v="9.2346579831932836"/>
    <n v="10.37602020583515"/>
    <s v="18.02.2024"/>
    <n v="73.386554621848745"/>
    <n v="58.983600000000003"/>
    <n v="14.402954621848743"/>
    <n v="6.3170853604599744"/>
  </r>
  <r>
    <s v="C0097"/>
    <x v="0"/>
    <x v="1"/>
    <x v="1"/>
    <s v="2024-04-22"/>
    <n v="85"/>
    <n v="38.65"/>
    <n v="30.59"/>
    <n v="32.478991596638657"/>
    <n v="26.0015"/>
    <n v="6.4774915966386573"/>
    <n v="7.6205783489866548"/>
    <s v="2024-04"/>
    <n v="34.394957983193279"/>
    <n v="25.160299999999996"/>
    <n v="9.2346579831932836"/>
    <n v="10.37602020583515"/>
  </r>
  <r>
    <s v="C0098"/>
    <x v="0"/>
    <x v="2"/>
    <x v="2"/>
    <s v="2024-06-05"/>
    <n v="378"/>
    <n v="122.25"/>
    <n v="18.87"/>
    <n v="102.73109243697479"/>
    <n v="71.328600000000009"/>
    <n v="31.402492436974782"/>
    <n v="8.30753768173936"/>
    <s v="2024-06"/>
    <n v="32.478991596638657"/>
    <n v="26.0015"/>
    <n v="6.4774915966386573"/>
    <n v="7.6205783489866548"/>
  </r>
  <r>
    <s v="C0099"/>
    <x v="0"/>
    <x v="1"/>
    <x v="2"/>
    <s v="12.06.2024"/>
    <n v="164"/>
    <n v="66.08"/>
    <n v="31.5"/>
    <n v="55.529411764705884"/>
    <n v="51.66"/>
    <n v="3.8694117647058874"/>
    <n v="2.3593974175035899"/>
    <s v="12.06.2024"/>
    <n v="102.73109243697479"/>
    <n v="71.328600000000009"/>
    <n v="31.402492436974782"/>
    <n v="8.30753768173936"/>
  </r>
  <r>
    <s v="C0100"/>
    <x v="0"/>
    <x v="1"/>
    <x v="0"/>
    <s v="08.03.2025"/>
    <n v="129"/>
    <n v="57.02"/>
    <n v="31.22"/>
    <n v="47.915966386554629"/>
    <n v="40.273799999999994"/>
    <n v="7.642166386554635"/>
    <n v="5.9241599895772366"/>
    <s v="08.03.2025"/>
    <n v="55.529411764705884"/>
    <n v="51.66"/>
    <n v="3.8694117647058874"/>
    <n v="2.3593974175035899"/>
  </r>
  <r>
    <s v="C0101"/>
    <x v="0"/>
    <x v="1"/>
    <x v="2"/>
    <s v="06.03.2024"/>
    <n v="164"/>
    <n v="67.91"/>
    <n v="29.73"/>
    <n v="57.067226890756302"/>
    <n v="48.757200000000005"/>
    <n v="8.3100268907562977"/>
    <n v="5.0670895675343282"/>
    <s v="06.03.2024"/>
    <n v="47.915966386554629"/>
    <n v="40.273799999999994"/>
    <n v="7.642166386554635"/>
    <n v="5.9241599895772366"/>
  </r>
  <r>
    <s v="C0102"/>
    <x v="1"/>
    <x v="1"/>
    <x v="1"/>
    <s v="29.01.2025"/>
    <n v="119"/>
    <n v="53.4"/>
    <n v="31.99"/>
    <n v="44.873949579831937"/>
    <n v="38.068100000000001"/>
    <n v="6.8058495798319356"/>
    <n v="5.7192013275898619"/>
    <s v="29.01.2025"/>
    <n v="57.067226890756302"/>
    <n v="48.757200000000005"/>
    <n v="8.3100268907562977"/>
    <n v="5.0670895675343282"/>
  </r>
  <r>
    <s v="C0102"/>
    <x v="0"/>
    <x v="1"/>
    <x v="1"/>
    <s v="25.01.2025"/>
    <n v="109"/>
    <n v="48.62"/>
    <n v="30.24"/>
    <n v="40.857142857142854"/>
    <n v="32.961599999999997"/>
    <n v="7.895542857142857"/>
    <n v="7.2436173001310609"/>
    <s v="25.01.2025"/>
    <n v="44.873949579831937"/>
    <n v="38.068100000000001"/>
    <n v="6.8058495798319356"/>
    <n v="5.7192013275898619"/>
  </r>
  <r>
    <s v="C0104"/>
    <x v="0"/>
    <x v="0"/>
    <x v="2"/>
    <s v="24.04.2025"/>
    <n v="251"/>
    <n v="91.69"/>
    <n v="23.28"/>
    <n v="77.050420168067234"/>
    <n v="58.432800000000007"/>
    <n v="18.617620168067226"/>
    <n v="7.4173785530148306"/>
    <s v="24.04.2025"/>
    <n v="40.857142857142854"/>
    <n v="32.961599999999997"/>
    <n v="7.895542857142857"/>
    <n v="7.2436173001310609"/>
  </r>
  <r>
    <s v="C0105"/>
    <x v="1"/>
    <x v="0"/>
    <x v="0"/>
    <s v="25.06.2025"/>
    <n v="240"/>
    <n v="93.58"/>
    <n v="22.88"/>
    <n v="78.638655462184872"/>
    <n v="54.911999999999999"/>
    <n v="23.726655462184873"/>
    <n v="9.8861064425770309"/>
    <s v="25.06.2025"/>
    <n v="77.050420168067234"/>
    <n v="58.432800000000007"/>
    <n v="18.617620168067226"/>
    <n v="7.4173785530148306"/>
  </r>
  <r>
    <s v="C0106"/>
    <x v="0"/>
    <x v="2"/>
    <x v="0"/>
    <s v="14.09.2024"/>
    <n v="368"/>
    <n v="126.39"/>
    <n v="18.25"/>
    <n v="106.21008403361346"/>
    <n v="67.16"/>
    <n v="39.050084033613459"/>
    <n v="10.611435878699309"/>
    <s v="14.09.2024"/>
    <n v="78.638655462184872"/>
    <n v="54.911999999999999"/>
    <n v="23.726655462184873"/>
    <n v="9.8861064425770309"/>
  </r>
  <r>
    <s v="C0107"/>
    <x v="0"/>
    <x v="2"/>
    <x v="2"/>
    <s v="12.01.2024"/>
    <n v="547"/>
    <n v="192.47"/>
    <n v="18.36"/>
    <n v="161.73949579831933"/>
    <n v="100.42919999999999"/>
    <n v="61.310295798319331"/>
    <n v="11.208463582873735"/>
    <s v="12.01.2024"/>
    <n v="106.21008403361346"/>
    <n v="67.16"/>
    <n v="39.050084033613459"/>
    <n v="10.611435878699309"/>
  </r>
  <r>
    <s v="C0108"/>
    <x v="1"/>
    <x v="1"/>
    <x v="0"/>
    <s v="27.04.2024"/>
    <n v="101"/>
    <n v="44.36"/>
    <n v="28.27"/>
    <n v="37.27731092436975"/>
    <n v="28.552700000000002"/>
    <n v="8.7246109243697489"/>
    <n v="8.638228637989851"/>
    <s v="27.04.2024"/>
    <n v="161.73949579831933"/>
    <n v="100.42919999999999"/>
    <n v="61.310295798319331"/>
    <n v="11.208463582873735"/>
  </r>
  <r>
    <s v="C0109"/>
    <x v="0"/>
    <x v="1"/>
    <x v="2"/>
    <s v="30.09.2024"/>
    <n v="135"/>
    <n v="62.33"/>
    <n v="29.48"/>
    <n v="52.378151260504204"/>
    <n v="39.798000000000002"/>
    <n v="12.580151260504202"/>
    <n v="9.3186305633364448"/>
    <s v="30.09.2024"/>
    <n v="37.27731092436975"/>
    <n v="28.552700000000002"/>
    <n v="8.7246109243697489"/>
    <n v="8.638228637989851"/>
  </r>
  <r>
    <s v="C0110"/>
    <x v="0"/>
    <x v="0"/>
    <x v="2"/>
    <s v="14.12.2024"/>
    <n v="275"/>
    <n v="104.48"/>
    <n v="23.86"/>
    <n v="87.798319327731093"/>
    <n v="65.614999999999995"/>
    <n v="22.183319327731098"/>
    <n v="8.066661573720399"/>
    <s v="14.12.2024"/>
    <n v="52.378151260504204"/>
    <n v="39.798000000000002"/>
    <n v="12.580151260504202"/>
    <n v="9.3186305633364448"/>
  </r>
  <r>
    <s v="C0111"/>
    <x v="0"/>
    <x v="0"/>
    <x v="0"/>
    <s v="24.04.2024"/>
    <n v="192"/>
    <n v="78.209999999999994"/>
    <n v="24.89"/>
    <n v="65.722689075630257"/>
    <n v="47.788800000000002"/>
    <n v="17.933889075630255"/>
    <n v="9.3405672268907569"/>
    <s v="24.04.2024"/>
    <n v="87.798319327731093"/>
    <n v="65.614999999999995"/>
    <n v="22.183319327731098"/>
    <n v="8.066661573720399"/>
  </r>
  <r>
    <s v="C0112"/>
    <x v="0"/>
    <x v="1"/>
    <x v="2"/>
    <s v="27.10.2024"/>
    <n v="88"/>
    <n v="43.12"/>
    <n v="30.63"/>
    <n v="36.235294117647058"/>
    <n v="26.9544"/>
    <n v="9.2808941176470583"/>
    <n v="10.546470588235293"/>
    <s v="27.10.2024"/>
    <n v="65.722689075630257"/>
    <n v="47.788800000000002"/>
    <n v="17.933889075630255"/>
    <n v="9.3405672268907569"/>
  </r>
  <r>
    <s v="C0113"/>
    <x v="1"/>
    <x v="0"/>
    <x v="0"/>
    <s v="21.03.2025"/>
    <n v="297"/>
    <n v="108.11"/>
    <n v="24.84"/>
    <n v="90.848739495798327"/>
    <n v="73.774799999999999"/>
    <n v="17.073939495798328"/>
    <n v="5.7488011770364746"/>
    <s v="21.03.2025"/>
    <n v="36.235294117647058"/>
    <n v="26.9544"/>
    <n v="9.2808941176470583"/>
    <n v="10.546470588235293"/>
  </r>
  <r>
    <s v="C0114"/>
    <x v="1"/>
    <x v="0"/>
    <x v="0"/>
    <s v="10.06.2024"/>
    <n v="243"/>
    <n v="89.4"/>
    <n v="24.03"/>
    <n v="75.12605042016807"/>
    <n v="58.392899999999997"/>
    <n v="16.733150420168073"/>
    <n v="6.8860701317564086"/>
    <s v="10.06.2024"/>
    <n v="90.848739495798327"/>
    <n v="73.774799999999999"/>
    <n v="17.073939495798328"/>
    <n v="5.7488011770364746"/>
  </r>
  <r>
    <s v="C0115"/>
    <x v="1"/>
    <x v="0"/>
    <x v="1"/>
    <s v="09.04.2025"/>
    <n v="177"/>
    <n v="70.86"/>
    <n v="22.87"/>
    <n v="59.54621848739496"/>
    <n v="40.479900000000001"/>
    <n v="19.066318487394959"/>
    <n v="10.77193134881071"/>
    <s v="09.04.2025"/>
    <n v="75.12605042016807"/>
    <n v="58.392899999999997"/>
    <n v="16.733150420168073"/>
    <n v="6.8860701317564086"/>
  </r>
  <r>
    <s v="C0116"/>
    <x v="1"/>
    <x v="0"/>
    <x v="2"/>
    <s v="04.01.2024"/>
    <n v="332"/>
    <n v="124.62"/>
    <n v="24.65"/>
    <n v="104.72268907563026"/>
    <n v="81.837999999999994"/>
    <n v="22.884689075630263"/>
    <n v="6.8929786372380315"/>
    <s v="04.01.2024"/>
    <n v="59.54621848739496"/>
    <n v="40.479900000000001"/>
    <n v="19.066318487394959"/>
    <n v="10.77193134881071"/>
  </r>
  <r>
    <s v="C0117"/>
    <x v="1"/>
    <x v="1"/>
    <x v="0"/>
    <s v="26.09.2024"/>
    <n v="88"/>
    <n v="43.24"/>
    <n v="29.94"/>
    <n v="36.336134453781519"/>
    <n v="26.347200000000001"/>
    <n v="9.9889344537815177"/>
    <n v="11.351061879297179"/>
    <s v="26.09.2024"/>
    <n v="104.72268907563026"/>
    <n v="81.837999999999994"/>
    <n v="22.884689075630263"/>
    <n v="6.8929786372380315"/>
  </r>
  <r>
    <s v="C0118"/>
    <x v="0"/>
    <x v="2"/>
    <x v="0"/>
    <s v="27.05.2025"/>
    <n v="565"/>
    <n v="184.25"/>
    <n v="18.53"/>
    <n v="154.83193277310926"/>
    <n v="104.69450000000001"/>
    <n v="50.137432773109254"/>
    <n v="8.8738819067449999"/>
    <s v="27.05.2025"/>
    <n v="36.336134453781519"/>
    <n v="26.347200000000001"/>
    <n v="9.9889344537815177"/>
    <n v="11.351061879297179"/>
  </r>
  <r>
    <s v="C0119"/>
    <x v="1"/>
    <x v="2"/>
    <x v="1"/>
    <s v="01.07.2024"/>
    <n v="662"/>
    <n v="213.32"/>
    <n v="20.52"/>
    <n v="179.26050420168067"/>
    <n v="135.8424"/>
    <n v="43.418104201680677"/>
    <n v="6.558626012338471"/>
    <s v="01.07.2024"/>
    <n v="154.83193277310926"/>
    <n v="104.69450000000001"/>
    <n v="50.137432773109254"/>
    <n v="8.8738819067449999"/>
  </r>
  <r>
    <s v="C0120"/>
    <x v="0"/>
    <x v="1"/>
    <x v="1"/>
    <s v="03.06.2025"/>
    <n v="103"/>
    <n v="48.12"/>
    <n v="31.09"/>
    <n v="40.436974789915965"/>
    <n v="32.0227"/>
    <n v="8.4142747899159644"/>
    <n v="8.1691988251611303"/>
    <s v="03.06.2025"/>
    <n v="179.26050420168067"/>
    <n v="135.8424"/>
    <n v="43.418104201680677"/>
    <n v="6.558626012338471"/>
  </r>
  <r>
    <s v="C0121"/>
    <x v="1"/>
    <x v="2"/>
    <x v="1"/>
    <s v="18.04.2024"/>
    <n v="380"/>
    <n v="131.24"/>
    <n v="19.239999999999998"/>
    <n v="110.28571428571429"/>
    <n v="73.111999999999995"/>
    <n v="37.173714285714297"/>
    <n v="9.7825563909774473"/>
    <s v="18.04.2024"/>
    <n v="40.436974789915965"/>
    <n v="32.0227"/>
    <n v="8.4142747899159644"/>
    <n v="8.1691988251611303"/>
  </r>
  <r>
    <s v="C0122"/>
    <x v="1"/>
    <x v="0"/>
    <x v="0"/>
    <s v="01.11.2024"/>
    <n v="187"/>
    <n v="76.66"/>
    <n v="22.27"/>
    <n v="64.420168067226896"/>
    <n v="41.6449"/>
    <n v="22.775268067226897"/>
    <n v="12.179287736484971"/>
    <s v="01.11.2024"/>
    <n v="110.28571428571429"/>
    <n v="73.111999999999995"/>
    <n v="37.173714285714297"/>
    <n v="9.7825563909774473"/>
  </r>
  <r>
    <s v="C0123"/>
    <x v="0"/>
    <x v="2"/>
    <x v="0"/>
    <s v="03.06.2025"/>
    <n v="434"/>
    <n v="149.79"/>
    <n v="20.329999999999998"/>
    <n v="125.87394957983193"/>
    <n v="88.232199999999992"/>
    <n v="37.641749579831938"/>
    <n v="8.673214188901369"/>
    <s v="03.06.2025"/>
    <n v="64.420168067226896"/>
    <n v="41.6449"/>
    <n v="22.775268067226897"/>
    <n v="12.179287736484971"/>
  </r>
  <r>
    <s v="C0124"/>
    <x v="0"/>
    <x v="2"/>
    <x v="0"/>
    <s v="22.07.2024"/>
    <n v="367"/>
    <n v="132.4"/>
    <n v="19.420000000000002"/>
    <n v="111.26050420168069"/>
    <n v="71.2714"/>
    <n v="39.989104201680689"/>
    <n v="10.896213678932067"/>
    <s v="22.07.2024"/>
    <n v="125.87394957983193"/>
    <n v="88.232199999999992"/>
    <n v="37.641749579831938"/>
    <n v="8.673214188901369"/>
  </r>
  <r>
    <s v="C0125"/>
    <x v="0"/>
    <x v="0"/>
    <x v="2"/>
    <s v="05.06.2024"/>
    <n v="282"/>
    <n v="106.64"/>
    <n v="27.13"/>
    <n v="89.613445378151269"/>
    <n v="76.506599999999992"/>
    <n v="13.106845378151277"/>
    <n v="4.6478175099827226"/>
    <s v="05.06.2024"/>
    <n v="111.26050420168069"/>
    <n v="71.2714"/>
    <n v="39.989104201680689"/>
    <n v="10.896213678932067"/>
  </r>
  <r>
    <s v="C0126"/>
    <x v="0"/>
    <x v="1"/>
    <x v="0"/>
    <s v="17.01.2025"/>
    <n v="88"/>
    <n v="42.26"/>
    <n v="31.01"/>
    <n v="35.512605042016808"/>
    <n v="27.288800000000002"/>
    <n v="8.2238050420168065"/>
    <n v="9.3452330022918257"/>
    <s v="17.01.2025"/>
    <n v="89.613445378151269"/>
    <n v="76.506599999999992"/>
    <n v="13.106845378151277"/>
    <n v="4.6478175099827226"/>
  </r>
  <r>
    <s v="C0127"/>
    <x v="1"/>
    <x v="1"/>
    <x v="0"/>
    <s v="14.06.2024"/>
    <n v="126"/>
    <n v="56.7"/>
    <n v="33.21"/>
    <n v="47.647058823529413"/>
    <n v="41.8446"/>
    <n v="5.8024588235294132"/>
    <n v="4.6051260504201688"/>
    <s v="14.06.2024"/>
    <n v="35.512605042016808"/>
    <n v="27.288800000000002"/>
    <n v="8.2238050420168065"/>
    <n v="9.3452330022918257"/>
  </r>
  <r>
    <s v="C0128"/>
    <x v="1"/>
    <x v="0"/>
    <x v="2"/>
    <s v="27.06.2025"/>
    <n v="332"/>
    <n v="128.66999999999999"/>
    <n v="24.07"/>
    <n v="108.12605042016806"/>
    <n v="79.912399999999991"/>
    <n v="28.213650420168065"/>
    <n v="8.4980874759542377"/>
    <s v="27.06.2025"/>
    <n v="47.647058823529413"/>
    <n v="41.8446"/>
    <n v="5.8024588235294132"/>
    <n v="4.6051260504201688"/>
  </r>
  <r>
    <s v="C0129"/>
    <x v="0"/>
    <x v="0"/>
    <x v="0"/>
    <s v="01.01.2024"/>
    <n v="302"/>
    <n v="111.53"/>
    <n v="22.56"/>
    <n v="93.722689075630257"/>
    <n v="68.131199999999993"/>
    <n v="25.591489075630264"/>
    <n v="8.4740030051755841"/>
    <s v="01.01.2024"/>
    <n v="108.12605042016806"/>
    <n v="79.912399999999991"/>
    <n v="28.213650420168065"/>
    <n v="8.4980874759542377"/>
  </r>
  <r>
    <s v="C0130"/>
    <x v="0"/>
    <x v="1"/>
    <x v="2"/>
    <s v="27.11.2024"/>
    <n v="135"/>
    <n v="58.78"/>
    <n v="30.68"/>
    <n v="49.394957983193279"/>
    <n v="41.417999999999999"/>
    <n v="7.9769579831932802"/>
    <n v="5.9088577653283556"/>
    <s v="27.11.2024"/>
    <n v="93.722689075630257"/>
    <n v="68.131199999999993"/>
    <n v="25.591489075630264"/>
    <n v="8.4740030051755841"/>
  </r>
  <r>
    <s v="C0131"/>
    <x v="0"/>
    <x v="1"/>
    <x v="1"/>
    <s v="15.05.2025"/>
    <n v="109"/>
    <n v="48.82"/>
    <n v="32.479999999999997"/>
    <n v="41.025210084033617"/>
    <n v="35.403199999999998"/>
    <n v="5.6220100840336187"/>
    <n v="5.1578074165446042"/>
    <s v="15.05.2025"/>
    <n v="49.394957983193279"/>
    <n v="41.417999999999999"/>
    <n v="7.9769579831932802"/>
    <n v="5.9088577653283556"/>
  </r>
  <r>
    <s v="C0132"/>
    <x v="0"/>
    <x v="2"/>
    <x v="2"/>
    <s v="20.01.2024"/>
    <n v="541"/>
    <n v="173.18"/>
    <n v="20.21"/>
    <n v="145.52941176470588"/>
    <n v="109.3361"/>
    <n v="36.193311764705882"/>
    <n v="6.6900761117755794"/>
    <s v="20.01.2024"/>
    <n v="41.025210084033617"/>
    <n v="35.403199999999998"/>
    <n v="5.6220100840336187"/>
    <n v="5.1578074165446042"/>
  </r>
  <r>
    <s v="C0133"/>
    <x v="0"/>
    <x v="2"/>
    <x v="0"/>
    <s v="24.04.2024"/>
    <n v="509"/>
    <n v="174.55"/>
    <n v="17.350000000000001"/>
    <n v="146.68067226890759"/>
    <n v="88.311500000000009"/>
    <n v="58.369172268907576"/>
    <n v="11.467420877977913"/>
    <s v="24.04.2024"/>
    <n v="145.52941176470588"/>
    <n v="109.3361"/>
    <n v="36.193311764705882"/>
    <n v="6.6900761117755794"/>
  </r>
  <r>
    <s v="C0134"/>
    <x v="0"/>
    <x v="0"/>
    <x v="0"/>
    <s v="2025-01-06"/>
    <n v="238"/>
    <n v="91.97"/>
    <n v="22.78"/>
    <n v="77.285714285714292"/>
    <n v="54.2164"/>
    <n v="23.069314285714292"/>
    <n v="9.6929891956782743"/>
    <s v="2025-01"/>
    <n v="146.68067226890759"/>
    <n v="88.311500000000009"/>
    <n v="58.369172268907576"/>
    <n v="11.467420877977913"/>
  </r>
  <r>
    <s v="C0135"/>
    <x v="1"/>
    <x v="1"/>
    <x v="1"/>
    <s v="10.11.2024"/>
    <n v="94"/>
    <n v="45.16"/>
    <n v="31.56"/>
    <n v="37.949579831932773"/>
    <n v="29.666399999999999"/>
    <n v="8.2831798319327739"/>
    <n v="8.8118934382263543"/>
    <s v="10.11.2024"/>
    <n v="77.285714285714292"/>
    <n v="54.2164"/>
    <n v="23.069314285714292"/>
    <n v="9.6929891956782743"/>
  </r>
  <r>
    <s v="C0136"/>
    <x v="0"/>
    <x v="1"/>
    <x v="2"/>
    <s v="02.09.2024"/>
    <n v="158"/>
    <n v="63.77"/>
    <n v="31"/>
    <n v="53.588235294117652"/>
    <n v="48.98"/>
    <n v="4.6082352941176552"/>
    <n v="2.9166046165301616"/>
    <s v="02.09.2024"/>
    <n v="37.949579831932773"/>
    <n v="29.666399999999999"/>
    <n v="8.2831798319327739"/>
    <n v="8.8118934382263543"/>
  </r>
  <r>
    <s v="C0137"/>
    <x v="0"/>
    <x v="1"/>
    <x v="1"/>
    <s v="29.02.2024"/>
    <n v="121"/>
    <n v="57.25"/>
    <n v="31.63"/>
    <n v="48.109243697478995"/>
    <n v="38.272300000000001"/>
    <n v="9.8369436974789934"/>
    <n v="8.1297055351066057"/>
    <s v="29.02.2024"/>
    <n v="53.588235294117652"/>
    <n v="48.98"/>
    <n v="4.6082352941176552"/>
    <n v="2.9166046165301616"/>
  </r>
  <r>
    <s v="C0137"/>
    <x v="1"/>
    <x v="2"/>
    <x v="0"/>
    <s v="2024-09-03"/>
    <n v="398"/>
    <n v="135.22999999999999"/>
    <n v="20.29"/>
    <n v="113.63865546218487"/>
    <n v="80.754199999999997"/>
    <n v="32.884455462184874"/>
    <n v="8.2624259955238379"/>
    <s v="2024-09"/>
    <n v="48.109243697478995"/>
    <n v="38.272300000000001"/>
    <n v="9.8369436974789934"/>
    <n v="8.1297055351066057"/>
  </r>
  <r>
    <s v="C0139"/>
    <x v="0"/>
    <x v="1"/>
    <x v="1"/>
    <s v="21.03.2024"/>
    <n v="114"/>
    <n v="53.81"/>
    <n v="30.39"/>
    <n v="45.21848739495799"/>
    <n v="34.644599999999997"/>
    <n v="10.573887394957993"/>
    <n v="9.2753398201385888"/>
    <s v="21.03.2024"/>
    <n v="113.63865546218487"/>
    <n v="80.754199999999997"/>
    <n v="32.884455462184874"/>
    <n v="8.2624259955238379"/>
  </r>
  <r>
    <s v="C0140"/>
    <x v="1"/>
    <x v="0"/>
    <x v="1"/>
    <s v="28.03.2024"/>
    <n v="236"/>
    <n v="93.8"/>
    <n v="24.62"/>
    <n v="78.82352941176471"/>
    <n v="58.103200000000008"/>
    <n v="20.720329411764702"/>
    <n v="8.7798005982053819"/>
    <s v="28.03.2024"/>
    <n v="45.21848739495799"/>
    <n v="34.644599999999997"/>
    <n v="10.573887394957993"/>
    <n v="9.2753398201385888"/>
  </r>
  <r>
    <s v="C0141"/>
    <x v="1"/>
    <x v="1"/>
    <x v="1"/>
    <s v="12.05.2025"/>
    <n v="152"/>
    <n v="63.83"/>
    <n v="33.56"/>
    <n v="53.638655462184872"/>
    <n v="51.011200000000009"/>
    <n v="2.6274554621848623"/>
    <n v="1.7285891198584618"/>
    <s v="12.05.2025"/>
    <n v="78.82352941176471"/>
    <n v="58.103200000000008"/>
    <n v="20.720329411764702"/>
    <n v="8.7798005982053819"/>
  </r>
  <r>
    <s v="C0142"/>
    <x v="0"/>
    <x v="0"/>
    <x v="1"/>
    <s v="11.03.2024"/>
    <n v="289"/>
    <n v="104.03"/>
    <n v="24.32"/>
    <n v="87.420168067226896"/>
    <n v="70.284800000000004"/>
    <n v="17.135368067226892"/>
    <n v="5.9291931028466758"/>
    <s v="11.03.2024"/>
    <n v="53.638655462184872"/>
    <n v="51.011200000000009"/>
    <n v="2.6274554621848623"/>
    <n v="1.7285891198584618"/>
  </r>
  <r>
    <s v="C0143"/>
    <x v="0"/>
    <x v="0"/>
    <x v="2"/>
    <s v="29.06.2025"/>
    <n v="295"/>
    <n v="107.47"/>
    <n v="24.53"/>
    <n v="90.310924369747909"/>
    <n v="72.363500000000002"/>
    <n v="17.947424369747907"/>
    <n v="6.0838726677111552"/>
    <s v="29.06.2025"/>
    <n v="87.420168067226896"/>
    <n v="70.284800000000004"/>
    <n v="17.135368067226892"/>
    <n v="5.9291931028466758"/>
  </r>
  <r>
    <s v="C0144"/>
    <x v="0"/>
    <x v="2"/>
    <x v="1"/>
    <s v="08.05.2024"/>
    <n v="337"/>
    <n v="119.39"/>
    <n v="17.28"/>
    <n v="100.32773109243698"/>
    <n v="58.233600000000003"/>
    <n v="42.094131092436974"/>
    <n v="12.490840086776551"/>
    <s v="08.05.2024"/>
    <n v="90.310924369747909"/>
    <n v="72.363500000000002"/>
    <n v="17.947424369747907"/>
    <n v="6.0838726677111552"/>
  </r>
  <r>
    <s v="C0145"/>
    <x v="0"/>
    <x v="1"/>
    <x v="0"/>
    <s v="11.05.2024"/>
    <n v="118"/>
    <n v="56.5"/>
    <n v="29.9"/>
    <n v="47.478991596638657"/>
    <n v="35.281999999999996"/>
    <n v="12.196991596638661"/>
    <n v="10.336433556473441"/>
    <s v="11.05.2024"/>
    <n v="100.32773109243698"/>
    <n v="58.233600000000003"/>
    <n v="42.094131092436974"/>
    <n v="12.490840086776551"/>
  </r>
  <r>
    <s v="C0146"/>
    <x v="0"/>
    <x v="1"/>
    <x v="0"/>
    <s v="01.05.2025"/>
    <n v="123"/>
    <n v="57.97"/>
    <n v="32.869999999999997"/>
    <n v="48.714285714285715"/>
    <n v="40.430099999999996"/>
    <n v="8.2841857142857194"/>
    <n v="6.7351103368176579"/>
    <s v="01.05.2025"/>
    <n v="47.478991596638657"/>
    <n v="35.281999999999996"/>
    <n v="12.196991596638661"/>
    <n v="10.336433556473441"/>
  </r>
  <r>
    <s v="C0147"/>
    <x v="1"/>
    <x v="1"/>
    <x v="0"/>
    <s v="18.06.2024"/>
    <n v="85"/>
    <n v="40.98"/>
    <n v="31.08"/>
    <n v="34.436974789915965"/>
    <n v="26.417999999999996"/>
    <n v="8.0189747899159691"/>
    <n v="9.4340879881364348"/>
    <s v="18.06.2024"/>
    <n v="48.714285714285715"/>
    <n v="40.430099999999996"/>
    <n v="8.2841857142857194"/>
    <n v="6.7351103368176579"/>
  </r>
  <r>
    <s v="C0148"/>
    <x v="0"/>
    <x v="2"/>
    <x v="0"/>
    <s v="28.09.2024"/>
    <n v="420"/>
    <n v="141.49"/>
    <n v="17.510000000000002"/>
    <n v="118.89915966386556"/>
    <n v="73.542000000000002"/>
    <n v="45.357159663865559"/>
    <n v="10.7993237294918"/>
    <s v="28.09.2024"/>
    <n v="34.436974789915965"/>
    <n v="26.417999999999996"/>
    <n v="8.0189747899159691"/>
    <n v="9.4340879881364348"/>
  </r>
  <r>
    <s v="C0149"/>
    <x v="0"/>
    <x v="2"/>
    <x v="0"/>
    <s v="24.06.2025"/>
    <n v="587"/>
    <n v="199.76"/>
    <n v="18.07"/>
    <n v="167.8655462184874"/>
    <n v="106.07089999999999"/>
    <n v="61.794646218487401"/>
    <n v="10.5271969707815"/>
    <s v="24.06.2025"/>
    <n v="118.89915966386556"/>
    <n v="73.542000000000002"/>
    <n v="45.357159663865559"/>
    <n v="10.7993237294918"/>
  </r>
  <r>
    <s v="C0150"/>
    <x v="0"/>
    <x v="0"/>
    <x v="0"/>
    <s v="09.03.2025"/>
    <n v="190"/>
    <n v="78.680000000000007"/>
    <n v="22.97"/>
    <n v="66.117647058823536"/>
    <n v="43.643000000000001"/>
    <n v="22.474647058823535"/>
    <n v="11.828761609907124"/>
    <s v="09.03.2025"/>
    <n v="167.8655462184874"/>
    <n v="106.07089999999999"/>
    <n v="61.794646218487401"/>
    <n v="10.5271969707815"/>
  </r>
  <r>
    <s v="C0151"/>
    <x v="1"/>
    <x v="0"/>
    <x v="0"/>
    <s v="04.08.2024"/>
    <n v="256"/>
    <n v="94.69"/>
    <n v="22.86"/>
    <n v="79.571428571428569"/>
    <n v="58.521599999999999"/>
    <n v="21.04982857142857"/>
    <n v="8.2225892857142853"/>
    <s v="04.08.2024"/>
    <n v="66.117647058823536"/>
    <n v="43.643000000000001"/>
    <n v="22.474647058823535"/>
    <n v="11.828761609907124"/>
  </r>
  <r>
    <s v="C0152"/>
    <x v="0"/>
    <x v="0"/>
    <x v="0"/>
    <s v="2024-07-24"/>
    <n v="203"/>
    <n v="73.69"/>
    <n v="23.7"/>
    <n v="61.924369747899163"/>
    <n v="48.110999999999997"/>
    <n v="13.813369747899166"/>
    <n v="6.804615639359195"/>
    <s v="2024-07"/>
    <n v="79.571428571428569"/>
    <n v="58.521599999999999"/>
    <n v="21.04982857142857"/>
    <n v="8.2225892857142853"/>
  </r>
  <r>
    <s v="C0153"/>
    <x v="0"/>
    <x v="1"/>
    <x v="2"/>
    <s v="15.11.2024"/>
    <n v="84"/>
    <n v="41.56"/>
    <n v="31.63"/>
    <n v="34.924369747899163"/>
    <n v="26.569200000000002"/>
    <n v="8.3551697478991613"/>
    <n v="9.9466306522609056"/>
    <s v="15.11.2024"/>
    <n v="61.924369747899163"/>
    <n v="48.110999999999997"/>
    <n v="13.813369747899166"/>
    <n v="6.804615639359195"/>
  </r>
  <r>
    <s v="C0154"/>
    <x v="0"/>
    <x v="2"/>
    <x v="2"/>
    <s v="12.02.2025"/>
    <n v="414"/>
    <n v="138.58000000000001"/>
    <n v="19.04"/>
    <n v="116.45378151260506"/>
    <n v="78.825599999999994"/>
    <n v="37.628181512605067"/>
    <n v="9.0889327325133014"/>
    <s v="12.02.2025"/>
    <n v="34.924369747899163"/>
    <n v="26.569200000000002"/>
    <n v="8.3551697478991613"/>
    <n v="9.9466306522609056"/>
  </r>
  <r>
    <s v="C0155"/>
    <x v="1"/>
    <x v="0"/>
    <x v="0"/>
    <s v="2025-01-17"/>
    <n v="329"/>
    <n v="120.35"/>
    <n v="22.75"/>
    <n v="101.1344537815126"/>
    <n v="74.847499999999997"/>
    <n v="26.286953781512608"/>
    <n v="7.989955556690763"/>
    <s v="2025-01"/>
    <n v="116.45378151260506"/>
    <n v="78.825599999999994"/>
    <n v="37.628181512605067"/>
    <n v="9.0889327325133014"/>
  </r>
  <r>
    <s v="C0156"/>
    <x v="0"/>
    <x v="0"/>
    <x v="2"/>
    <s v="2025-03-24"/>
    <n v="300"/>
    <n v="107.87"/>
    <n v="22.31"/>
    <n v="90.64705882352942"/>
    <n v="66.930000000000007"/>
    <n v="23.717058823529413"/>
    <n v="7.9056862745098044"/>
    <s v="2025-03"/>
    <n v="101.1344537815126"/>
    <n v="74.847499999999997"/>
    <n v="26.286953781512608"/>
    <n v="7.989955556690763"/>
  </r>
  <r>
    <s v="C0157"/>
    <x v="1"/>
    <x v="0"/>
    <x v="0"/>
    <s v="13.06.2025"/>
    <n v="326"/>
    <n v="122.35"/>
    <n v="24.78"/>
    <n v="102.81512605042016"/>
    <n v="80.782800000000009"/>
    <n v="22.032326050420153"/>
    <n v="6.7583822240552625"/>
    <s v="13.06.2025"/>
    <n v="90.64705882352942"/>
    <n v="66.930000000000007"/>
    <n v="23.717058823529413"/>
    <n v="7.9056862745098044"/>
  </r>
  <r>
    <s v="C0158"/>
    <x v="1"/>
    <x v="1"/>
    <x v="0"/>
    <s v="07.04.2025"/>
    <n v="124"/>
    <n v="57.62"/>
    <n v="29.53"/>
    <n v="48.420168067226889"/>
    <n v="36.617200000000004"/>
    <n v="11.802968067226885"/>
    <n v="9.5185226348603909"/>
    <s v="07.04.2025"/>
    <n v="102.81512605042016"/>
    <n v="80.782800000000009"/>
    <n v="22.032326050420153"/>
    <n v="6.7583822240552625"/>
  </r>
  <r>
    <s v="C0159"/>
    <x v="0"/>
    <x v="1"/>
    <x v="0"/>
    <s v="03.05.2024"/>
    <n v="92"/>
    <n v="44.28"/>
    <n v="31.29"/>
    <n v="37.210084033613448"/>
    <n v="28.786799999999999"/>
    <n v="8.4232840336134487"/>
    <n v="9.1557435147972264"/>
    <s v="03.05.2024"/>
    <n v="48.420168067226889"/>
    <n v="36.617200000000004"/>
    <n v="11.802968067226885"/>
    <n v="9.5185226348603909"/>
  </r>
  <r>
    <s v="C0160"/>
    <x v="1"/>
    <x v="0"/>
    <x v="0"/>
    <s v="10.09.2024"/>
    <n v="258"/>
    <n v="101.2"/>
    <n v="24.64"/>
    <n v="85.0420168067227"/>
    <n v="63.571199999999997"/>
    <n v="21.470816806722702"/>
    <n v="8.3220220181095748"/>
    <s v="10.09.2024"/>
    <n v="37.210084033613448"/>
    <n v="28.786799999999999"/>
    <n v="8.4232840336134487"/>
    <n v="9.1557435147972264"/>
  </r>
  <r>
    <s v="C0161"/>
    <x v="0"/>
    <x v="1"/>
    <x v="1"/>
    <s v="18.08.2024"/>
    <n v="121"/>
    <n v="54.72"/>
    <n v="31.18"/>
    <n v="45.983193277310924"/>
    <n v="37.727799999999995"/>
    <n v="8.2553932773109295"/>
    <n v="6.8226390721577932"/>
    <s v="18.08.2024"/>
    <n v="85.0420168067227"/>
    <n v="63.571199999999997"/>
    <n v="21.470816806722702"/>
    <n v="8.3220220181095748"/>
  </r>
  <r>
    <s v="C0162"/>
    <x v="1"/>
    <x v="0"/>
    <x v="1"/>
    <s v="06.03.2024"/>
    <n v="307"/>
    <n v="110.15"/>
    <n v="23.09"/>
    <n v="92.563025210084049"/>
    <n v="70.886300000000006"/>
    <n v="21.676725210084044"/>
    <n v="7.0608225440013177"/>
    <s v="06.03.2024"/>
    <n v="45.983193277310924"/>
    <n v="37.727799999999995"/>
    <n v="8.2553932773109295"/>
    <n v="6.8226390721577932"/>
  </r>
  <r>
    <s v="C0163"/>
    <x v="1"/>
    <x v="1"/>
    <x v="0"/>
    <s v="12.12.2024"/>
    <n v="91"/>
    <n v="43.09"/>
    <n v="30.77"/>
    <n v="36.210084033613448"/>
    <n v="28.000700000000002"/>
    <n v="8.2093840336134463"/>
    <n v="9.0213011358389519"/>
    <s v="12.12.2024"/>
    <n v="92.563025210084049"/>
    <n v="70.886300000000006"/>
    <n v="21.676725210084044"/>
    <n v="7.0608225440013177"/>
  </r>
  <r>
    <s v="C0164"/>
    <x v="0"/>
    <x v="0"/>
    <x v="0"/>
    <s v="22.01.2024"/>
    <n v="248"/>
    <n v="94.65"/>
    <n v="23.06"/>
    <n v="79.537815126050432"/>
    <n v="57.188800000000001"/>
    <n v="22.349015126050432"/>
    <n v="9.011699647600981"/>
    <s v="22.01.2024"/>
    <n v="36.210084033613448"/>
    <n v="28.000700000000002"/>
    <n v="8.2093840336134463"/>
    <n v="9.0213011358389519"/>
  </r>
  <r>
    <s v="C0165"/>
    <x v="0"/>
    <x v="1"/>
    <x v="0"/>
    <s v="23.08.2024"/>
    <n v="96"/>
    <n v="45.74"/>
    <n v="31.76"/>
    <n v="38.436974789915972"/>
    <n v="30.489599999999999"/>
    <n v="7.9473747899159726"/>
    <n v="8.2785154061624713"/>
    <s v="23.08.2024"/>
    <n v="79.537815126050432"/>
    <n v="57.188800000000001"/>
    <n v="22.349015126050432"/>
    <n v="9.011699647600981"/>
  </r>
  <r>
    <s v="C0166"/>
    <x v="1"/>
    <x v="0"/>
    <x v="0"/>
    <s v="13.08.2024"/>
    <n v="221"/>
    <n v="84.59"/>
    <n v="24.55"/>
    <n v="71.084033613445385"/>
    <n v="54.255500000000005"/>
    <n v="16.82853361344538"/>
    <n v="7.6147210920567323"/>
    <s v="13.08.2024"/>
    <n v="38.436974789915972"/>
    <n v="30.489599999999999"/>
    <n v="7.9473747899159726"/>
    <n v="8.2785154061624713"/>
  </r>
  <r>
    <s v="C0167"/>
    <x v="0"/>
    <x v="0"/>
    <x v="0"/>
    <s v="08.01.2024"/>
    <n v="289"/>
    <n v="107.87"/>
    <n v="23.3"/>
    <n v="90.64705882352942"/>
    <n v="67.337000000000003"/>
    <n v="23.310058823529417"/>
    <n v="8.0657642987991061"/>
    <s v="08.01.2024"/>
    <n v="71.084033613445385"/>
    <n v="54.255500000000005"/>
    <n v="16.82853361344538"/>
    <n v="7.6147210920567323"/>
  </r>
  <r>
    <s v="C0168"/>
    <x v="0"/>
    <x v="1"/>
    <x v="0"/>
    <s v="13.03.2024"/>
    <n v="123"/>
    <n v="54.32"/>
    <n v="29.08"/>
    <n v="45.647058823529413"/>
    <n v="35.7684"/>
    <n v="9.8786588235294133"/>
    <n v="8.0314299378287899"/>
    <s v="13.03.2024"/>
    <n v="90.64705882352942"/>
    <n v="67.337000000000003"/>
    <n v="23.310058823529417"/>
    <n v="8.0657642987991061"/>
  </r>
  <r>
    <s v="C0169"/>
    <x v="0"/>
    <x v="0"/>
    <x v="2"/>
    <s v="01.03.2024"/>
    <n v="229"/>
    <n v="88.99"/>
    <n v="22.76"/>
    <n v="74.78151260504201"/>
    <n v="52.120399999999997"/>
    <n v="22.661112605042014"/>
    <n v="9.8956823602803556"/>
    <s v="01.03.2024"/>
    <n v="45.647058823529413"/>
    <n v="35.7684"/>
    <n v="9.8786588235294133"/>
    <n v="8.0314299378287899"/>
  </r>
  <r>
    <s v="C0169"/>
    <x v="1"/>
    <x v="0"/>
    <x v="2"/>
    <s v="22.08.2024"/>
    <n v="232"/>
    <n v="87.06"/>
    <n v="24.78"/>
    <n v="73.159663865546221"/>
    <n v="57.489600000000003"/>
    <n v="15.670063865546219"/>
    <n v="6.7543378730802672"/>
    <s v="22.08.2024"/>
    <n v="74.78151260504201"/>
    <n v="52.120399999999997"/>
    <n v="22.661112605042014"/>
    <n v="9.8956823602803556"/>
  </r>
  <r>
    <s v="C0171"/>
    <x v="1"/>
    <x v="0"/>
    <x v="0"/>
    <s v="10.03.2024"/>
    <n v="243"/>
    <n v="91.49"/>
    <n v="22.87"/>
    <n v="76.882352941176464"/>
    <n v="55.574100000000001"/>
    <n v="21.308252941176463"/>
    <n v="8.7688283708545125"/>
    <s v="10.03.2024"/>
    <n v="73.159663865546221"/>
    <n v="57.489600000000003"/>
    <n v="15.670063865546219"/>
    <n v="6.7543378730802672"/>
  </r>
  <r>
    <s v="C0172"/>
    <x v="0"/>
    <x v="2"/>
    <x v="2"/>
    <s v="02.02.2024"/>
    <n v="595"/>
    <n v="208.29"/>
    <n v="19.48"/>
    <n v="175.03361344537817"/>
    <n v="115.90600000000001"/>
    <n v="59.127613445378159"/>
    <n v="9.9374140244333038"/>
    <s v="02.02.2024"/>
    <n v="76.882352941176464"/>
    <n v="55.574100000000001"/>
    <n v="21.308252941176463"/>
    <n v="8.7688283708545125"/>
  </r>
  <r>
    <s v="C0173"/>
    <x v="0"/>
    <x v="0"/>
    <x v="0"/>
    <s v="04.12.2024"/>
    <n v="315"/>
    <n v="116.37"/>
    <n v="23.06"/>
    <n v="97.789915966386559"/>
    <n v="72.638999999999996"/>
    <n v="25.150915966386563"/>
    <n v="7.9844177671068453"/>
    <s v="04.12.2024"/>
    <n v="175.03361344537817"/>
    <n v="115.90600000000001"/>
    <n v="59.127613445378159"/>
    <n v="9.9374140244333038"/>
  </r>
  <r>
    <s v="C0174"/>
    <x v="0"/>
    <x v="1"/>
    <x v="0"/>
    <s v="13.03.2024"/>
    <n v="163"/>
    <n v="70.37"/>
    <n v="30.65"/>
    <n v="59.134453781512612"/>
    <n v="49.959499999999998"/>
    <n v="9.1749537815126132"/>
    <n v="5.6288060009279839"/>
    <s v="13.03.2024"/>
    <n v="97.789915966386559"/>
    <n v="72.638999999999996"/>
    <n v="25.150915966386563"/>
    <n v="7.9844177671068453"/>
  </r>
  <r>
    <s v="C0175"/>
    <x v="1"/>
    <x v="1"/>
    <x v="0"/>
    <s v="10.06.2025"/>
    <n v="149"/>
    <n v="65.05"/>
    <n v="31.26"/>
    <n v="54.663865546218489"/>
    <n v="46.577399999999997"/>
    <n v="8.0864655462184913"/>
    <n v="5.4271580847103973"/>
    <s v="10.06.2025"/>
    <n v="59.134453781512612"/>
    <n v="49.959499999999998"/>
    <n v="9.1749537815126132"/>
    <n v="5.6288060009279839"/>
  </r>
  <r>
    <s v="C0176"/>
    <x v="0"/>
    <x v="1"/>
    <x v="1"/>
    <s v="31.08.2024"/>
    <n v="110"/>
    <n v="52.03"/>
    <n v="31.11"/>
    <n v="43.722689075630257"/>
    <n v="34.220999999999997"/>
    <n v="9.5016890756302601"/>
    <n v="8.6378991596638723"/>
    <s v="31.08.2024"/>
    <n v="54.663865546218489"/>
    <n v="46.577399999999997"/>
    <n v="8.0864655462184913"/>
    <n v="5.4271580847103973"/>
  </r>
  <r>
    <s v="C0177"/>
    <x v="1"/>
    <x v="0"/>
    <x v="2"/>
    <s v="12.10.2024"/>
    <n v="281"/>
    <n v="106.31"/>
    <n v="25.04"/>
    <n v="89.336134453781511"/>
    <n v="70.362399999999994"/>
    <n v="18.973734453781518"/>
    <n v="6.7522186668261623"/>
    <s v="12.10.2024"/>
    <n v="43.722689075630257"/>
    <n v="34.220999999999997"/>
    <n v="9.5016890756302601"/>
    <n v="8.6378991596638723"/>
  </r>
  <r>
    <s v="C0178"/>
    <x v="0"/>
    <x v="1"/>
    <x v="1"/>
    <s v="2025-05-12"/>
    <n v="120"/>
    <n v="53.89"/>
    <n v="30.75"/>
    <n v="45.285714285714285"/>
    <n v="36.9"/>
    <n v="8.3857142857142861"/>
    <n v="6.988095238095239"/>
    <s v="2025-05"/>
    <n v="89.336134453781511"/>
    <n v="70.362399999999994"/>
    <n v="18.973734453781518"/>
    <n v="6.7522186668261623"/>
  </r>
  <r>
    <s v="C0179"/>
    <x v="1"/>
    <x v="0"/>
    <x v="0"/>
    <s v="07.08.2024"/>
    <n v="209"/>
    <n v="79.209999999999994"/>
    <n v="22.35"/>
    <n v="66.563025210084035"/>
    <n v="46.711500000000008"/>
    <n v="19.851525210084027"/>
    <n v="9.4983374210928346"/>
    <s v="07.08.2024"/>
    <n v="45.285714285714285"/>
    <n v="36.9"/>
    <n v="8.3857142857142861"/>
    <n v="6.988095238095239"/>
  </r>
  <r>
    <s v="C0180"/>
    <x v="0"/>
    <x v="0"/>
    <x v="1"/>
    <s v="15.05.2024"/>
    <n v="307"/>
    <n v="109.75"/>
    <n v="24.8"/>
    <n v="92.226890756302524"/>
    <n v="76.13600000000001"/>
    <n v="16.090890756302514"/>
    <n v="5.2413324939096135"/>
    <s v="15.05.2024"/>
    <n v="66.563025210084035"/>
    <n v="46.711500000000008"/>
    <n v="19.851525210084027"/>
    <n v="9.4983374210928346"/>
  </r>
  <r>
    <s v="C0181"/>
    <x v="0"/>
    <x v="1"/>
    <x v="0"/>
    <s v="29.04.2025"/>
    <n v="86"/>
    <n v="44.14"/>
    <n v="29.47"/>
    <n v="37.092436974789919"/>
    <n v="25.344200000000001"/>
    <n v="11.748236974789918"/>
    <n v="13.660740668360372"/>
    <s v="29.04.2025"/>
    <n v="92.226890756302524"/>
    <n v="76.13600000000001"/>
    <n v="16.090890756302514"/>
    <n v="5.2413324939096135"/>
  </r>
  <r>
    <s v="C0182"/>
    <x v="0"/>
    <x v="2"/>
    <x v="2"/>
    <s v="05.09.2024"/>
    <n v="634"/>
    <n v="210.82"/>
    <n v="18.66"/>
    <n v="177.15966386554621"/>
    <n v="118.3044"/>
    <n v="58.855263865546206"/>
    <n v="9.2831646475624936"/>
    <s v="05.09.2024"/>
    <n v="37.092436974789919"/>
    <n v="25.344200000000001"/>
    <n v="11.748236974789918"/>
    <n v="13.660740668360372"/>
  </r>
  <r>
    <s v="C0183"/>
    <x v="1"/>
    <x v="1"/>
    <x v="0"/>
    <s v="29.04.2025"/>
    <n v="122"/>
    <n v="56.23"/>
    <n v="28.12"/>
    <n v="47.252100840336134"/>
    <n v="34.306400000000004"/>
    <n v="12.94570084033613"/>
    <n v="10.611230196996829"/>
    <s v="29.04.2025"/>
    <n v="177.15966386554621"/>
    <n v="118.3044"/>
    <n v="58.855263865546206"/>
    <n v="9.2831646475624936"/>
  </r>
  <r>
    <s v="C0184"/>
    <x v="1"/>
    <x v="1"/>
    <x v="0"/>
    <s v="20.02.2025"/>
    <n v="136"/>
    <n v="60.54"/>
    <n v="29.04"/>
    <n v="50.873949579831937"/>
    <n v="39.494399999999999"/>
    <n v="11.379549579831938"/>
    <n v="8.3673158675234838"/>
    <s v="20.02.2025"/>
    <n v="47.252100840336134"/>
    <n v="34.306400000000004"/>
    <n v="12.94570084033613"/>
    <n v="10.611230196996829"/>
  </r>
  <r>
    <s v="C0185"/>
    <x v="0"/>
    <x v="0"/>
    <x v="1"/>
    <s v="13.07.2024"/>
    <n v="276"/>
    <n v="100.65"/>
    <n v="22.13"/>
    <n v="84.579831932773118"/>
    <n v="61.078800000000001"/>
    <n v="23.501031932773117"/>
    <n v="8.5148666423090997"/>
    <s v="13.07.2024"/>
    <n v="50.873949579831937"/>
    <n v="39.494399999999999"/>
    <n v="11.379549579831938"/>
    <n v="8.3673158675234838"/>
  </r>
  <r>
    <s v="C0186"/>
    <x v="1"/>
    <x v="0"/>
    <x v="1"/>
    <s v="06.04.2024"/>
    <n v="316"/>
    <n v="118.78"/>
    <n v="25.52"/>
    <n v="99.815126050420176"/>
    <n v="80.643199999999993"/>
    <n v="19.171926050420183"/>
    <n v="6.0670652058291719"/>
    <s v="06.04.2024"/>
    <n v="84.579831932773118"/>
    <n v="61.078800000000001"/>
    <n v="23.501031932773117"/>
    <n v="8.5148666423090997"/>
  </r>
  <r>
    <s v="C0187"/>
    <x v="1"/>
    <x v="0"/>
    <x v="0"/>
    <s v="09.04.2024"/>
    <n v="273"/>
    <n v="101.83"/>
    <n v="22.97"/>
    <n v="85.571428571428569"/>
    <n v="62.708099999999995"/>
    <n v="22.863328571428575"/>
    <n v="8.3748456305599177"/>
    <s v="09.04.2024"/>
    <n v="99.815126050420176"/>
    <n v="80.643199999999993"/>
    <n v="19.171926050420183"/>
    <n v="6.0670652058291719"/>
  </r>
  <r>
    <s v="C0188"/>
    <x v="1"/>
    <x v="0"/>
    <x v="1"/>
    <s v="17.03.2025"/>
    <n v="269"/>
    <n v="104.34"/>
    <n v="24.23"/>
    <n v="87.680672268907571"/>
    <n v="65.178699999999992"/>
    <n v="22.501972268907579"/>
    <n v="8.3650454531254947"/>
    <s v="17.03.2025"/>
    <n v="85.571428571428569"/>
    <n v="62.708099999999995"/>
    <n v="22.863328571428575"/>
    <n v="8.3748456305599177"/>
  </r>
  <r>
    <s v="C0189"/>
    <x v="0"/>
    <x v="1"/>
    <x v="0"/>
    <s v="28.12.2024"/>
    <n v="89"/>
    <n v="44.72"/>
    <n v="28.16"/>
    <n v="37.579831932773111"/>
    <n v="25.062400000000004"/>
    <n v="12.517431932773107"/>
    <n v="14.064530261542817"/>
    <s v="28.12.2024"/>
    <n v="87.680672268907571"/>
    <n v="65.178699999999992"/>
    <n v="22.501972268907579"/>
    <n v="8.3650454531254947"/>
  </r>
  <r>
    <s v="C0190"/>
    <x v="0"/>
    <x v="2"/>
    <x v="1"/>
    <s v="2025-03-09"/>
    <n v="506"/>
    <n v="173.39"/>
    <n v="19.829999999999998"/>
    <n v="145.70588235294116"/>
    <n v="100.3398"/>
    <n v="45.366082352941163"/>
    <n v="8.9656289235061575"/>
    <s v="2025-03"/>
    <n v="37.579831932773111"/>
    <n v="25.062400000000004"/>
    <n v="12.517431932773107"/>
    <n v="14.064530261542817"/>
  </r>
  <r>
    <s v="C0191"/>
    <x v="0"/>
    <x v="2"/>
    <x v="2"/>
    <s v="24.02.2025"/>
    <n v="383"/>
    <n v="136.19"/>
    <n v="18.12"/>
    <n v="114.44537815126051"/>
    <n v="69.399600000000007"/>
    <n v="45.045778151260507"/>
    <n v="11.761299778396999"/>
    <s v="24.02.2025"/>
    <n v="145.70588235294116"/>
    <n v="100.3398"/>
    <n v="45.366082352941163"/>
    <n v="8.9656289235061575"/>
  </r>
  <r>
    <s v="C0192"/>
    <x v="1"/>
    <x v="0"/>
    <x v="2"/>
    <s v="23.04.2025"/>
    <n v="289"/>
    <n v="114.25"/>
    <n v="25.59"/>
    <n v="96.008403361344548"/>
    <n v="73.955100000000002"/>
    <n v="22.053303361344547"/>
    <n v="7.6309008170742381"/>
    <s v="23.04.2025"/>
    <n v="114.44537815126051"/>
    <n v="69.399600000000007"/>
    <n v="45.045778151260507"/>
    <n v="11.761299778396999"/>
  </r>
  <r>
    <s v="C0193"/>
    <x v="1"/>
    <x v="1"/>
    <x v="1"/>
    <s v="25.02.2024"/>
    <n v="126"/>
    <n v="55.38"/>
    <n v="31.55"/>
    <n v="46.537815126050425"/>
    <n v="39.753"/>
    <n v="6.7848151260504252"/>
    <n v="5.3847739095638296"/>
    <s v="25.02.2024"/>
    <n v="96.008403361344548"/>
    <n v="73.955100000000002"/>
    <n v="22.053303361344547"/>
    <n v="7.6309008170742381"/>
  </r>
  <r>
    <s v="C0194"/>
    <x v="1"/>
    <x v="0"/>
    <x v="0"/>
    <s v="10.04.2024"/>
    <n v="280"/>
    <n v="109.83"/>
    <n v="23.3"/>
    <n v="92.294117647058826"/>
    <n v="65.239999999999995"/>
    <n v="27.054117647058831"/>
    <n v="9.6621848739495828"/>
    <s v="10.04.2024"/>
    <n v="46.537815126050425"/>
    <n v="39.753"/>
    <n v="6.7848151260504252"/>
    <n v="5.3847739095638296"/>
  </r>
  <r>
    <s v="C0195"/>
    <x v="0"/>
    <x v="0"/>
    <x v="0"/>
    <s v="03.03.2024"/>
    <n v="174"/>
    <n v="68.53"/>
    <n v="25.6"/>
    <n v="57.588235294117652"/>
    <n v="44.544000000000004"/>
    <n v="13.044235294117648"/>
    <n v="7.496686950642327"/>
    <s v="03.03.2024"/>
    <n v="92.294117647058826"/>
    <n v="65.239999999999995"/>
    <n v="27.054117647058831"/>
    <n v="9.6621848739495828"/>
  </r>
  <r>
    <s v="C0196"/>
    <x v="0"/>
    <x v="1"/>
    <x v="1"/>
    <s v="16.02.2025"/>
    <n v="90"/>
    <n v="44.41"/>
    <n v="31.98"/>
    <n v="37.319327731092436"/>
    <n v="28.781999999999996"/>
    <n v="8.5373277310924394"/>
    <n v="9.4859197012138221"/>
    <s v="16.02.2025"/>
    <n v="57.588235294117652"/>
    <n v="44.544000000000004"/>
    <n v="13.044235294117648"/>
    <n v="7.496686950642327"/>
  </r>
  <r>
    <s v="C0197"/>
    <x v="1"/>
    <x v="2"/>
    <x v="0"/>
    <s v="13.12.2024"/>
    <n v="572"/>
    <n v="180.9"/>
    <n v="20.63"/>
    <n v="152.0168067226891"/>
    <n v="118.00359999999999"/>
    <n v="34.013206722689105"/>
    <n v="5.9463648116589347"/>
    <s v="13.12.2024"/>
    <n v="37.319327731092436"/>
    <n v="28.781999999999996"/>
    <n v="8.5373277310924394"/>
    <n v="9.4859197012138221"/>
  </r>
  <r>
    <s v="C0198"/>
    <x v="1"/>
    <x v="1"/>
    <x v="0"/>
    <s v="21.04.2024"/>
    <n v="89"/>
    <n v="41.67"/>
    <n v="31.38"/>
    <n v="35.016806722689076"/>
    <n v="27.928199999999997"/>
    <n v="7.0886067226890788"/>
    <n v="7.9647266547068298"/>
    <s v="21.04.2024"/>
    <n v="152.0168067226891"/>
    <n v="118.00359999999999"/>
    <n v="34.013206722689105"/>
    <n v="5.9463648116589347"/>
  </r>
  <r>
    <s v="C0199"/>
    <x v="1"/>
    <x v="2"/>
    <x v="0"/>
    <s v="11.09.2024"/>
    <n v="357"/>
    <n v="125.19"/>
    <n v="17.75"/>
    <n v="105.20168067226891"/>
    <n v="63.3675"/>
    <n v="41.834180672268907"/>
    <n v="11.71825789139185"/>
    <s v="11.09.2024"/>
    <n v="35.016806722689076"/>
    <n v="27.928199999999997"/>
    <n v="7.0886067226890788"/>
    <n v="7.9647266547068298"/>
  </r>
  <r>
    <s v="C0200"/>
    <x v="1"/>
    <x v="0"/>
    <x v="0"/>
    <s v="15.07.2024"/>
    <n v="169"/>
    <n v="70.38"/>
    <n v="24.31"/>
    <n v="59.142857142857139"/>
    <n v="41.083899999999993"/>
    <n v="18.058957142857146"/>
    <n v="10.685773457311921"/>
    <s v="15.07.2024"/>
    <n v="105.20168067226891"/>
    <n v="63.3675"/>
    <n v="41.834180672268907"/>
    <n v="11.71825789139185"/>
  </r>
  <r>
    <s v="C0201"/>
    <x v="1"/>
    <x v="1"/>
    <x v="1"/>
    <s v="13.07.2024"/>
    <n v="163"/>
    <n v="70.760000000000005"/>
    <n v="28.27"/>
    <n v="59.462184873949589"/>
    <n v="46.080100000000002"/>
    <n v="13.382084873949587"/>
    <n v="8.2098680208279671"/>
    <s v="13.07.2024"/>
    <n v="59.142857142857139"/>
    <n v="41.083899999999993"/>
    <n v="18.058957142857146"/>
    <n v="10.685773457311921"/>
  </r>
  <r>
    <s v="C0202"/>
    <x v="0"/>
    <x v="0"/>
    <x v="0"/>
    <s v="04.04.2025"/>
    <n v="289"/>
    <n v="105.06"/>
    <n v="22.38"/>
    <n v="88.285714285714292"/>
    <n v="64.678200000000004"/>
    <n v="23.607514285714288"/>
    <n v="8.1686900642609981"/>
    <s v="04.04.2025"/>
    <n v="59.462184873949589"/>
    <n v="46.080100000000002"/>
    <n v="13.382084873949587"/>
    <n v="8.2098680208279671"/>
  </r>
  <r>
    <s v="C0203"/>
    <x v="0"/>
    <x v="2"/>
    <x v="1"/>
    <s v="23.05.2024"/>
    <n v="451"/>
    <n v="147.12"/>
    <n v="21.49"/>
    <n v="123.63025210084035"/>
    <n v="96.919899999999998"/>
    <n v="26.710352100840353"/>
    <n v="5.9224727496320071"/>
    <s v="23.05.2024"/>
    <n v="88.285714285714292"/>
    <n v="64.678200000000004"/>
    <n v="23.607514285714288"/>
    <n v="8.1686900642609981"/>
  </r>
  <r>
    <s v="C0204"/>
    <x v="1"/>
    <x v="0"/>
    <x v="0"/>
    <s v="08.03.2025"/>
    <n v="216"/>
    <n v="88.04"/>
    <n v="23.31"/>
    <n v="73.983193277310932"/>
    <n v="50.349600000000002"/>
    <n v="23.633593277310929"/>
    <n v="10.941478369125431"/>
    <s v="08.03.2025"/>
    <n v="123.63025210084035"/>
    <n v="96.919899999999998"/>
    <n v="26.710352100840353"/>
    <n v="5.9224727496320071"/>
  </r>
  <r>
    <s v="C0205"/>
    <x v="1"/>
    <x v="2"/>
    <x v="0"/>
    <s v="06.07.2024"/>
    <n v="450"/>
    <n v="149.19"/>
    <n v="20.239999999999998"/>
    <n v="125.36974789915966"/>
    <n v="91.08"/>
    <n v="34.289747899159664"/>
    <n v="7.6199439775910367"/>
    <s v="06.07.2024"/>
    <n v="73.983193277310932"/>
    <n v="50.349600000000002"/>
    <n v="23.633593277310929"/>
    <n v="10.941478369125431"/>
  </r>
  <r>
    <s v="C0206"/>
    <x v="0"/>
    <x v="0"/>
    <x v="0"/>
    <s v="12.10.2024"/>
    <n v="296"/>
    <n v="108.22"/>
    <n v="25.23"/>
    <n v="90.941176470588232"/>
    <n v="74.680800000000005"/>
    <n v="16.260376470588227"/>
    <n v="5.4933704292527796"/>
    <s v="12.10.2024"/>
    <n v="125.36974789915966"/>
    <n v="91.08"/>
    <n v="34.289747899159664"/>
    <n v="7.6199439775910367"/>
  </r>
  <r>
    <s v="C0207"/>
    <x v="0"/>
    <x v="0"/>
    <x v="0"/>
    <s v="2025-04-18"/>
    <n v="277"/>
    <n v="106.31"/>
    <n v="25.43"/>
    <n v="89.336134453781511"/>
    <n v="70.441099999999992"/>
    <n v="18.89503445378152"/>
    <n v="6.8213120771774438"/>
    <s v="2025-04"/>
    <n v="90.941176470588232"/>
    <n v="74.680800000000005"/>
    <n v="16.260376470588227"/>
    <n v="5.4933704292527796"/>
  </r>
  <r>
    <s v="C0208"/>
    <x v="1"/>
    <x v="2"/>
    <x v="0"/>
    <s v="12.09.2024"/>
    <n v="395"/>
    <n v="138.65"/>
    <n v="21.49"/>
    <n v="116.51260504201682"/>
    <n v="84.885499999999993"/>
    <n v="31.627105042016822"/>
    <n v="8.0068620359536258"/>
    <s v="12.09.2024"/>
    <n v="89.336134453781511"/>
    <n v="70.441099999999992"/>
    <n v="18.89503445378152"/>
    <n v="6.8213120771774438"/>
  </r>
  <r>
    <s v="C0209"/>
    <x v="0"/>
    <x v="1"/>
    <x v="1"/>
    <s v="18.03.2024"/>
    <n v="98"/>
    <n v="43.21"/>
    <n v="28.97"/>
    <n v="36.310924369747902"/>
    <n v="28.390599999999999"/>
    <n v="7.9203243697479024"/>
    <n v="8.0819636425999004"/>
    <s v="18.03.2024"/>
    <n v="116.51260504201682"/>
    <n v="84.885499999999993"/>
    <n v="31.627105042016822"/>
    <n v="8.0068620359536258"/>
  </r>
  <r>
    <s v="C0210"/>
    <x v="0"/>
    <x v="0"/>
    <x v="0"/>
    <s v="29.03.2025"/>
    <n v="183"/>
    <n v="69.739999999999995"/>
    <n v="22.16"/>
    <n v="58.605042016806721"/>
    <n v="40.552800000000005"/>
    <n v="18.052242016806716"/>
    <n v="9.8646131239380956"/>
    <s v="29.03.2025"/>
    <n v="36.310924369747902"/>
    <n v="28.390599999999999"/>
    <n v="7.9203243697479024"/>
    <n v="8.0819636425999004"/>
  </r>
  <r>
    <s v="C0211"/>
    <x v="0"/>
    <x v="1"/>
    <x v="2"/>
    <s v="10.04.2024"/>
    <n v="138"/>
    <n v="56.98"/>
    <n v="29.64"/>
    <n v="47.882352941176471"/>
    <n v="40.903199999999998"/>
    <n v="6.9791529411764728"/>
    <n v="5.0573572037510672"/>
    <s v="10.04.2024"/>
    <n v="58.605042016806721"/>
    <n v="40.552800000000005"/>
    <n v="18.052242016806716"/>
    <n v="9.8646131239380956"/>
  </r>
  <r>
    <s v="C0212"/>
    <x v="1"/>
    <x v="2"/>
    <x v="0"/>
    <s v="21.02.2024"/>
    <n v="588"/>
    <n v="200.23"/>
    <n v="17.149999999999999"/>
    <n v="168.26050420168067"/>
    <n v="100.84199999999998"/>
    <n v="67.41850420168069"/>
    <n v="11.465732007088553"/>
    <s v="21.02.2024"/>
    <n v="47.882352941176471"/>
    <n v="40.903199999999998"/>
    <n v="6.9791529411764728"/>
    <n v="5.0573572037510672"/>
  </r>
  <r>
    <s v="C0213"/>
    <x v="1"/>
    <x v="2"/>
    <x v="0"/>
    <s v="16.01.2024"/>
    <n v="422"/>
    <n v="145.63999999999999"/>
    <n v="16.61"/>
    <n v="122.38655462184873"/>
    <n v="70.094200000000001"/>
    <n v="52.29235462184873"/>
    <n v="12.39155322792624"/>
    <s v="16.01.2024"/>
    <n v="168.26050420168067"/>
    <n v="100.84199999999998"/>
    <n v="67.41850420168069"/>
    <n v="11.465732007088553"/>
  </r>
  <r>
    <s v="C0214"/>
    <x v="0"/>
    <x v="1"/>
    <x v="1"/>
    <s v="05.04.2024"/>
    <n v="85"/>
    <n v="41.5"/>
    <n v="29.44"/>
    <n v="34.873949579831937"/>
    <n v="25.024000000000001"/>
    <n v="9.8499495798319359"/>
    <n v="11.588175976272867"/>
    <s v="05.04.2024"/>
    <n v="122.38655462184873"/>
    <n v="70.094200000000001"/>
    <n v="52.29235462184873"/>
    <n v="12.39155322792624"/>
  </r>
  <r>
    <s v="C0215"/>
    <x v="1"/>
    <x v="0"/>
    <x v="0"/>
    <s v="30.08.2024"/>
    <n v="181"/>
    <n v="72.59"/>
    <n v="25.13"/>
    <n v="61.000000000000007"/>
    <n v="45.485299999999995"/>
    <n v="15.514700000000012"/>
    <n v="8.5716574585635428"/>
    <s v="30.08.2024"/>
    <n v="34.873949579831937"/>
    <n v="25.024000000000001"/>
    <n v="9.8499495798319359"/>
    <n v="11.588175976272867"/>
  </r>
  <r>
    <s v="C0216"/>
    <x v="0"/>
    <x v="2"/>
    <x v="0"/>
    <s v="2024-06-19"/>
    <n v="656"/>
    <n v="221.09"/>
    <n v="21.33"/>
    <n v="185.78991596638656"/>
    <n v="139.9248"/>
    <n v="45.865115966386554"/>
    <n v="6.9916335314613649"/>
    <s v="2024-06"/>
    <n v="61.000000000000007"/>
    <n v="45.485299999999995"/>
    <n v="15.514700000000012"/>
    <n v="8.5716574585635428"/>
  </r>
  <r>
    <s v="C0217"/>
    <x v="0"/>
    <x v="1"/>
    <x v="0"/>
    <s v="20.02.2025"/>
    <n v="108"/>
    <n v="45.8"/>
    <n v="29.25"/>
    <n v="38.487394957983192"/>
    <n v="31.59"/>
    <n v="6.8973949579831917"/>
    <n v="6.3864768129474001"/>
    <s v="20.02.2025"/>
    <n v="185.78991596638656"/>
    <n v="139.9248"/>
    <n v="45.865115966386554"/>
    <n v="6.9916335314613649"/>
  </r>
  <r>
    <s v="C0218"/>
    <x v="1"/>
    <x v="0"/>
    <x v="0"/>
    <s v="2025-05-12"/>
    <n v="295"/>
    <n v="110.97"/>
    <n v="26.62"/>
    <n v="93.252100840336141"/>
    <n v="78.529000000000011"/>
    <n v="14.72310084033613"/>
    <n v="4.9908816407919083"/>
    <s v="2025-05"/>
    <n v="38.487394957983192"/>
    <n v="31.59"/>
    <n v="6.8973949579831917"/>
    <n v="6.3864768129474001"/>
  </r>
  <r>
    <s v="C0219"/>
    <x v="1"/>
    <x v="2"/>
    <x v="2"/>
    <s v="07.05.2025"/>
    <n v="542"/>
    <n v="186.65"/>
    <n v="19.66"/>
    <n v="156.84873949579833"/>
    <n v="106.55719999999999"/>
    <n v="50.291539495798332"/>
    <n v="9.2788818257930501"/>
    <s v="07.05.2025"/>
    <n v="93.252100840336141"/>
    <n v="78.529000000000011"/>
    <n v="14.72310084033613"/>
    <n v="4.9908816407919083"/>
  </r>
  <r>
    <s v="C0220"/>
    <x v="1"/>
    <x v="1"/>
    <x v="0"/>
    <s v="06.08.2024"/>
    <n v="115"/>
    <n v="52.99"/>
    <n v="28.06"/>
    <n v="44.529411764705884"/>
    <n v="32.268999999999998"/>
    <n v="12.260411764705886"/>
    <n v="10.661227621483379"/>
    <s v="06.08.2024"/>
    <n v="156.84873949579833"/>
    <n v="106.55719999999999"/>
    <n v="50.291539495798332"/>
    <n v="9.2788818257930501"/>
  </r>
  <r>
    <s v="C0221"/>
    <x v="1"/>
    <x v="0"/>
    <x v="1"/>
    <s v="14.02.2025"/>
    <n v="201"/>
    <n v="79.510000000000005"/>
    <n v="25.06"/>
    <n v="66.815126050420176"/>
    <n v="50.370599999999996"/>
    <n v="16.44452605042018"/>
    <n v="8.1813562439901393"/>
    <s v="14.02.2025"/>
    <n v="44.529411764705884"/>
    <n v="32.268999999999998"/>
    <n v="12.260411764705886"/>
    <n v="10.661227621483379"/>
  </r>
  <r>
    <s v="C0222"/>
    <x v="1"/>
    <x v="1"/>
    <x v="2"/>
    <s v="01.03.2024"/>
    <n v="93"/>
    <n v="44.69"/>
    <n v="30.49"/>
    <n v="37.554621848739494"/>
    <n v="28.355699999999999"/>
    <n v="9.198921848739495"/>
    <n v="9.8913138158489193"/>
    <s v="01.03.2024"/>
    <n v="66.815126050420176"/>
    <n v="50.370599999999996"/>
    <n v="16.44452605042018"/>
    <n v="8.1813562439901393"/>
  </r>
  <r>
    <s v="C0223"/>
    <x v="0"/>
    <x v="2"/>
    <x v="0"/>
    <s v="17.06.2024"/>
    <n v="538"/>
    <n v="188.26"/>
    <n v="22.31"/>
    <n v="158.20168067226891"/>
    <n v="120.02779999999998"/>
    <n v="38.173880672268922"/>
    <n v="7.0955168535815831"/>
    <s v="17.06.2024"/>
    <n v="37.554621848739494"/>
    <n v="28.355699999999999"/>
    <n v="9.198921848739495"/>
    <n v="9.8913138158489193"/>
  </r>
  <r>
    <s v="C0224"/>
    <x v="0"/>
    <x v="2"/>
    <x v="2"/>
    <s v="23.01.2025"/>
    <n v="592"/>
    <n v="202.57"/>
    <n v="16.690000000000001"/>
    <n v="170.22689075630251"/>
    <n v="98.804800000000014"/>
    <n v="71.422090756302495"/>
    <n v="12.064542357483528"/>
    <s v="23.01.2025"/>
    <n v="158.20168067226891"/>
    <n v="120.02779999999998"/>
    <n v="38.173880672268922"/>
    <n v="7.0955168535815831"/>
  </r>
  <r>
    <s v="C0225"/>
    <x v="0"/>
    <x v="2"/>
    <x v="0"/>
    <s v="03.01.2024"/>
    <n v="548"/>
    <n v="185.16"/>
    <n v="20.69"/>
    <n v="155.59663865546219"/>
    <n v="113.38120000000001"/>
    <n v="42.215438655462179"/>
    <n v="7.7035471999018572"/>
    <s v="03.01.2024"/>
    <n v="170.22689075630251"/>
    <n v="98.804800000000014"/>
    <n v="71.422090756302495"/>
    <n v="12.064542357483528"/>
  </r>
  <r>
    <s v="C0226"/>
    <x v="0"/>
    <x v="0"/>
    <x v="2"/>
    <s v="03.02.2025"/>
    <n v="255"/>
    <n v="99.09"/>
    <n v="24.48"/>
    <n v="83.268907563025223"/>
    <n v="62.424000000000007"/>
    <n v="20.844907563025217"/>
    <n v="8.1744735541275357"/>
    <s v="03.02.2025"/>
    <n v="155.59663865546219"/>
    <n v="113.38120000000001"/>
    <n v="42.215438655462179"/>
    <n v="7.7035471999018572"/>
  </r>
  <r>
    <s v="C0227"/>
    <x v="1"/>
    <x v="2"/>
    <x v="0"/>
    <s v="28.09.2024"/>
    <n v="-15"/>
    <n v="118.49"/>
    <n v="20.82"/>
    <n v="99.571428571428569"/>
    <n v="-3.1230000000000002"/>
    <n v="102.69442857142857"/>
    <n v="-684.62952380952379"/>
    <s v="28.09.2024"/>
    <n v="83.268907563025223"/>
    <n v="62.424000000000007"/>
    <n v="20.844907563025217"/>
    <n v="8.1744735541275357"/>
  </r>
  <r>
    <s v="C0228"/>
    <x v="0"/>
    <x v="2"/>
    <x v="1"/>
    <s v="10.04.2025"/>
    <n v="656"/>
    <n v="216.17"/>
    <n v="19.62"/>
    <n v="181.65546218487395"/>
    <n v="128.7072"/>
    <n v="52.948262184873954"/>
    <n v="8.071381430621031"/>
    <s v="10.04.2025"/>
    <n v="99.571428571428569"/>
    <n v="-3.1230000000000002"/>
    <n v="102.69442857142857"/>
    <n v="-684.62952380952379"/>
  </r>
  <r>
    <s v="C0229"/>
    <x v="1"/>
    <x v="1"/>
    <x v="0"/>
    <s v="19.10.2024"/>
    <n v="150"/>
    <n v="65.48"/>
    <n v="31.46"/>
    <n v="55.025210084033617"/>
    <n v="47.19"/>
    <n v="7.8352100840336192"/>
    <n v="5.2234733893557461"/>
    <s v="19.10.2024"/>
    <n v="181.65546218487395"/>
    <n v="128.7072"/>
    <n v="52.948262184873954"/>
    <n v="8.071381430621031"/>
  </r>
  <r>
    <s v="C0230"/>
    <x v="1"/>
    <x v="2"/>
    <x v="0"/>
    <s v="09.03.2025"/>
    <n v="431"/>
    <n v="141.19"/>
    <n v="19.43"/>
    <n v="118.64705882352942"/>
    <n v="83.743300000000005"/>
    <n v="34.903758823529415"/>
    <n v="8.0983199126518368"/>
    <s v="09.03.2025"/>
    <n v="55.025210084033617"/>
    <n v="47.19"/>
    <n v="7.8352100840336192"/>
    <n v="5.2234733893557461"/>
  </r>
  <r>
    <s v="C0231"/>
    <x v="1"/>
    <x v="1"/>
    <x v="1"/>
    <s v="2025-05-13"/>
    <n v="165"/>
    <n v="70.19"/>
    <n v="32.32"/>
    <n v="58.983193277310924"/>
    <n v="53.328000000000003"/>
    <n v="5.6551932773109215"/>
    <n v="3.4273898650369219"/>
    <s v="2025-05"/>
    <n v="118.64705882352942"/>
    <n v="83.743300000000005"/>
    <n v="34.903758823529415"/>
    <n v="8.0983199126518368"/>
  </r>
  <r>
    <s v="C0232"/>
    <x v="0"/>
    <x v="0"/>
    <x v="1"/>
    <s v="07.06.2024"/>
    <n v="267"/>
    <n v="101.53"/>
    <n v="27.96"/>
    <n v="85.319327731092443"/>
    <n v="74.653200000000012"/>
    <n v="10.666127731092431"/>
    <n v="3.9948043936675766"/>
    <s v="07.06.2024"/>
    <n v="58.983193277310924"/>
    <n v="53.328000000000003"/>
    <n v="5.6551932773109215"/>
    <n v="3.4273898650369219"/>
  </r>
  <r>
    <s v="C0233"/>
    <x v="1"/>
    <x v="1"/>
    <x v="0"/>
    <s v="13.07.2024"/>
    <n v="132"/>
    <n v="57.85"/>
    <n v="31.03"/>
    <n v="48.613445378151262"/>
    <n v="40.959600000000002"/>
    <n v="7.6538453781512601"/>
    <n v="5.7983677107206519"/>
    <s v="13.07.2024"/>
    <n v="85.319327731092443"/>
    <n v="74.653200000000012"/>
    <n v="10.666127731092431"/>
    <n v="3.9948043936675766"/>
  </r>
  <r>
    <s v="C0234"/>
    <x v="0"/>
    <x v="1"/>
    <x v="0"/>
    <s v="30.10.2024"/>
    <n v="146"/>
    <n v="65.69"/>
    <n v="29.77"/>
    <n v="55.201680672268907"/>
    <n v="43.464199999999998"/>
    <n v="11.737480672268909"/>
    <n v="8.0393703234718554"/>
    <s v="30.10.2024"/>
    <n v="48.613445378151262"/>
    <n v="40.959600000000002"/>
    <n v="7.6538453781512601"/>
    <n v="5.7983677107206519"/>
  </r>
  <r>
    <s v="C0235"/>
    <x v="0"/>
    <x v="1"/>
    <x v="1"/>
    <s v="10.08.2024"/>
    <n v="151"/>
    <n v="60.81"/>
    <n v="30.83"/>
    <n v="51.100840336134461"/>
    <n v="46.5533"/>
    <n v="4.5475403361344604"/>
    <n v="3.0116161166453379"/>
    <s v="10.08.2024"/>
    <n v="55.201680672268907"/>
    <n v="43.464199999999998"/>
    <n v="11.737480672268909"/>
    <n v="8.0393703234718554"/>
  </r>
  <r>
    <s v="C0236"/>
    <x v="1"/>
    <x v="0"/>
    <x v="1"/>
    <s v="29.02.2024"/>
    <n v="276"/>
    <n v="103.13"/>
    <n v="23.56"/>
    <n v="86.663865546218489"/>
    <n v="65.025599999999997"/>
    <n v="21.638265546218491"/>
    <n v="7.8399512848617725"/>
    <s v="29.02.2024"/>
    <n v="51.100840336134461"/>
    <n v="46.5533"/>
    <n v="4.5475403361344604"/>
    <n v="3.0116161166453379"/>
  </r>
  <r>
    <s v="C0237"/>
    <x v="0"/>
    <x v="1"/>
    <x v="2"/>
    <s v="03.03.2024"/>
    <n v="94"/>
    <n v="43.9"/>
    <n v="28.92"/>
    <n v="36.890756302521012"/>
    <n v="27.184799999999999"/>
    <n v="9.7059563025210132"/>
    <n v="10.325485428213845"/>
    <s v="03.03.2024"/>
    <n v="86.663865546218489"/>
    <n v="65.025599999999997"/>
    <n v="21.638265546218491"/>
    <n v="7.8399512848617725"/>
  </r>
  <r>
    <s v="C0238"/>
    <x v="0"/>
    <x v="0"/>
    <x v="1"/>
    <s v="17.11.2024"/>
    <n v="223"/>
    <n v="90.63"/>
    <n v="24.39"/>
    <n v="76.159663865546221"/>
    <n v="54.389700000000005"/>
    <n v="21.769963865546217"/>
    <n v="9.7623156347740885"/>
    <s v="17.11.2024"/>
    <n v="36.890756302521012"/>
    <n v="27.184799999999999"/>
    <n v="9.7059563025210132"/>
    <n v="10.325485428213845"/>
  </r>
  <r>
    <s v="C0239"/>
    <x v="1"/>
    <x v="1"/>
    <x v="2"/>
    <s v="28.02.2024"/>
    <n v="161"/>
    <n v="70.67"/>
    <n v="31.71"/>
    <n v="59.386554621848745"/>
    <n v="51.053100000000001"/>
    <n v="8.3334546218487446"/>
    <n v="5.176058771334624"/>
    <s v="28.02.2024"/>
    <n v="76.159663865546221"/>
    <n v="54.389700000000005"/>
    <n v="21.769963865546217"/>
    <n v="9.7623156347740885"/>
  </r>
  <r>
    <s v="C0240"/>
    <x v="0"/>
    <x v="1"/>
    <x v="1"/>
    <s v="21.02.2024"/>
    <n v="102"/>
    <n v="49.06"/>
    <n v="31.72"/>
    <n v="41.226890756302524"/>
    <n v="32.354399999999998"/>
    <n v="8.8724907563025255"/>
    <n v="8.6985203493162011"/>
    <s v="21.02.2024"/>
    <n v="59.386554621848745"/>
    <n v="51.053100000000001"/>
    <n v="8.3334546218487446"/>
    <n v="5.176058771334624"/>
  </r>
  <r>
    <s v="C0241"/>
    <x v="1"/>
    <x v="0"/>
    <x v="0"/>
    <s v="03.05.2025"/>
    <n v="229"/>
    <n v="92.19"/>
    <n v="25.37"/>
    <n v="77.470588235294116"/>
    <n v="58.097300000000004"/>
    <n v="19.373288235294112"/>
    <n v="8.4599511944515768"/>
    <s v="03.05.2025"/>
    <n v="41.226890756302524"/>
    <n v="32.354399999999998"/>
    <n v="8.8724907563025255"/>
    <n v="8.6985203493162011"/>
  </r>
  <r>
    <s v="C0242"/>
    <x v="1"/>
    <x v="2"/>
    <x v="0"/>
    <s v="29.05.2025"/>
    <n v="477"/>
    <n v="161.1"/>
    <n v="21.14"/>
    <n v="135.37815126050421"/>
    <n v="100.8378"/>
    <n v="34.54035126050421"/>
    <n v="7.2411637862692269"/>
    <s v="29.05.2025"/>
    <n v="77.470588235294116"/>
    <n v="58.097300000000004"/>
    <n v="19.373288235294112"/>
    <n v="8.4599511944515768"/>
  </r>
  <r>
    <s v="C0243"/>
    <x v="1"/>
    <x v="1"/>
    <x v="1"/>
    <s v="27.06.2025"/>
    <n v="120"/>
    <n v="53.63"/>
    <n v="28.85"/>
    <n v="45.067226890756309"/>
    <n v="34.619999999999997"/>
    <n v="10.447226890756312"/>
    <n v="8.7060224089635927"/>
    <s v="27.06.2025"/>
    <n v="135.37815126050421"/>
    <n v="100.8378"/>
    <n v="34.54035126050421"/>
    <n v="7.2411637862692269"/>
  </r>
  <r>
    <s v="C0244"/>
    <x v="0"/>
    <x v="0"/>
    <x v="1"/>
    <s v="10.06.2024"/>
    <n v="269"/>
    <n v="101.78"/>
    <n v="27.98"/>
    <n v="85.529411764705884"/>
    <n v="75.266199999999998"/>
    <n v="10.263211764705886"/>
    <n v="3.8153203586267233"/>
    <s v="10.06.2024"/>
    <n v="45.067226890756309"/>
    <n v="34.619999999999997"/>
    <n v="10.447226890756312"/>
    <n v="8.7060224089635927"/>
  </r>
  <r>
    <s v="C0245"/>
    <x v="0"/>
    <x v="2"/>
    <x v="0"/>
    <s v="28.02.2024"/>
    <n v="648"/>
    <n v="210.97"/>
    <n v="21.41"/>
    <n v="177.28571428571431"/>
    <n v="138.73680000000002"/>
    <n v="38.548914285714289"/>
    <n v="5.948906525573193"/>
    <s v="28.02.2024"/>
    <n v="85.529411764705884"/>
    <n v="75.266199999999998"/>
    <n v="10.263211764705886"/>
    <n v="3.8153203586267233"/>
  </r>
  <r>
    <s v="C0246"/>
    <x v="1"/>
    <x v="0"/>
    <x v="0"/>
    <s v="04.06.2025"/>
    <n v="207"/>
    <n v="85.79"/>
    <n v="24.6"/>
    <n v="72.092436974789919"/>
    <n v="50.922000000000004"/>
    <n v="21.170436974789915"/>
    <n v="10.227264239028946"/>
    <s v="04.06.2025"/>
    <n v="177.28571428571431"/>
    <n v="138.73680000000002"/>
    <n v="38.548914285714289"/>
    <n v="5.948906525573193"/>
  </r>
  <r>
    <s v="C0247"/>
    <x v="0"/>
    <x v="1"/>
    <x v="2"/>
    <s v="23.03.2024"/>
    <n v="93"/>
    <n v="43.74"/>
    <n v="31.22"/>
    <n v="36.756302521008408"/>
    <n v="29.034600000000001"/>
    <n v="7.7217025210084067"/>
    <n v="8.3029059365681785"/>
    <s v="23.03.2024"/>
    <n v="72.092436974789919"/>
    <n v="50.922000000000004"/>
    <n v="21.170436974789915"/>
    <n v="10.227264239028946"/>
  </r>
  <r>
    <s v="C0248"/>
    <x v="1"/>
    <x v="1"/>
    <x v="0"/>
    <s v="09.07.2024"/>
    <n v="100"/>
    <n v="45.64"/>
    <n v="30.86"/>
    <n v="38.352941176470587"/>
    <n v="30.86"/>
    <n v="7.4929411764705875"/>
    <n v="7.4929411764705867"/>
    <s v="09.07.2024"/>
    <n v="36.756302521008408"/>
    <n v="29.034600000000001"/>
    <n v="7.7217025210084067"/>
    <n v="8.3029059365681785"/>
  </r>
  <r>
    <s v="C0249"/>
    <x v="1"/>
    <x v="2"/>
    <x v="0"/>
    <s v="11.03.2024"/>
    <n v="629"/>
    <n v="211.4"/>
    <n v="19.47"/>
    <n v="177.64705882352942"/>
    <n v="122.46629999999999"/>
    <n v="55.18075882352943"/>
    <n v="8.772775647619941"/>
    <s v="11.03.2024"/>
    <n v="38.352941176470587"/>
    <n v="30.86"/>
    <n v="7.4929411764705875"/>
    <n v="7.4929411764705867"/>
  </r>
  <r>
    <s v="C0250"/>
    <x v="1"/>
    <x v="1"/>
    <x v="0"/>
    <s v="10.03.2024"/>
    <n v="137"/>
    <n v="62.46"/>
    <n v="28.21"/>
    <n v="52.487394957983199"/>
    <n v="38.6477"/>
    <n v="13.839694957983198"/>
    <n v="10.101967122615472"/>
    <s v="10.03.2024"/>
    <n v="177.64705882352942"/>
    <n v="122.46629999999999"/>
    <n v="55.18075882352943"/>
    <n v="8.772775647619941"/>
  </r>
  <r>
    <s v="C0251"/>
    <x v="0"/>
    <x v="2"/>
    <x v="0"/>
    <s v="28.08.2024"/>
    <n v="428"/>
    <n v="141.15"/>
    <n v="18.77"/>
    <n v="118.61344537815127"/>
    <n v="80.335599999999999"/>
    <n v="38.27784537815127"/>
    <n v="8.9434218173250635"/>
    <s v="28.08.2024"/>
    <n v="52.487394957983199"/>
    <n v="38.6477"/>
    <n v="13.839694957983198"/>
    <n v="10.101967122615472"/>
  </r>
  <r>
    <s v="C0252"/>
    <x v="0"/>
    <x v="0"/>
    <x v="0"/>
    <s v="17.02.2025"/>
    <n v="302"/>
    <n v="109.4"/>
    <n v="24.7"/>
    <n v="91.932773109243712"/>
    <n v="74.593999999999994"/>
    <n v="17.338773109243718"/>
    <n v="5.7413155990873239"/>
    <s v="17.02.2025"/>
    <n v="118.61344537815127"/>
    <n v="80.335599999999999"/>
    <n v="38.27784537815127"/>
    <n v="8.9434218173250635"/>
  </r>
  <r>
    <s v="C0253"/>
    <x v="1"/>
    <x v="2"/>
    <x v="0"/>
    <s v="02.05.2024"/>
    <n v="621"/>
    <n v="202.59"/>
    <n v="19.89"/>
    <n v="170.24369747899161"/>
    <n v="123.51690000000001"/>
    <n v="46.7267974789916"/>
    <n v="7.5244440384849591"/>
    <s v="02.05.2024"/>
    <n v="91.932773109243712"/>
    <n v="74.593999999999994"/>
    <n v="17.338773109243718"/>
    <n v="5.7413155990873239"/>
  </r>
  <r>
    <s v="C0254"/>
    <x v="0"/>
    <x v="2"/>
    <x v="0"/>
    <s v="09.09.2024"/>
    <n v="616"/>
    <n v="200.57"/>
    <n v="18.37"/>
    <n v="168.54621848739495"/>
    <n v="113.1592"/>
    <n v="55.387018487394954"/>
    <n v="8.9913991050965834"/>
    <s v="09.09.2024"/>
    <n v="170.24369747899161"/>
    <n v="123.51690000000001"/>
    <n v="46.7267974789916"/>
    <n v="7.5244440384849591"/>
  </r>
  <r>
    <s v="C0255"/>
    <x v="0"/>
    <x v="2"/>
    <x v="1"/>
    <s v="10.02.2024"/>
    <n v="640"/>
    <n v="201.88"/>
    <n v="21.21"/>
    <n v="169.64705882352942"/>
    <n v="135.74400000000003"/>
    <n v="33.903058823529392"/>
    <n v="5.2973529411764675"/>
    <s v="10.02.2024"/>
    <n v="168.54621848739495"/>
    <n v="113.1592"/>
    <n v="55.387018487394954"/>
    <n v="8.9913991050965834"/>
  </r>
  <r>
    <s v="C0256"/>
    <x v="1"/>
    <x v="0"/>
    <x v="0"/>
    <s v="24.03.2024"/>
    <n v="209"/>
    <n v="84.67"/>
    <n v="22.67"/>
    <n v="71.151260504201687"/>
    <n v="47.380300000000005"/>
    <n v="23.770960504201682"/>
    <n v="11.373665313015159"/>
    <s v="24.03.2024"/>
    <n v="169.64705882352942"/>
    <n v="135.74400000000003"/>
    <n v="33.903058823529392"/>
    <n v="5.2973529411764675"/>
  </r>
  <r>
    <s v="C0257"/>
    <x v="1"/>
    <x v="2"/>
    <x v="2"/>
    <s v="05.03.2025"/>
    <n v="585"/>
    <n v="206.52"/>
    <n v="19"/>
    <n v="173.54621848739498"/>
    <n v="111.15"/>
    <n v="62.396218487394975"/>
    <n v="10.666020254255551"/>
    <s v="05.03.2025"/>
    <n v="71.151260504201687"/>
    <n v="47.380300000000005"/>
    <n v="23.770960504201682"/>
    <n v="11.373665313015159"/>
  </r>
  <r>
    <s v="C0258"/>
    <x v="1"/>
    <x v="0"/>
    <x v="2"/>
    <s v="19.06.2025"/>
    <n v="243"/>
    <n v="92.98"/>
    <n v="24.76"/>
    <n v="78.134453781512619"/>
    <n v="60.166800000000002"/>
    <n v="17.967653781512617"/>
    <n v="7.3940962063837929"/>
    <s v="19.06.2025"/>
    <n v="173.54621848739498"/>
    <n v="111.15"/>
    <n v="62.396218487394975"/>
    <n v="10.666020254255551"/>
  </r>
  <r>
    <s v="C0259"/>
    <x v="1"/>
    <x v="0"/>
    <x v="0"/>
    <s v="19.11.2024"/>
    <n v="307"/>
    <n v="114.62"/>
    <n v="24.79"/>
    <n v="96.319327731092443"/>
    <n v="76.1053"/>
    <n v="20.214027731092443"/>
    <n v="6.5843738537760403"/>
    <s v="19.11.2024"/>
    <n v="78.134453781512619"/>
    <n v="60.166800000000002"/>
    <n v="17.967653781512617"/>
    <n v="7.3940962063837929"/>
  </r>
  <r>
    <s v="C0260"/>
    <x v="0"/>
    <x v="0"/>
    <x v="1"/>
    <s v="24.09.2024"/>
    <n v="288"/>
    <n v="106.07"/>
    <n v="24.59"/>
    <n v="89.134453781512605"/>
    <n v="70.819199999999995"/>
    <n v="18.31525378151261"/>
    <n v="6.3594631185807673"/>
    <s v="24.09.2024"/>
    <n v="96.319327731092443"/>
    <n v="76.1053"/>
    <n v="20.214027731092443"/>
    <n v="6.5843738537760403"/>
  </r>
  <r>
    <s v="C0261"/>
    <x v="1"/>
    <x v="2"/>
    <x v="0"/>
    <s v="28.07.2024"/>
    <n v="592"/>
    <n v="192.63"/>
    <n v="17.88"/>
    <n v="161.87394957983193"/>
    <n v="105.8496"/>
    <n v="56.024349579831934"/>
    <n v="9.4635725641607991"/>
    <s v="28.07.2024"/>
    <n v="89.134453781512605"/>
    <n v="70.819199999999995"/>
    <n v="18.31525378151261"/>
    <n v="6.3594631185807673"/>
  </r>
  <r>
    <s v="C0262"/>
    <x v="1"/>
    <x v="2"/>
    <x v="2"/>
    <s v="17.11.2024"/>
    <n v="552"/>
    <n v="195.6"/>
    <n v="17.28"/>
    <n v="164.36974789915968"/>
    <n v="95.385600000000011"/>
    <n v="68.984147899159666"/>
    <n v="12.49712824260139"/>
    <s v="17.11.2024"/>
    <n v="161.87394957983193"/>
    <n v="105.8496"/>
    <n v="56.024349579831934"/>
    <n v="9.4635725641607991"/>
  </r>
  <r>
    <s v="C0263"/>
    <x v="0"/>
    <x v="2"/>
    <x v="0"/>
    <s v="01.09.2024"/>
    <n v="392"/>
    <n v="132.08000000000001"/>
    <n v="19.68"/>
    <n v="110.99159663865548"/>
    <n v="77.145600000000002"/>
    <n v="33.845996638655478"/>
    <n v="8.6341828159835412"/>
    <s v="01.09.2024"/>
    <n v="164.36974789915968"/>
    <n v="95.385600000000011"/>
    <n v="68.984147899159666"/>
    <n v="12.49712824260139"/>
  </r>
  <r>
    <s v="C0264"/>
    <x v="0"/>
    <x v="0"/>
    <x v="1"/>
    <s v="28.09.2024"/>
    <n v="258"/>
    <n v="95.84"/>
    <n v="24.4"/>
    <n v="80.537815126050432"/>
    <n v="62.951999999999998"/>
    <n v="17.585815126050434"/>
    <n v="6.8162074131978434"/>
    <s v="28.09.2024"/>
    <n v="110.99159663865548"/>
    <n v="77.145600000000002"/>
    <n v="33.845996638655478"/>
    <n v="8.6341828159835412"/>
  </r>
  <r>
    <s v="C0265"/>
    <x v="1"/>
    <x v="0"/>
    <x v="1"/>
    <s v="09.02.2025"/>
    <n v="330"/>
    <n v="127.01"/>
    <n v="22.72"/>
    <n v="106.73109243697481"/>
    <n v="74.975999999999999"/>
    <n v="31.755092436974806"/>
    <n v="9.6227552839317596"/>
    <s v="09.02.2025"/>
    <n v="80.537815126050432"/>
    <n v="62.951999999999998"/>
    <n v="17.585815126050434"/>
    <n v="6.8162074131978434"/>
  </r>
  <r>
    <s v="C0266"/>
    <x v="1"/>
    <x v="0"/>
    <x v="0"/>
    <s v="14.05.2024"/>
    <n v="323"/>
    <n v="118.46"/>
    <n v="24.82"/>
    <n v="99.546218487394952"/>
    <n v="80.168599999999998"/>
    <n v="19.377618487394955"/>
    <n v="5.9992626895959615"/>
    <s v="14.05.2024"/>
    <n v="106.73109243697481"/>
    <n v="74.975999999999999"/>
    <n v="31.755092436974806"/>
    <n v="9.6227552839317596"/>
  </r>
  <r>
    <s v="C0267"/>
    <x v="1"/>
    <x v="1"/>
    <x v="0"/>
    <s v="03.11.2024"/>
    <n v="87"/>
    <n v="42.64"/>
    <n v="29.82"/>
    <n v="35.831932773109244"/>
    <n v="25.9434"/>
    <n v="9.8885327731092438"/>
    <n v="11.366129624263499"/>
    <s v="03.11.2024"/>
    <n v="99.546218487394952"/>
    <n v="80.168599999999998"/>
    <n v="19.377618487394955"/>
    <n v="5.9992626895959615"/>
  </r>
  <r>
    <s v="C0268"/>
    <x v="1"/>
    <x v="1"/>
    <x v="1"/>
    <s v="13.04.2025"/>
    <n v="97"/>
    <n v="43.59"/>
    <n v="30.67"/>
    <n v="36.630252100840337"/>
    <n v="29.749900000000004"/>
    <n v="6.8803521008403337"/>
    <n v="7.0931464957116841"/>
    <s v="13.04.2025"/>
    <n v="35.831932773109244"/>
    <n v="25.9434"/>
    <n v="9.8885327731092438"/>
    <n v="11.366129624263499"/>
  </r>
  <r>
    <s v="C0269"/>
    <x v="0"/>
    <x v="0"/>
    <x v="1"/>
    <s v="19.11.2024"/>
    <n v="189"/>
    <n v="78.95"/>
    <n v="25.35"/>
    <n v="66.34453781512606"/>
    <n v="47.911500000000004"/>
    <n v="18.433037815126056"/>
    <n v="9.7529300609132576"/>
    <s v="19.11.2024"/>
    <n v="36.630252100840337"/>
    <n v="29.749900000000004"/>
    <n v="6.8803521008403337"/>
    <n v="7.0931464957116841"/>
  </r>
  <r>
    <s v="C0270"/>
    <x v="0"/>
    <x v="1"/>
    <x v="0"/>
    <s v="15.03.2024"/>
    <n v="144"/>
    <n v="62.39"/>
    <n v="28.68"/>
    <n v="52.428571428571431"/>
    <n v="41.299199999999999"/>
    <n v="11.129371428571432"/>
    <n v="7.7287301587301611"/>
    <s v="15.03.2024"/>
    <n v="66.34453781512606"/>
    <n v="47.911500000000004"/>
    <n v="18.433037815126056"/>
    <n v="9.7529300609132576"/>
  </r>
  <r>
    <s v="C0271"/>
    <x v="1"/>
    <x v="1"/>
    <x v="1"/>
    <s v="10.01.2024"/>
    <n v="152"/>
    <n v="66.22"/>
    <n v="28.08"/>
    <n v="55.647058823529413"/>
    <n v="42.681599999999996"/>
    <n v="12.965458823529417"/>
    <n v="8.5299071207430366"/>
    <s v="10.01.2024"/>
    <n v="52.428571428571431"/>
    <n v="41.299199999999999"/>
    <n v="11.129371428571432"/>
    <n v="7.7287301587301611"/>
  </r>
  <r>
    <s v="C0272"/>
    <x v="1"/>
    <x v="1"/>
    <x v="0"/>
    <s v="14.04.2025"/>
    <n v="101"/>
    <n v="50.1"/>
    <n v="31.12"/>
    <n v="42.100840336134453"/>
    <n v="31.4312"/>
    <n v="10.669640336134453"/>
    <n v="10.564000332806389"/>
    <s v="14.04.2025"/>
    <n v="55.647058823529413"/>
    <n v="42.681599999999996"/>
    <n v="12.965458823529417"/>
    <n v="8.5299071207430366"/>
  </r>
  <r>
    <s v="C0273"/>
    <x v="1"/>
    <x v="1"/>
    <x v="1"/>
    <s v="12.04.2024"/>
    <n v="126"/>
    <n v="54.32"/>
    <n v="30.44"/>
    <n v="45.647058823529413"/>
    <n v="38.354399999999998"/>
    <n v="7.2926588235294147"/>
    <n v="5.7878244631185831"/>
    <s v="12.04.2024"/>
    <n v="42.100840336134453"/>
    <n v="31.4312"/>
    <n v="10.669640336134453"/>
    <n v="10.564000332806389"/>
  </r>
  <r>
    <s v="C0274"/>
    <x v="1"/>
    <x v="1"/>
    <x v="0"/>
    <s v="16.03.2024"/>
    <n v="154"/>
    <n v="63.72"/>
    <n v="30.8"/>
    <n v="53.54621848739496"/>
    <n v="47.431999999999995"/>
    <n v="6.1142184873949645"/>
    <n v="3.9702717450616651"/>
    <s v="16.03.2024"/>
    <n v="45.647058823529413"/>
    <n v="38.354399999999998"/>
    <n v="7.2926588235294147"/>
    <n v="5.7878244631185831"/>
  </r>
  <r>
    <s v="C0275"/>
    <x v="0"/>
    <x v="2"/>
    <x v="2"/>
    <s v="06.08.2024"/>
    <n v="578"/>
    <n v="195.05"/>
    <n v="20.69"/>
    <n v="163.9075630252101"/>
    <n v="119.58820000000001"/>
    <n v="44.31936302521008"/>
    <n v="7.6677098659533014"/>
    <s v="06.08.2024"/>
    <n v="53.54621848739496"/>
    <n v="47.431999999999995"/>
    <n v="6.1142184873949645"/>
    <n v="3.9702717450616651"/>
  </r>
  <r>
    <s v="C0276"/>
    <x v="0"/>
    <x v="0"/>
    <x v="0"/>
    <s v="02.06.2025"/>
    <n v="257"/>
    <n v="98.38"/>
    <n v="25.21"/>
    <n v="82.672268907563023"/>
    <n v="64.789699999999996"/>
    <n v="17.882568907563027"/>
    <n v="6.958198018507014"/>
    <s v="02.06.2025"/>
    <n v="163.9075630252101"/>
    <n v="119.58820000000001"/>
    <n v="44.31936302521008"/>
    <n v="7.6677098659533014"/>
  </r>
  <r>
    <s v="C0277"/>
    <x v="1"/>
    <x v="0"/>
    <x v="0"/>
    <s v="28.09.2024"/>
    <n v="265"/>
    <n v="101.38"/>
    <n v="25.84"/>
    <n v="85.193277310924373"/>
    <n v="68.475999999999999"/>
    <n v="16.717277310924374"/>
    <n v="6.3084065324242919"/>
    <s v="28.09.2024"/>
    <n v="82.672268907563023"/>
    <n v="64.789699999999996"/>
    <n v="17.882568907563027"/>
    <n v="6.958198018507014"/>
  </r>
  <r>
    <s v="C0278"/>
    <x v="1"/>
    <x v="0"/>
    <x v="0"/>
    <s v="15.05.2024"/>
    <n v="251"/>
    <n v="94.45"/>
    <n v="24.14"/>
    <n v="79.369747899159677"/>
    <n v="60.5914"/>
    <n v="18.778347899159677"/>
    <n v="7.4814135056413056"/>
    <s v="15.05.2024"/>
    <n v="85.193277310924373"/>
    <n v="68.475999999999999"/>
    <n v="16.717277310924374"/>
    <n v="6.3084065324242919"/>
  </r>
  <r>
    <s v="C0279"/>
    <x v="1"/>
    <x v="1"/>
    <x v="0"/>
    <s v="23.12.2024"/>
    <n v="108"/>
    <n v="48.29"/>
    <n v="29.95"/>
    <n v="40.579831932773111"/>
    <n v="32.345999999999997"/>
    <n v="8.2338319327731142"/>
    <n v="7.6239184562714017"/>
    <s v="23.12.2024"/>
    <n v="79.369747899159677"/>
    <n v="60.5914"/>
    <n v="18.778347899159677"/>
    <n v="7.4814135056413056"/>
  </r>
  <r>
    <s v="C0280"/>
    <x v="1"/>
    <x v="2"/>
    <x v="0"/>
    <s v="11.03.2024"/>
    <n v="522"/>
    <n v="174.1"/>
    <n v="18.510000000000002"/>
    <n v="146.30252100840337"/>
    <n v="96.622200000000007"/>
    <n v="49.680321008403368"/>
    <n v="9.5173028751730584"/>
    <s v="11.03.2024"/>
    <n v="40.579831932773111"/>
    <n v="32.345999999999997"/>
    <n v="8.2338319327731142"/>
    <n v="7.6239184562714017"/>
  </r>
  <r>
    <s v="C0281"/>
    <x v="1"/>
    <x v="2"/>
    <x v="0"/>
    <s v="07.09.2024"/>
    <n v="563"/>
    <n v="180.68"/>
    <n v="17.27"/>
    <n v="151.83193277310926"/>
    <n v="97.230100000000007"/>
    <n v="54.601832773109251"/>
    <n v="9.6983717181366345"/>
    <s v="07.09.2024"/>
    <n v="146.30252100840337"/>
    <n v="96.622200000000007"/>
    <n v="49.680321008403368"/>
    <n v="9.5173028751730584"/>
  </r>
  <r>
    <s v="C0282"/>
    <x v="0"/>
    <x v="1"/>
    <x v="2"/>
    <s v="13.01.2025"/>
    <n v="156"/>
    <n v="66.23"/>
    <n v="30.29"/>
    <n v="55.655462184873954"/>
    <n v="47.252399999999994"/>
    <n v="8.4030621848739599"/>
    <n v="5.3865783236371545"/>
    <s v="13.01.2025"/>
    <n v="151.83193277310926"/>
    <n v="97.230100000000007"/>
    <n v="54.601832773109251"/>
    <n v="9.6983717181366345"/>
  </r>
  <r>
    <s v="C0283"/>
    <x v="0"/>
    <x v="0"/>
    <x v="0"/>
    <s v="18.10.2024"/>
    <n v="273"/>
    <n v="101.51"/>
    <n v="23.11"/>
    <n v="85.302521008403374"/>
    <n v="63.090299999999999"/>
    <n v="22.212221008403375"/>
    <n v="8.1363446917228472"/>
    <s v="18.10.2024"/>
    <n v="55.655462184873954"/>
    <n v="47.252399999999994"/>
    <n v="8.4030621848739599"/>
    <n v="5.3865783236371545"/>
  </r>
  <r>
    <s v="C0284"/>
    <x v="0"/>
    <x v="2"/>
    <x v="0"/>
    <s v="2024-06-10"/>
    <n v="587"/>
    <n v="183.12"/>
    <n v="23.11"/>
    <n v="153.88235294117649"/>
    <n v="135.6557"/>
    <n v="18.226652941176496"/>
    <n v="3.1050516083775972"/>
    <s v="2024-06"/>
    <n v="85.302521008403374"/>
    <n v="63.090299999999999"/>
    <n v="22.212221008403375"/>
    <n v="8.1363446917228472"/>
  </r>
  <r>
    <s v="C0285"/>
    <x v="1"/>
    <x v="2"/>
    <x v="0"/>
    <s v="24.03.2025"/>
    <n v="386"/>
    <n v="133.07"/>
    <n v="19.420000000000002"/>
    <n v="111.82352941176471"/>
    <n v="74.961200000000005"/>
    <n v="36.862329411764705"/>
    <n v="9.5498262724779028"/>
    <s v="24.03.2025"/>
    <n v="153.88235294117649"/>
    <n v="135.6557"/>
    <n v="18.226652941176496"/>
    <n v="3.1050516083775972"/>
  </r>
  <r>
    <s v="C0286"/>
    <x v="0"/>
    <x v="0"/>
    <x v="0"/>
    <s v="05.11.2024"/>
    <n v="244"/>
    <n v="93.93"/>
    <n v="24.37"/>
    <n v="78.932773109243712"/>
    <n v="59.462800000000009"/>
    <n v="19.469973109243703"/>
    <n v="7.9794971759195503"/>
    <s v="05.11.2024"/>
    <n v="111.82352941176471"/>
    <n v="74.961200000000005"/>
    <n v="36.862329411764705"/>
    <n v="9.5498262724779028"/>
  </r>
  <r>
    <s v="C0287"/>
    <x v="0"/>
    <x v="0"/>
    <x v="0"/>
    <s v="25.06.2025"/>
    <n v="168"/>
    <n v="71.56"/>
    <n v="23.42"/>
    <n v="60.134453781512612"/>
    <n v="39.345600000000005"/>
    <n v="20.788853781512607"/>
    <n v="12.374317727090837"/>
    <s v="25.06.2025"/>
    <n v="78.932773109243712"/>
    <n v="59.462800000000009"/>
    <n v="19.469973109243703"/>
    <n v="7.9794971759195503"/>
  </r>
  <r>
    <s v="C0288"/>
    <x v="0"/>
    <x v="1"/>
    <x v="0"/>
    <s v="09.01.2024"/>
    <n v="104"/>
    <n v="46.51"/>
    <n v="28.21"/>
    <n v="39.084033613445378"/>
    <n v="29.3384"/>
    <n v="9.7456336134453778"/>
    <n v="9.3708015513897855"/>
    <s v="09.01.2024"/>
    <n v="60.134453781512612"/>
    <n v="39.345600000000005"/>
    <n v="20.788853781512607"/>
    <n v="12.374317727090837"/>
  </r>
  <r>
    <s v="C0289"/>
    <x v="0"/>
    <x v="2"/>
    <x v="0"/>
    <s v="02.11.2024"/>
    <n v="576"/>
    <n v="187.21"/>
    <n v="16.66"/>
    <n v="157.31932773109244"/>
    <n v="95.961600000000004"/>
    <n v="61.357727731092439"/>
    <n v="10.652383286647993"/>
    <s v="02.11.2024"/>
    <n v="39.084033613445378"/>
    <n v="29.3384"/>
    <n v="9.7456336134453778"/>
    <n v="9.3708015513897855"/>
  </r>
  <r>
    <s v="C0290"/>
    <x v="1"/>
    <x v="1"/>
    <x v="0"/>
    <s v="16.04.2024"/>
    <n v="166"/>
    <n v="70.27"/>
    <n v="29.69"/>
    <n v="59.050420168067227"/>
    <n v="49.285400000000003"/>
    <n v="9.7650201680672239"/>
    <n v="5.8825422699200143"/>
    <s v="16.04.2024"/>
    <n v="157.31932773109244"/>
    <n v="95.961600000000004"/>
    <n v="61.357727731092439"/>
    <n v="10.652383286647993"/>
  </r>
  <r>
    <s v="C0291"/>
    <x v="0"/>
    <x v="2"/>
    <x v="0"/>
    <s v="17.05.2024"/>
    <n v="366"/>
    <n v="123.49"/>
    <n v="16.920000000000002"/>
    <n v="103.77310924369748"/>
    <n v="61.927199999999999"/>
    <n v="41.845909243697477"/>
    <n v="11.433308536529365"/>
    <s v="17.05.2024"/>
    <n v="59.050420168067227"/>
    <n v="49.285400000000003"/>
    <n v="9.7650201680672239"/>
    <n v="5.8825422699200143"/>
  </r>
  <r>
    <s v="C0292"/>
    <x v="0"/>
    <x v="0"/>
    <x v="1"/>
    <s v="27.09.2024"/>
    <n v="234"/>
    <n v="84.1"/>
    <n v="24.43"/>
    <n v="70.672268907563023"/>
    <n v="57.166199999999996"/>
    <n v="13.506068907563026"/>
    <n v="5.7718243194713788"/>
    <s v="27.09.2024"/>
    <n v="103.77310924369748"/>
    <n v="61.927199999999999"/>
    <n v="41.845909243697477"/>
    <n v="11.433308536529365"/>
  </r>
  <r>
    <s v="C0293"/>
    <x v="1"/>
    <x v="0"/>
    <x v="0"/>
    <s v="28.04.2024"/>
    <n v="300"/>
    <n v="115.89"/>
    <n v="25.52"/>
    <n v="97.386554621848745"/>
    <n v="76.56"/>
    <n v="20.826554621848743"/>
    <n v="6.9421848739495804"/>
    <s v="28.04.2024"/>
    <n v="70.672268907563023"/>
    <n v="57.166199999999996"/>
    <n v="13.506068907563026"/>
    <n v="5.7718243194713788"/>
  </r>
  <r>
    <s v="C0294"/>
    <x v="0"/>
    <x v="0"/>
    <x v="0"/>
    <s v="19.04.2024"/>
    <n v="201"/>
    <n v="79.94"/>
    <n v="25.53"/>
    <n v="67.17647058823529"/>
    <n v="51.315300000000008"/>
    <n v="15.861170588235282"/>
    <n v="7.891129645888201"/>
    <s v="19.04.2024"/>
    <n v="97.386554621848745"/>
    <n v="76.56"/>
    <n v="20.826554621848743"/>
    <n v="6.9421848739495804"/>
  </r>
  <r>
    <s v="C0295"/>
    <x v="0"/>
    <x v="1"/>
    <x v="2"/>
    <s v="08.06.2024"/>
    <n v="130"/>
    <n v="54.75"/>
    <n v="32.64"/>
    <n v="46.008403361344541"/>
    <n v="42.431999999999995"/>
    <n v="3.5764033613445463"/>
    <n v="2.751079508726574"/>
    <s v="08.06.2024"/>
    <n v="67.17647058823529"/>
    <n v="51.315300000000008"/>
    <n v="15.861170588235282"/>
    <n v="7.891129645888201"/>
  </r>
  <r>
    <s v="C0296"/>
    <x v="0"/>
    <x v="1"/>
    <x v="0"/>
    <s v="05.10.2024"/>
    <n v="145"/>
    <n v="61.31"/>
    <n v="28.84"/>
    <n v="51.52100840336135"/>
    <n v="41.818000000000005"/>
    <n v="9.7030084033613448"/>
    <n v="6.6917299333526508"/>
    <s v="05.10.2024"/>
    <n v="46.008403361344541"/>
    <n v="42.431999999999995"/>
    <n v="3.5764033613445463"/>
    <n v="2.751079508726574"/>
  </r>
  <r>
    <s v="C0297"/>
    <x v="1"/>
    <x v="1"/>
    <x v="1"/>
    <s v="15.10.2024"/>
    <n v="135"/>
    <n v="59.11"/>
    <n v="31.45"/>
    <n v="49.67226890756303"/>
    <n v="42.457500000000003"/>
    <n v="7.2147689075630268"/>
    <n v="5.3442732648615019"/>
    <s v="15.10.2024"/>
    <n v="51.52100840336135"/>
    <n v="41.818000000000005"/>
    <n v="9.7030084033613448"/>
    <n v="6.6917299333526508"/>
  </r>
  <r>
    <s v="C0298"/>
    <x v="0"/>
    <x v="1"/>
    <x v="0"/>
    <s v="03.08.2024"/>
    <n v="99"/>
    <n v="44.22"/>
    <n v="31.54"/>
    <n v="37.159663865546221"/>
    <n v="31.224599999999999"/>
    <n v="5.9350638655462227"/>
    <n v="5.9950140056022452"/>
    <s v="03.08.2024"/>
    <n v="49.67226890756303"/>
    <n v="42.457500000000003"/>
    <n v="7.2147689075630268"/>
    <n v="5.3442732648615019"/>
  </r>
  <r>
    <s v="C0299"/>
    <x v="1"/>
    <x v="2"/>
    <x v="1"/>
    <s v="17.12.2024"/>
    <n v="452"/>
    <n v="152.9"/>
    <n v="17.48"/>
    <n v="128.48739495798321"/>
    <n v="79.009600000000006"/>
    <n v="49.477794957983207"/>
    <n v="10.946414813713098"/>
    <s v="17.12.2024"/>
    <n v="37.159663865546221"/>
    <n v="31.224599999999999"/>
    <n v="5.9350638655462227"/>
    <n v="5.9950140056022452"/>
  </r>
  <r>
    <s v="C0300"/>
    <x v="0"/>
    <x v="0"/>
    <x v="1"/>
    <s v="27.07.2024"/>
    <n v="297"/>
    <n v="109.73"/>
    <n v="24.95"/>
    <n v="92.210084033613455"/>
    <n v="74.101500000000001"/>
    <n v="18.108584033613454"/>
    <n v="6.0971663412839909"/>
    <s v="27.07.2024"/>
    <n v="128.48739495798321"/>
    <n v="79.009600000000006"/>
    <n v="49.477794957983207"/>
    <n v="10.946414813713098"/>
  </r>
  <r>
    <s v="C0301"/>
    <x v="0"/>
    <x v="1"/>
    <x v="0"/>
    <s v="27.09.2024"/>
    <n v="130"/>
    <n v="55.21"/>
    <n v="29.15"/>
    <n v="46.394957983193279"/>
    <n v="37.895000000000003"/>
    <n v="8.4999579831932763"/>
    <n v="6.5384292178409815"/>
    <s v="27.09.2024"/>
    <n v="92.210084033613455"/>
    <n v="74.101500000000001"/>
    <n v="18.108584033613454"/>
    <n v="6.0971663412839909"/>
  </r>
  <r>
    <s v="C0302"/>
    <x v="0"/>
    <x v="2"/>
    <x v="2"/>
    <s v="01.06.2025"/>
    <n v="335"/>
    <n v="121.08"/>
    <n v="20.51"/>
    <n v="101.74789915966387"/>
    <n v="68.708500000000001"/>
    <n v="33.039399159663873"/>
    <n v="9.8625072118399615"/>
    <s v="01.06.2025"/>
    <n v="46.394957983193279"/>
    <n v="37.895000000000003"/>
    <n v="8.4999579831932763"/>
    <n v="6.5384292178409815"/>
  </r>
  <r>
    <s v="C0303"/>
    <x v="0"/>
    <x v="2"/>
    <x v="0"/>
    <s v="15.05.2025"/>
    <n v="587"/>
    <n v="199.29"/>
    <n v="23.49"/>
    <n v="167.47058823529412"/>
    <n v="137.88630000000001"/>
    <n v="29.58428823529411"/>
    <n v="5.0399128169155212"/>
    <s v="15.05.2025"/>
    <n v="101.74789915966387"/>
    <n v="68.708500000000001"/>
    <n v="33.039399159663873"/>
    <n v="9.8625072118399615"/>
  </r>
  <r>
    <s v="C0304"/>
    <x v="1"/>
    <x v="2"/>
    <x v="0"/>
    <s v="14.09.2024"/>
    <n v="345"/>
    <n v="120.9"/>
    <n v="16.649999999999999"/>
    <n v="101.5966386554622"/>
    <n v="57.442499999999988"/>
    <n v="44.154138655462212"/>
    <n v="12.798301059554266"/>
    <s v="14.09.2024"/>
    <n v="167.47058823529412"/>
    <n v="137.88630000000001"/>
    <n v="29.58428823529411"/>
    <n v="5.0399128169155212"/>
  </r>
  <r>
    <s v="C0305"/>
    <x v="1"/>
    <x v="2"/>
    <x v="1"/>
    <s v="22.02.2024"/>
    <n v="-15"/>
    <n v="201.44"/>
    <n v="22.49"/>
    <n v="169.27731092436974"/>
    <n v="-3.3734999999999995"/>
    <n v="172.65081092436975"/>
    <n v="-1151.0054061624651"/>
    <s v="22.02.2024"/>
    <n v="101.5966386554622"/>
    <n v="57.442499999999988"/>
    <n v="44.154138655462212"/>
    <n v="12.798301059554266"/>
  </r>
  <r>
    <s v="C0306"/>
    <x v="1"/>
    <x v="1"/>
    <x v="2"/>
    <s v="2024-04-04"/>
    <n v="100"/>
    <n v="43.64"/>
    <n v="30.49"/>
    <n v="36.67226890756303"/>
    <n v="30.49"/>
    <n v="6.1822689075630315"/>
    <n v="6.1822689075630315"/>
    <s v="2024-04"/>
    <n v="169.27731092436974"/>
    <n v="-3.3734999999999995"/>
    <n v="172.65081092436975"/>
    <n v="-1151.0054061624651"/>
  </r>
  <r>
    <s v="C0307"/>
    <x v="0"/>
    <x v="0"/>
    <x v="0"/>
    <s v="09.03.2025"/>
    <n v="326"/>
    <n v="119.62"/>
    <n v="25.89"/>
    <n v="100.52100840336135"/>
    <n v="84.401399999999995"/>
    <n v="16.119608403361354"/>
    <n v="4.9446651544053237"/>
    <s v="09.03.2025"/>
    <n v="36.67226890756303"/>
    <n v="30.49"/>
    <n v="6.1822689075630315"/>
    <n v="6.1822689075630315"/>
  </r>
  <r>
    <s v="C0308"/>
    <x v="0"/>
    <x v="2"/>
    <x v="0"/>
    <s v="10.10.2024"/>
    <n v="456"/>
    <n v="153.16999999999999"/>
    <n v="18.829999999999998"/>
    <n v="128.71428571428572"/>
    <n v="85.864800000000002"/>
    <n v="42.84948571428572"/>
    <n v="9.3968170426065178"/>
    <s v="10.10.2024"/>
    <n v="100.52100840336135"/>
    <n v="84.401399999999995"/>
    <n v="16.119608403361354"/>
    <n v="4.9446651544053237"/>
  </r>
  <r>
    <s v="C0309"/>
    <x v="1"/>
    <x v="0"/>
    <x v="0"/>
    <s v="15.02.2024"/>
    <n v="221"/>
    <n v="90.83"/>
    <n v="25.39"/>
    <n v="76.327731092436977"/>
    <n v="56.111900000000006"/>
    <n v="20.215831092436972"/>
    <n v="9.1474348834556434"/>
    <s v="15.02.2024"/>
    <n v="128.71428571428572"/>
    <n v="85.864800000000002"/>
    <n v="42.84948571428572"/>
    <n v="9.3968170426065178"/>
  </r>
  <r>
    <s v="C0310"/>
    <x v="0"/>
    <x v="1"/>
    <x v="0"/>
    <s v="2024-01-04"/>
    <n v="96"/>
    <n v="48.62"/>
    <n v="28.25"/>
    <n v="40.857142857142854"/>
    <n v="27.12"/>
    <n v="13.737142857142853"/>
    <n v="14.309523809523805"/>
    <s v="2024-01"/>
    <n v="76.327731092436977"/>
    <n v="56.111900000000006"/>
    <n v="20.215831092436972"/>
    <n v="9.1474348834556434"/>
  </r>
  <r>
    <s v="C0311"/>
    <x v="0"/>
    <x v="2"/>
    <x v="1"/>
    <s v="07.12.2024"/>
    <n v="435"/>
    <n v="145.29"/>
    <n v="18.18"/>
    <n v="122.09243697478992"/>
    <n v="79.082999999999998"/>
    <n v="43.009436974789921"/>
    <n v="9.8872268907563043"/>
    <s v="07.12.2024"/>
    <n v="40.857142857142854"/>
    <n v="27.12"/>
    <n v="13.737142857142853"/>
    <n v="14.309523809523805"/>
  </r>
  <r>
    <s v="C0312"/>
    <x v="0"/>
    <x v="1"/>
    <x v="0"/>
    <s v="13.05.2024"/>
    <n v="157"/>
    <n v="71.069999999999993"/>
    <n v="28.27"/>
    <n v="59.72268907563025"/>
    <n v="44.383900000000004"/>
    <n v="15.338789075630245"/>
    <n v="9.7699293475351876"/>
    <s v="13.05.2024"/>
    <n v="122.09243697478992"/>
    <n v="79.082999999999998"/>
    <n v="43.009436974789921"/>
    <n v="9.8872268907563043"/>
  </r>
  <r>
    <s v="C0313"/>
    <x v="0"/>
    <x v="1"/>
    <x v="0"/>
    <s v="25.09.2024"/>
    <n v="167"/>
    <n v="68.650000000000006"/>
    <n v="31.9"/>
    <n v="57.689075630252105"/>
    <n v="53.273000000000003"/>
    <n v="4.4160756302521023"/>
    <n v="2.6443566648216179"/>
    <s v="25.09.2024"/>
    <n v="59.72268907563025"/>
    <n v="44.383900000000004"/>
    <n v="15.338789075630245"/>
    <n v="9.7699293475351876"/>
  </r>
  <r>
    <s v="C0314"/>
    <x v="1"/>
    <x v="0"/>
    <x v="0"/>
    <s v="2024-06-14"/>
    <n v="228"/>
    <n v="93.28"/>
    <n v="27.27"/>
    <n v="78.386554621848745"/>
    <n v="62.175599999999996"/>
    <n v="16.210954621848749"/>
    <n v="7.1100678166003277"/>
    <s v="2024-06"/>
    <n v="57.689075630252105"/>
    <n v="53.273000000000003"/>
    <n v="4.4160756302521023"/>
    <n v="2.6443566648216179"/>
  </r>
  <r>
    <s v="C0315"/>
    <x v="1"/>
    <x v="0"/>
    <x v="0"/>
    <s v="28.03.2025"/>
    <n v="242"/>
    <n v="96.83"/>
    <n v="25.41"/>
    <n v="81.369747899159663"/>
    <n v="61.492200000000004"/>
    <n v="19.877547899159659"/>
    <n v="8.2138627682477932"/>
    <s v="28.03.2025"/>
    <n v="78.386554621848745"/>
    <n v="62.175599999999996"/>
    <n v="16.210954621848749"/>
    <n v="7.1100678166003277"/>
  </r>
  <r>
    <s v="C0316"/>
    <x v="1"/>
    <x v="0"/>
    <x v="0"/>
    <s v="13.03.2025"/>
    <n v="287"/>
    <n v="106.51"/>
    <n v="25.75"/>
    <n v="89.504201680672281"/>
    <n v="73.902500000000003"/>
    <n v="15.601701680672278"/>
    <n v="5.4361329897812816"/>
    <s v="13.03.2025"/>
    <n v="81.369747899159663"/>
    <n v="61.492200000000004"/>
    <n v="19.877547899159659"/>
    <n v="8.2138627682477932"/>
  </r>
  <r>
    <s v="C0317"/>
    <x v="0"/>
    <x v="1"/>
    <x v="1"/>
    <s v="10.01.2024"/>
    <n v="157"/>
    <n v="68.2"/>
    <n v="28.34"/>
    <n v="57.310924369747902"/>
    <n v="44.4938"/>
    <n v="12.817124369747901"/>
    <n v="8.1637734839158611"/>
    <s v="10.01.2024"/>
    <n v="89.504201680672281"/>
    <n v="73.902500000000003"/>
    <n v="15.601701680672278"/>
    <n v="5.4361329897812816"/>
  </r>
  <r>
    <s v="C0318"/>
    <x v="0"/>
    <x v="2"/>
    <x v="2"/>
    <s v="24.04.2024"/>
    <n v="531"/>
    <n v="167.42"/>
    <n v="18.43"/>
    <n v="140.68907563025209"/>
    <n v="97.863299999999995"/>
    <n v="42.825775630252096"/>
    <n v="8.0651178211397543"/>
    <s v="24.04.2024"/>
    <n v="57.310924369747902"/>
    <n v="44.4938"/>
    <n v="12.817124369747901"/>
    <n v="8.1637734839158611"/>
  </r>
  <r>
    <s v="C0319"/>
    <x v="0"/>
    <x v="1"/>
    <x v="2"/>
    <s v="18.03.2024"/>
    <n v="116"/>
    <n v="53.43"/>
    <n v="28.28"/>
    <n v="44.899159663865547"/>
    <n v="32.8048"/>
    <n v="12.094359663865546"/>
    <n v="10.426172124022024"/>
    <s v="18.03.2024"/>
    <n v="140.68907563025209"/>
    <n v="97.863299999999995"/>
    <n v="42.825775630252096"/>
    <n v="8.0651178211397543"/>
  </r>
  <r>
    <s v="C0320"/>
    <x v="0"/>
    <x v="1"/>
    <x v="0"/>
    <s v="01.06.2024"/>
    <n v="118"/>
    <n v="52.25"/>
    <n v="30.84"/>
    <n v="43.907563025210088"/>
    <n v="36.391199999999998"/>
    <n v="7.5163630252100901"/>
    <n v="6.3697991739068565"/>
    <s v="01.06.2024"/>
    <n v="44.899159663865547"/>
    <n v="32.8048"/>
    <n v="12.094359663865546"/>
    <n v="10.426172124022024"/>
  </r>
  <r>
    <s v="C0321"/>
    <x v="0"/>
    <x v="2"/>
    <x v="2"/>
    <s v="2024-02-06"/>
    <n v="565"/>
    <n v="187.55"/>
    <n v="17.649999999999999"/>
    <n v="157.60504201680675"/>
    <n v="99.722499999999997"/>
    <n v="57.882542016806752"/>
    <n v="10.24469770208969"/>
    <s v="2024-02"/>
    <n v="43.907563025210088"/>
    <n v="36.391199999999998"/>
    <n v="7.5163630252100901"/>
    <n v="6.3697991739068565"/>
  </r>
  <r>
    <s v="C0322"/>
    <x v="1"/>
    <x v="2"/>
    <x v="1"/>
    <s v="13.01.2025"/>
    <n v="334"/>
    <n v="124.49"/>
    <n v="18.850000000000001"/>
    <n v="104.61344537815125"/>
    <n v="62.959000000000003"/>
    <n v="41.654445378151252"/>
    <n v="12.471390831781811"/>
    <s v="13.01.2025"/>
    <n v="157.60504201680675"/>
    <n v="99.722499999999997"/>
    <n v="57.882542016806752"/>
    <n v="10.24469770208969"/>
  </r>
  <r>
    <s v="C0323"/>
    <x v="1"/>
    <x v="2"/>
    <x v="1"/>
    <s v="31.05.2024"/>
    <n v="540"/>
    <n v="183.38"/>
    <n v="17.84"/>
    <n v="154.10084033613447"/>
    <n v="96.335999999999999"/>
    <n v="57.764840336134469"/>
    <n v="10.697192654839718"/>
    <s v="31.05.2024"/>
    <n v="104.61344537815125"/>
    <n v="62.959000000000003"/>
    <n v="41.654445378151252"/>
    <n v="12.471390831781811"/>
  </r>
  <r>
    <s v="C0324"/>
    <x v="0"/>
    <x v="2"/>
    <x v="0"/>
    <s v="16.03.2025"/>
    <n v="452"/>
    <n v="151.26"/>
    <n v="17"/>
    <n v="127.10924369747899"/>
    <n v="76.84"/>
    <n v="50.269243697478984"/>
    <n v="11.121514092362608"/>
    <s v="16.03.2025"/>
    <n v="154.10084033613447"/>
    <n v="96.335999999999999"/>
    <n v="57.764840336134469"/>
    <n v="10.697192654839718"/>
  </r>
  <r>
    <s v="C0325"/>
    <x v="1"/>
    <x v="0"/>
    <x v="0"/>
    <s v="10.05.2024"/>
    <n v="299"/>
    <n v="118.51"/>
    <n v="22.67"/>
    <n v="99.588235294117652"/>
    <n v="67.783300000000011"/>
    <n v="31.804935294117641"/>
    <n v="10.637102105056067"/>
    <s v="10.05.2024"/>
    <n v="127.10924369747899"/>
    <n v="76.84"/>
    <n v="50.269243697478984"/>
    <n v="11.121514092362608"/>
  </r>
  <r>
    <s v="C0326"/>
    <x v="1"/>
    <x v="0"/>
    <x v="0"/>
    <s v="12.02.2024"/>
    <n v="182"/>
    <n v="77.209999999999994"/>
    <n v="22.59"/>
    <n v="64.882352941176464"/>
    <n v="41.113799999999998"/>
    <n v="23.768552941176466"/>
    <n v="13.059644473173881"/>
    <s v="12.02.2024"/>
    <n v="99.588235294117652"/>
    <n v="67.783300000000011"/>
    <n v="31.804935294117641"/>
    <n v="10.637102105056067"/>
  </r>
  <r>
    <s v="C0327"/>
    <x v="1"/>
    <x v="1"/>
    <x v="0"/>
    <s v="11.11.2024"/>
    <n v="132"/>
    <n v="56.35"/>
    <n v="31.89"/>
    <n v="47.352941176470594"/>
    <n v="42.094800000000006"/>
    <n v="5.2581411764705877"/>
    <n v="3.9834402852049906"/>
    <s v="11.11.2024"/>
    <n v="64.882352941176464"/>
    <n v="41.113799999999998"/>
    <n v="23.768552941176466"/>
    <n v="13.059644473173881"/>
  </r>
  <r>
    <s v="C0328"/>
    <x v="1"/>
    <x v="0"/>
    <x v="0"/>
    <s v="08.01.2025"/>
    <n v="247"/>
    <n v="98.67"/>
    <n v="25.04"/>
    <n v="82.915966386554629"/>
    <n v="61.848800000000004"/>
    <n v="21.067166386554625"/>
    <n v="8.5292171605484324"/>
    <s v="08.01.2025"/>
    <n v="47.352941176470594"/>
    <n v="42.094800000000006"/>
    <n v="5.2581411764705877"/>
    <n v="3.9834402852049906"/>
  </r>
  <r>
    <s v="C0329"/>
    <x v="0"/>
    <x v="0"/>
    <x v="0"/>
    <s v="10.02.2024"/>
    <n v="274"/>
    <n v="98.28"/>
    <n v="25.87"/>
    <n v="82.588235294117652"/>
    <n v="70.883800000000008"/>
    <n v="11.704435294117644"/>
    <n v="4.2716917131816219"/>
    <s v="10.02.2024"/>
    <n v="82.915966386554629"/>
    <n v="61.848800000000004"/>
    <n v="21.067166386554625"/>
    <n v="8.5292171605484324"/>
  </r>
  <r>
    <s v="C0330"/>
    <x v="0"/>
    <x v="1"/>
    <x v="0"/>
    <s v="01.01.2025"/>
    <n v="88"/>
    <n v="45.6"/>
    <n v="29.76"/>
    <n v="38.319327731092443"/>
    <n v="26.188800000000001"/>
    <n v="12.130527731092442"/>
    <n v="13.784690603514138"/>
    <s v="01.01.2025"/>
    <n v="82.588235294117652"/>
    <n v="70.883800000000008"/>
    <n v="11.704435294117644"/>
    <n v="4.2716917131816219"/>
  </r>
  <r>
    <s v="C0331"/>
    <x v="0"/>
    <x v="0"/>
    <x v="1"/>
    <s v="03.08.2024"/>
    <n v="263"/>
    <n v="97.85"/>
    <n v="23.11"/>
    <n v="82.226890756302524"/>
    <n v="60.779300000000006"/>
    <n v="21.447590756302517"/>
    <n v="8.1549774738792831"/>
    <s v="03.08.2024"/>
    <n v="38.319327731092443"/>
    <n v="26.188800000000001"/>
    <n v="12.130527731092442"/>
    <n v="13.784690603514138"/>
  </r>
  <r>
    <s v="C0332"/>
    <x v="1"/>
    <x v="0"/>
    <x v="0"/>
    <s v="12.09.2024"/>
    <n v="260"/>
    <n v="96.81"/>
    <n v="25.19"/>
    <n v="81.352941176470594"/>
    <n v="65.494"/>
    <n v="15.858941176470594"/>
    <n v="6.0995927601809976"/>
    <s v="12.09.2024"/>
    <n v="82.226890756302524"/>
    <n v="60.779300000000006"/>
    <n v="21.447590756302517"/>
    <n v="8.1549774738792831"/>
  </r>
  <r>
    <s v="C0333"/>
    <x v="0"/>
    <x v="1"/>
    <x v="0"/>
    <s v="15.04.2024"/>
    <n v="130"/>
    <n v="55.39"/>
    <n v="29.31"/>
    <n v="46.54621848739496"/>
    <n v="38.102999999999994"/>
    <n v="8.4432184873949652"/>
    <n v="6.4947834518422818"/>
    <s v="15.04.2024"/>
    <n v="81.352941176470594"/>
    <n v="65.494"/>
    <n v="15.858941176470594"/>
    <n v="6.0995927601809976"/>
  </r>
  <r>
    <s v="C0334"/>
    <x v="0"/>
    <x v="1"/>
    <x v="2"/>
    <s v="28.12.2024"/>
    <n v="134"/>
    <n v="57.21"/>
    <n v="29.2"/>
    <n v="48.075630252100844"/>
    <n v="39.128"/>
    <n v="8.9476302521008435"/>
    <n v="6.6773360090304807"/>
    <s v="28.12.2024"/>
    <n v="46.54621848739496"/>
    <n v="38.102999999999994"/>
    <n v="8.4432184873949652"/>
    <n v="6.4947834518422818"/>
  </r>
  <r>
    <s v="C0335"/>
    <x v="0"/>
    <x v="0"/>
    <x v="2"/>
    <s v="20.02.2025"/>
    <n v="279"/>
    <n v="105.97"/>
    <n v="22.93"/>
    <n v="89.050420168067234"/>
    <n v="63.974700000000006"/>
    <n v="25.075720168067228"/>
    <n v="8.9877133218878953"/>
    <s v="20.02.2025"/>
    <n v="48.075630252100844"/>
    <n v="39.128"/>
    <n v="8.9476302521008435"/>
    <n v="6.6773360090304807"/>
  </r>
  <r>
    <s v="C0336"/>
    <x v="0"/>
    <x v="1"/>
    <x v="1"/>
    <s v="07.06.2024"/>
    <n v="151"/>
    <n v="61.78"/>
    <n v="30.52"/>
    <n v="51.915966386554622"/>
    <n v="46.085199999999993"/>
    <n v="5.8307663865546289"/>
    <n v="3.8614346930825354"/>
    <s v="07.06.2024"/>
    <n v="89.050420168067234"/>
    <n v="63.974700000000006"/>
    <n v="25.075720168067228"/>
    <n v="8.9877133218878953"/>
  </r>
  <r>
    <s v="C0337"/>
    <x v="1"/>
    <x v="2"/>
    <x v="2"/>
    <s v="30.08.2024"/>
    <n v="0"/>
    <n v="147.32"/>
    <n v="19.28"/>
    <n v="123.79831932773109"/>
    <n v="0"/>
    <n v="123.79831932773109"/>
    <s v=""/>
    <s v="30.08.2024"/>
    <n v="51.915966386554622"/>
    <n v="46.085199999999993"/>
    <n v="5.8307663865546289"/>
    <n v="3.8614346930825354"/>
  </r>
  <r>
    <s v="C0338"/>
    <x v="1"/>
    <x v="0"/>
    <x v="0"/>
    <s v="15.06.2024"/>
    <n v="304"/>
    <n v="117.38"/>
    <n v="25.42"/>
    <n v="98.638655462184872"/>
    <n v="77.276800000000009"/>
    <n v="21.361855462184863"/>
    <n v="7.0269261388765987"/>
    <s v="15.06.2024"/>
    <n v="123.79831932773109"/>
    <n v="0"/>
    <n v="123.79831932773109"/>
    <s v=""/>
  </r>
  <r>
    <s v="C0339"/>
    <x v="0"/>
    <x v="0"/>
    <x v="2"/>
    <s v="30.06.2024"/>
    <n v="250"/>
    <n v="94.93"/>
    <n v="26.7"/>
    <n v="79.77310924369749"/>
    <n v="66.75"/>
    <n v="13.02310924369749"/>
    <n v="5.2092436974789962"/>
    <s v="30.06.2024"/>
    <n v="98.638655462184872"/>
    <n v="77.276800000000009"/>
    <n v="21.361855462184863"/>
    <n v="7.0269261388765987"/>
  </r>
  <r>
    <s v="C0340"/>
    <x v="0"/>
    <x v="0"/>
    <x v="0"/>
    <s v="26.02.2025"/>
    <n v="180"/>
    <n v="72.05"/>
    <n v="22.25"/>
    <n v="60.54621848739496"/>
    <n v="40.049999999999997"/>
    <n v="20.496218487394962"/>
    <n v="11.386788048552758"/>
    <s v="26.02.2025"/>
    <n v="79.77310924369749"/>
    <n v="66.75"/>
    <n v="13.02310924369749"/>
    <n v="5.2092436974789962"/>
  </r>
  <r>
    <s v="C0341"/>
    <x v="0"/>
    <x v="2"/>
    <x v="0"/>
    <s v="26.01.2024"/>
    <n v="353"/>
    <n v="120.64"/>
    <n v="17.55"/>
    <n v="101.37815126050421"/>
    <n v="61.951500000000003"/>
    <n v="39.426651260504208"/>
    <n v="11.169023019972864"/>
    <s v="26.01.2024"/>
    <n v="60.54621848739496"/>
    <n v="40.049999999999997"/>
    <n v="20.496218487394962"/>
    <n v="11.386788048552758"/>
  </r>
  <r>
    <s v="C0342"/>
    <x v="0"/>
    <x v="1"/>
    <x v="0"/>
    <s v="02.07.2024"/>
    <n v="111"/>
    <n v="47.33"/>
    <n v="31.24"/>
    <n v="39.773109243697476"/>
    <n v="34.676400000000001"/>
    <n v="5.0967092436974752"/>
    <n v="4.5916299492770047"/>
    <s v="02.07.2024"/>
    <n v="101.37815126050421"/>
    <n v="61.951500000000003"/>
    <n v="39.426651260504208"/>
    <n v="11.169023019972864"/>
  </r>
  <r>
    <s v="C0343"/>
    <x v="0"/>
    <x v="0"/>
    <x v="0"/>
    <s v="06.12.2024"/>
    <n v="297"/>
    <n v="114.75"/>
    <n v="22.59"/>
    <n v="96.428571428571431"/>
    <n v="67.092299999999994"/>
    <n v="29.336271428571436"/>
    <n v="9.8775324675324701"/>
    <s v="06.12.2024"/>
    <n v="39.773109243697476"/>
    <n v="34.676400000000001"/>
    <n v="5.0967092436974752"/>
    <n v="4.5916299492770047"/>
  </r>
  <r>
    <s v="C0344"/>
    <x v="0"/>
    <x v="0"/>
    <x v="0"/>
    <s v="25.02.2025"/>
    <n v="284"/>
    <n v="111.29"/>
    <n v="23.37"/>
    <n v="93.52100840336135"/>
    <n v="66.370800000000003"/>
    <n v="27.150208403361347"/>
    <n v="9.5599325363948413"/>
    <s v="25.02.2025"/>
    <n v="96.428571428571431"/>
    <n v="67.092299999999994"/>
    <n v="29.336271428571436"/>
    <n v="9.8775324675324701"/>
  </r>
  <r>
    <s v="C0345"/>
    <x v="0"/>
    <x v="1"/>
    <x v="1"/>
    <s v="11.09.2024"/>
    <n v="149"/>
    <n v="64.3"/>
    <n v="31.46"/>
    <n v="54.033613445378151"/>
    <n v="46.875399999999999"/>
    <n v="7.1582134453781521"/>
    <n v="4.8041700975692301"/>
    <s v="11.09.2024"/>
    <n v="93.52100840336135"/>
    <n v="66.370800000000003"/>
    <n v="27.150208403361347"/>
    <n v="9.5599325363948413"/>
  </r>
  <r>
    <s v="C0346"/>
    <x v="1"/>
    <x v="2"/>
    <x v="1"/>
    <s v="30.09.2024"/>
    <n v="506"/>
    <n v="170.56"/>
    <n v="17.27"/>
    <n v="143.32773109243698"/>
    <n v="87.386199999999988"/>
    <n v="55.941531092436989"/>
    <n v="11.055638555817588"/>
    <s v="30.09.2024"/>
    <n v="54.033613445378151"/>
    <n v="46.875399999999999"/>
    <n v="7.1582134453781521"/>
    <n v="4.8041700975692301"/>
  </r>
  <r>
    <s v="C0347"/>
    <x v="1"/>
    <x v="2"/>
    <x v="1"/>
    <s v="12.06.2024"/>
    <n v="480"/>
    <n v="169.11"/>
    <n v="18.91"/>
    <n v="142.109243697479"/>
    <n v="90.767999999999986"/>
    <n v="51.341243697479015"/>
    <n v="10.696092436974796"/>
    <s v="12.06.2024"/>
    <n v="143.32773109243698"/>
    <n v="87.386199999999988"/>
    <n v="55.941531092436989"/>
    <n v="11.055638555817588"/>
  </r>
  <r>
    <s v="C0348"/>
    <x v="0"/>
    <x v="0"/>
    <x v="0"/>
    <s v="2024-04-20"/>
    <n v="192"/>
    <n v="77.98"/>
    <n v="23.94"/>
    <n v="65.529411764705884"/>
    <n v="45.964800000000004"/>
    <n v="19.56461176470588"/>
    <n v="10.189901960784313"/>
    <s v="2024-04"/>
    <n v="142.109243697479"/>
    <n v="90.767999999999986"/>
    <n v="51.341243697479015"/>
    <n v="10.696092436974796"/>
  </r>
  <r>
    <s v="C0349"/>
    <x v="0"/>
    <x v="2"/>
    <x v="2"/>
    <s v="26.01.2025"/>
    <n v="443"/>
    <n v="154.59"/>
    <n v="18.010000000000002"/>
    <n v="129.9075630252101"/>
    <n v="79.784300000000002"/>
    <n v="50.123263025210093"/>
    <n v="11.314506326232527"/>
    <s v="26.01.2025"/>
    <n v="65.529411764705884"/>
    <n v="45.964800000000004"/>
    <n v="19.56461176470588"/>
    <n v="10.189901960784313"/>
  </r>
  <r>
    <s v="C0350"/>
    <x v="1"/>
    <x v="2"/>
    <x v="1"/>
    <s v="2024-02-09"/>
    <n v="478"/>
    <n v="163.11000000000001"/>
    <n v="19.32"/>
    <n v="137.06722689075633"/>
    <n v="92.349600000000009"/>
    <n v="44.717626890756321"/>
    <n v="9.3551520691958832"/>
    <s v="2024-02"/>
    <n v="129.9075630252101"/>
    <n v="79.784300000000002"/>
    <n v="50.123263025210093"/>
    <n v="11.314506326232527"/>
  </r>
  <r>
    <s v="C0351"/>
    <x v="0"/>
    <x v="0"/>
    <x v="0"/>
    <s v="26.04.2025"/>
    <n v="182"/>
    <n v="73.38"/>
    <n v="25.22"/>
    <n v="61.663865546218489"/>
    <n v="45.900399999999998"/>
    <n v="15.763465546218491"/>
    <n v="8.6612448056145563"/>
    <s v="26.04.2025"/>
    <n v="137.06722689075633"/>
    <n v="92.349600000000009"/>
    <n v="44.717626890756321"/>
    <n v="9.3551520691958832"/>
  </r>
  <r>
    <s v="C0352"/>
    <x v="1"/>
    <x v="2"/>
    <x v="1"/>
    <s v="15.08.2024"/>
    <n v="407"/>
    <n v="140.19"/>
    <n v="17.190000000000001"/>
    <n v="117.80672268907563"/>
    <n v="69.963300000000004"/>
    <n v="47.843422689075624"/>
    <n v="11.755140709846589"/>
    <s v="15.08.2024"/>
    <n v="61.663865546218489"/>
    <n v="45.900399999999998"/>
    <n v="15.763465546218491"/>
    <n v="8.6612448056145563"/>
  </r>
  <r>
    <s v="C0353"/>
    <x v="1"/>
    <x v="0"/>
    <x v="0"/>
    <s v="23.07.2024"/>
    <n v="266"/>
    <n v="103.34"/>
    <n v="24.32"/>
    <n v="86.840336134453793"/>
    <n v="64.691199999999995"/>
    <n v="22.149136134453798"/>
    <n v="8.3267429076893986"/>
    <s v="23.07.2024"/>
    <n v="117.80672268907563"/>
    <n v="69.963300000000004"/>
    <n v="47.843422689075624"/>
    <n v="11.755140709846589"/>
  </r>
  <r>
    <s v="C0354"/>
    <x v="0"/>
    <x v="0"/>
    <x v="0"/>
    <s v="16.04.2025"/>
    <n v="289"/>
    <n v="114.18"/>
    <n v="24.02"/>
    <n v="95.94957983193278"/>
    <n v="69.4178"/>
    <n v="26.531779831932781"/>
    <n v="9.1805466546480208"/>
    <s v="16.04.2025"/>
    <n v="86.840336134453793"/>
    <n v="64.691199999999995"/>
    <n v="22.149136134453798"/>
    <n v="8.3267429076893986"/>
  </r>
  <r>
    <s v="C0355"/>
    <x v="0"/>
    <x v="0"/>
    <x v="2"/>
    <s v="24.12.2024"/>
    <n v="333"/>
    <n v="124.08"/>
    <n v="22.58"/>
    <n v="104.26890756302521"/>
    <n v="75.191399999999987"/>
    <n v="29.077507563025222"/>
    <n v="8.7319842531607268"/>
    <s v="24.12.2024"/>
    <n v="95.94957983193278"/>
    <n v="69.4178"/>
    <n v="26.531779831932781"/>
    <n v="9.1805466546480208"/>
  </r>
  <r>
    <s v="C0356"/>
    <x v="1"/>
    <x v="2"/>
    <x v="0"/>
    <s v="08.11.2024"/>
    <n v="645"/>
    <n v="216.71"/>
    <n v="19.62"/>
    <n v="182.109243697479"/>
    <n v="126.54900000000002"/>
    <n v="55.560243697478981"/>
    <n v="8.6139912709269737"/>
    <s v="08.11.2024"/>
    <n v="104.26890756302521"/>
    <n v="75.191399999999987"/>
    <n v="29.077507563025222"/>
    <n v="8.7319842531607268"/>
  </r>
  <r>
    <s v="C0357"/>
    <x v="0"/>
    <x v="1"/>
    <x v="0"/>
    <s v="21.08.2024"/>
    <n v="137"/>
    <n v="57.12"/>
    <n v="29.09"/>
    <n v="48"/>
    <n v="39.853299999999997"/>
    <n v="8.1467000000000027"/>
    <n v="5.9464963503649653"/>
    <s v="21.08.2024"/>
    <n v="182.109243697479"/>
    <n v="126.54900000000002"/>
    <n v="55.560243697478981"/>
    <n v="8.6139912709269737"/>
  </r>
  <r>
    <s v="C0358"/>
    <x v="1"/>
    <x v="2"/>
    <x v="2"/>
    <s v="16.08.2024"/>
    <n v="474"/>
    <n v="164.65"/>
    <n v="18.940000000000001"/>
    <n v="138.36134453781514"/>
    <n v="89.775600000000011"/>
    <n v="48.585744537815131"/>
    <n v="10.250157075488424"/>
    <s v="16.08.2024"/>
    <n v="48"/>
    <n v="39.853299999999997"/>
    <n v="8.1467000000000027"/>
    <n v="5.9464963503649653"/>
  </r>
  <r>
    <s v="C0359"/>
    <x v="1"/>
    <x v="2"/>
    <x v="1"/>
    <s v="25.01.2024"/>
    <n v="546"/>
    <n v="185.17"/>
    <n v="16.91"/>
    <n v="155.60504201680672"/>
    <n v="92.328600000000009"/>
    <n v="63.276442016806712"/>
    <n v="11.589091944470093"/>
    <s v="25.01.2024"/>
    <n v="138.36134453781514"/>
    <n v="89.775600000000011"/>
    <n v="48.585744537815131"/>
    <n v="10.250157075488424"/>
  </r>
  <r>
    <s v="C0360"/>
    <x v="1"/>
    <x v="1"/>
    <x v="0"/>
    <s v="16.07.2024"/>
    <n v="149"/>
    <n v="61.21"/>
    <n v="29.84"/>
    <n v="51.436974789915972"/>
    <n v="44.461599999999997"/>
    <n v="6.9753747899159748"/>
    <n v="4.6814595905476342"/>
    <s v="16.07.2024"/>
    <n v="155.60504201680672"/>
    <n v="92.328600000000009"/>
    <n v="63.276442016806712"/>
    <n v="11.589091944470093"/>
  </r>
  <r>
    <s v="C0361"/>
    <x v="0"/>
    <x v="2"/>
    <x v="0"/>
    <s v="12.02.2025"/>
    <n v="372"/>
    <n v="121.86"/>
    <n v="18.03"/>
    <n v="102.40336134453781"/>
    <n v="67.071600000000004"/>
    <n v="35.33176134453781"/>
    <n v="9.4977853076714531"/>
    <s v="12.02.2025"/>
    <n v="51.436974789915972"/>
    <n v="44.461599999999997"/>
    <n v="6.9753747899159748"/>
    <n v="4.6814595905476342"/>
  </r>
  <r>
    <s v="C0362"/>
    <x v="1"/>
    <x v="1"/>
    <x v="0"/>
    <s v="02.12.2024"/>
    <n v="117"/>
    <n v="51.36"/>
    <n v="31.29"/>
    <n v="43.159663865546221"/>
    <n v="36.609299999999998"/>
    <n v="6.550363865546224"/>
    <n v="5.5986015944839522"/>
    <s v="02.12.2024"/>
    <n v="102.40336134453781"/>
    <n v="67.071600000000004"/>
    <n v="35.33176134453781"/>
    <n v="9.4977853076714531"/>
  </r>
  <r>
    <s v="C0363"/>
    <x v="0"/>
    <x v="1"/>
    <x v="1"/>
    <s v="12.10.2024"/>
    <n v="154"/>
    <n v="66.400000000000006"/>
    <n v="28.23"/>
    <n v="55.7983193277311"/>
    <n v="43.474200000000003"/>
    <n v="12.324119327731097"/>
    <n v="8.0026748881370757"/>
    <s v="12.10.2024"/>
    <n v="43.159663865546221"/>
    <n v="36.609299999999998"/>
    <n v="6.550363865546224"/>
    <n v="5.5986015944839522"/>
  </r>
  <r>
    <s v="C0364"/>
    <x v="0"/>
    <x v="0"/>
    <x v="0"/>
    <s v="12.03.2024"/>
    <n v="231"/>
    <n v="88.81"/>
    <n v="23.67"/>
    <n v="74.630252100840337"/>
    <n v="54.677700000000002"/>
    <n v="19.952552100840336"/>
    <n v="8.6374684419222234"/>
    <s v="12.03.2024"/>
    <n v="55.7983193277311"/>
    <n v="43.474200000000003"/>
    <n v="12.324119327731097"/>
    <n v="8.0026748881370757"/>
  </r>
  <r>
    <s v="C0365"/>
    <x v="1"/>
    <x v="1"/>
    <x v="0"/>
    <s v="12.10.2024"/>
    <n v="131"/>
    <n v="54.93"/>
    <n v="29.83"/>
    <n v="46.159663865546221"/>
    <n v="39.077299999999994"/>
    <n v="7.0823638655462275"/>
    <n v="5.4063846301879597"/>
    <s v="12.10.2024"/>
    <n v="74.630252100840337"/>
    <n v="54.677700000000002"/>
    <n v="19.952552100840336"/>
    <n v="8.6374684419222234"/>
  </r>
  <r>
    <s v="C0366"/>
    <x v="0"/>
    <x v="2"/>
    <x v="2"/>
    <s v="2024-12-25"/>
    <n v="529"/>
    <n v="181.12"/>
    <n v="20.13"/>
    <n v="152.20168067226891"/>
    <n v="106.48769999999999"/>
    <n v="45.713980672268917"/>
    <n v="8.641584248065957"/>
    <s v="2024-12"/>
    <n v="46.159663865546221"/>
    <n v="39.077299999999994"/>
    <n v="7.0823638655462275"/>
    <n v="5.4063846301879597"/>
  </r>
  <r>
    <s v="C0367"/>
    <x v="1"/>
    <x v="2"/>
    <x v="0"/>
    <s v="05.06.2025"/>
    <n v="395"/>
    <n v="129.04"/>
    <n v="19.37"/>
    <n v="108.43697478991596"/>
    <n v="76.511500000000012"/>
    <n v="31.925474789915953"/>
    <n v="8.0823986809913801"/>
    <s v="05.06.2025"/>
    <n v="152.20168067226891"/>
    <n v="106.48769999999999"/>
    <n v="45.713980672268917"/>
    <n v="8.641584248065957"/>
  </r>
  <r>
    <s v="C0368"/>
    <x v="1"/>
    <x v="0"/>
    <x v="0"/>
    <s v="13.02.2025"/>
    <n v="227"/>
    <n v="86.7"/>
    <n v="24.67"/>
    <n v="72.857142857142861"/>
    <n v="56.000900000000001"/>
    <n v="16.85624285714286"/>
    <n v="7.4256576463184398"/>
    <s v="13.02.2025"/>
    <n v="108.43697478991596"/>
    <n v="76.511500000000012"/>
    <n v="31.925474789915953"/>
    <n v="8.0823986809913801"/>
  </r>
  <r>
    <s v="C0369"/>
    <x v="0"/>
    <x v="1"/>
    <x v="0"/>
    <s v="05.12.2024"/>
    <n v="111"/>
    <n v="48.15"/>
    <n v="31.11"/>
    <n v="40.462184873949582"/>
    <n v="34.5321"/>
    <n v="5.9300848739495819"/>
    <n v="5.3424188053599835"/>
    <s v="05.12.2024"/>
    <n v="72.857142857142861"/>
    <n v="56.000900000000001"/>
    <n v="16.85624285714286"/>
    <n v="7.4256576463184398"/>
  </r>
  <r>
    <s v="C0370"/>
    <x v="0"/>
    <x v="1"/>
    <x v="1"/>
    <s v="2024-01-29"/>
    <n v="85"/>
    <n v="42.13"/>
    <n v="31.45"/>
    <n v="35.403361344537821"/>
    <n v="26.732500000000002"/>
    <n v="8.6708613445378191"/>
    <n v="10.201013346515081"/>
    <s v="2024-01"/>
    <n v="40.462184873949582"/>
    <n v="34.5321"/>
    <n v="5.9300848739495819"/>
    <n v="5.3424188053599835"/>
  </r>
  <r>
    <s v="C0371"/>
    <x v="0"/>
    <x v="0"/>
    <x v="0"/>
    <s v="28.04.2024"/>
    <n v="171"/>
    <n v="66.709999999999994"/>
    <n v="23.26"/>
    <n v="56.058823529411761"/>
    <n v="39.774600000000007"/>
    <n v="16.284223529411754"/>
    <n v="9.5229377364981023"/>
    <s v="28.04.2024"/>
    <n v="35.403361344537821"/>
    <n v="26.732500000000002"/>
    <n v="8.6708613445378191"/>
    <n v="10.201013346515081"/>
  </r>
  <r>
    <s v="C0372"/>
    <x v="0"/>
    <x v="2"/>
    <x v="0"/>
    <s v="24.09.2024"/>
    <n v="611"/>
    <n v="198.72"/>
    <n v="19.190000000000001"/>
    <n v="166.99159663865547"/>
    <n v="117.2509"/>
    <n v="49.740696638655464"/>
    <n v="8.1408668803036761"/>
    <s v="24.09.2024"/>
    <n v="56.058823529411761"/>
    <n v="39.774600000000007"/>
    <n v="16.284223529411754"/>
    <n v="9.5229377364981023"/>
  </r>
  <r>
    <s v="C0373"/>
    <x v="0"/>
    <x v="0"/>
    <x v="2"/>
    <s v="01.07.2024"/>
    <n v="212"/>
    <n v="76.94"/>
    <n v="25.36"/>
    <n v="64.655462184873954"/>
    <n v="53.763199999999998"/>
    <n v="10.892262184873957"/>
    <n v="5.1378595211669609"/>
    <s v="01.07.2024"/>
    <n v="166.99159663865547"/>
    <n v="117.2509"/>
    <n v="49.740696638655464"/>
    <n v="8.1408668803036761"/>
  </r>
  <r>
    <s v="C0374"/>
    <x v="1"/>
    <x v="1"/>
    <x v="0"/>
    <s v="28.09.2024"/>
    <n v="126"/>
    <n v="53.63"/>
    <n v="31.96"/>
    <n v="45.067226890756309"/>
    <n v="40.269599999999997"/>
    <n v="4.7976268907563124"/>
    <n v="3.8076403894891371"/>
    <s v="28.09.2024"/>
    <n v="64.655462184873954"/>
    <n v="53.763199999999998"/>
    <n v="10.892262184873957"/>
    <n v="5.1378595211669609"/>
  </r>
  <r>
    <s v="C0375"/>
    <x v="0"/>
    <x v="0"/>
    <x v="0"/>
    <s v="09.02.2024"/>
    <n v="217"/>
    <n v="83.91"/>
    <n v="25.56"/>
    <n v="70.512605042016801"/>
    <n v="55.465199999999996"/>
    <n v="15.047405042016806"/>
    <n v="6.9342880377957634"/>
    <s v="09.02.2024"/>
    <n v="45.067226890756309"/>
    <n v="40.269599999999997"/>
    <n v="4.7976268907563124"/>
    <n v="3.8076403894891371"/>
  </r>
  <r>
    <s v="C0376"/>
    <x v="0"/>
    <x v="0"/>
    <x v="0"/>
    <s v="21.04.2024"/>
    <n v="323"/>
    <n v="120.91"/>
    <n v="23.49"/>
    <n v="101.60504201680672"/>
    <n v="75.872699999999995"/>
    <n v="25.732342016806726"/>
    <n v="7.9666693550485226"/>
    <s v="21.04.2024"/>
    <n v="70.512605042016801"/>
    <n v="55.465199999999996"/>
    <n v="15.047405042016806"/>
    <n v="6.9342880377957634"/>
  </r>
  <r>
    <s v="C0377"/>
    <x v="1"/>
    <x v="2"/>
    <x v="0"/>
    <s v="20.03.2025"/>
    <n v="420"/>
    <n v="144.31"/>
    <n v="17.48"/>
    <n v="121.26890756302522"/>
    <n v="73.415999999999997"/>
    <n v="47.852907563025227"/>
    <n v="11.393549419767911"/>
    <s v="20.03.2025"/>
    <n v="101.60504201680672"/>
    <n v="75.872699999999995"/>
    <n v="25.732342016806726"/>
    <n v="7.9666693550485226"/>
  </r>
  <r>
    <s v="C0378"/>
    <x v="0"/>
    <x v="1"/>
    <x v="0"/>
    <s v="19.12.2024"/>
    <n v="119"/>
    <n v="53.19"/>
    <n v="29.96"/>
    <n v="44.69747899159664"/>
    <n v="35.6524"/>
    <n v="9.0450789915966396"/>
    <n v="7.6009067156274286"/>
    <s v="19.12.2024"/>
    <n v="121.26890756302522"/>
    <n v="73.415999999999997"/>
    <n v="47.852907563025227"/>
    <n v="11.393549419767911"/>
  </r>
  <r>
    <s v="C0379"/>
    <x v="1"/>
    <x v="2"/>
    <x v="0"/>
    <s v="17.11.2024"/>
    <n v="624"/>
    <n v="201.14"/>
    <n v="20.21"/>
    <n v="169.0252100840336"/>
    <n v="126.11040000000001"/>
    <n v="42.91481008403359"/>
    <n v="6.8773734109028188"/>
    <s v="17.11.2024"/>
    <n v="44.69747899159664"/>
    <n v="35.6524"/>
    <n v="9.0450789915966396"/>
    <n v="7.6009067156274286"/>
  </r>
  <r>
    <s v="C0380"/>
    <x v="0"/>
    <x v="0"/>
    <x v="0"/>
    <s v="22.03.2025"/>
    <n v="307"/>
    <n v="116.16"/>
    <n v="23.97"/>
    <n v="97.613445378151269"/>
    <n v="73.587900000000005"/>
    <n v="24.025545378151264"/>
    <n v="7.8259105466290766"/>
    <s v="22.03.2025"/>
    <n v="169.0252100840336"/>
    <n v="126.11040000000001"/>
    <n v="42.91481008403359"/>
    <n v="6.8773734109028188"/>
  </r>
  <r>
    <s v="C0381"/>
    <x v="0"/>
    <x v="2"/>
    <x v="0"/>
    <s v="2025-06-07"/>
    <n v="395"/>
    <n v="127.48"/>
    <n v="18.920000000000002"/>
    <n v="107.12605042016807"/>
    <n v="74.734000000000009"/>
    <n v="32.392050420168061"/>
    <n v="8.2005190937134333"/>
    <s v="2025-06"/>
    <n v="97.613445378151269"/>
    <n v="73.587900000000005"/>
    <n v="24.025545378151264"/>
    <n v="7.8259105466290766"/>
  </r>
  <r>
    <s v="C0382"/>
    <x v="1"/>
    <x v="1"/>
    <x v="2"/>
    <s v="28.04.2024"/>
    <n v="150"/>
    <n v="0"/>
    <n v="29.35"/>
    <n v="0"/>
    <n v="44.024999999999999"/>
    <n v="-44.024999999999999"/>
    <n v="-29.349999999999998"/>
    <s v="28.04.2024"/>
    <n v="107.12605042016807"/>
    <n v="74.734000000000009"/>
    <n v="32.392050420168061"/>
    <n v="8.2005190937134333"/>
  </r>
  <r>
    <s v="C0383"/>
    <x v="1"/>
    <x v="0"/>
    <x v="2"/>
    <s v="29.01.2025"/>
    <n v="243"/>
    <n v="93.23"/>
    <n v="23.45"/>
    <n v="78.34453781512606"/>
    <n v="56.983499999999992"/>
    <n v="21.361037815126068"/>
    <n v="8.7905505412041425"/>
    <s v="29.01.2025"/>
    <n v="0"/>
    <n v="44.024999999999999"/>
    <n v="-44.024999999999999"/>
    <n v="-29.349999999999998"/>
  </r>
  <r>
    <s v="C0384"/>
    <x v="1"/>
    <x v="2"/>
    <x v="1"/>
    <s v="13.07.2024"/>
    <n v="494"/>
    <n v="171.02"/>
    <n v="20.8"/>
    <n v="143.71428571428572"/>
    <n v="102.75200000000001"/>
    <n v="40.962285714285713"/>
    <n v="8.291960670908038"/>
    <s v="13.07.2024"/>
    <n v="78.34453781512606"/>
    <n v="56.983499999999992"/>
    <n v="21.361037815126068"/>
    <n v="8.7905505412041425"/>
  </r>
  <r>
    <s v="C0385"/>
    <x v="1"/>
    <x v="1"/>
    <x v="2"/>
    <s v="17.09.2024"/>
    <n v="94"/>
    <n v="47.44"/>
    <n v="29.63"/>
    <n v="39.865546218487395"/>
    <n v="27.852199999999996"/>
    <n v="12.013346218487399"/>
    <n v="12.78015555158234"/>
    <s v="17.09.2024"/>
    <n v="143.71428571428572"/>
    <n v="102.75200000000001"/>
    <n v="40.962285714285713"/>
    <n v="8.291960670908038"/>
  </r>
  <r>
    <s v="C0386"/>
    <x v="1"/>
    <x v="2"/>
    <x v="0"/>
    <s v="15.02.2024"/>
    <n v="360"/>
    <n v="128.22999999999999"/>
    <n v="18.14"/>
    <n v="107.75630252100839"/>
    <n v="65.304000000000002"/>
    <n v="42.452302521008392"/>
    <n v="11.792306255835665"/>
    <s v="15.02.2024"/>
    <n v="39.865546218487395"/>
    <n v="27.852199999999996"/>
    <n v="12.013346218487399"/>
    <n v="12.78015555158234"/>
  </r>
  <r>
    <s v="C0387"/>
    <x v="0"/>
    <x v="0"/>
    <x v="2"/>
    <s v="2025-03-22"/>
    <n v="288"/>
    <n v="113.37"/>
    <n v="23.82"/>
    <n v="95.268907563025223"/>
    <n v="68.601600000000005"/>
    <n v="26.667307563025219"/>
    <n v="9.2594817927170894"/>
    <s v="2025-03"/>
    <n v="107.75630252100839"/>
    <n v="65.304000000000002"/>
    <n v="42.452302521008392"/>
    <n v="11.792306255835665"/>
  </r>
  <r>
    <s v="C0388"/>
    <x v="0"/>
    <x v="1"/>
    <x v="0"/>
    <s v="02.01.2024"/>
    <n v="125"/>
    <n v="53.02"/>
    <n v="31.05"/>
    <n v="44.554621848739501"/>
    <n v="38.8125"/>
    <n v="5.7421218487395009"/>
    <n v="4.5936974789916007"/>
    <s v="02.01.2024"/>
    <n v="95.268907563025223"/>
    <n v="68.601600000000005"/>
    <n v="26.667307563025219"/>
    <n v="9.2594817927170894"/>
  </r>
  <r>
    <s v="C0389"/>
    <x v="1"/>
    <x v="1"/>
    <x v="2"/>
    <s v="16.06.2025"/>
    <n v="120"/>
    <n v="54.28"/>
    <n v="28.5"/>
    <n v="45.613445378151262"/>
    <n v="34.200000000000003"/>
    <n v="11.413445378151259"/>
    <n v="9.511204481792717"/>
    <s v="16.06.2025"/>
    <n v="44.554621848739501"/>
    <n v="38.8125"/>
    <n v="5.7421218487395009"/>
    <n v="4.5936974789916007"/>
  </r>
  <r>
    <s v="C0390"/>
    <x v="1"/>
    <x v="0"/>
    <x v="2"/>
    <s v="20.07.2024"/>
    <n v="288"/>
    <n v="103.84"/>
    <n v="22.79"/>
    <n v="87.260504201680675"/>
    <n v="65.635199999999998"/>
    <n v="21.625304201680677"/>
    <n v="7.5087861811391239"/>
    <s v="20.07.2024"/>
    <n v="45.613445378151262"/>
    <n v="34.200000000000003"/>
    <n v="11.413445378151259"/>
    <n v="9.511204481792717"/>
  </r>
  <r>
    <s v="C0391"/>
    <x v="1"/>
    <x v="1"/>
    <x v="1"/>
    <s v="2025-01-07"/>
    <n v="147"/>
    <n v="61.16"/>
    <n v="31.81"/>
    <n v="51.394957983193279"/>
    <n v="46.7607"/>
    <n v="4.6342579831932795"/>
    <n v="3.1525564511518911"/>
    <s v="2025-01"/>
    <n v="87.260504201680675"/>
    <n v="65.635199999999998"/>
    <n v="21.625304201680677"/>
    <n v="7.5087861811391239"/>
  </r>
  <r>
    <s v="C0392"/>
    <x v="0"/>
    <x v="0"/>
    <x v="2"/>
    <s v="17.03.2025"/>
    <n v="193"/>
    <n v="77.569999999999993"/>
    <n v="22.7"/>
    <n v="65.184873949579824"/>
    <n v="43.810999999999993"/>
    <n v="21.373873949579831"/>
    <n v="11.074546087865198"/>
    <s v="17.03.2025"/>
    <n v="51.394957983193279"/>
    <n v="46.7607"/>
    <n v="4.6342579831932795"/>
    <n v="3.1525564511518911"/>
  </r>
  <r>
    <s v="C0393"/>
    <x v="0"/>
    <x v="1"/>
    <x v="1"/>
    <s v="12.03.2024"/>
    <n v="134"/>
    <n v="61.01"/>
    <n v="30.27"/>
    <n v="51.268907563025209"/>
    <n v="40.561799999999998"/>
    <n v="10.707107563025211"/>
    <n v="7.990378778377023"/>
    <s v="12.03.2024"/>
    <n v="65.184873949579824"/>
    <n v="43.810999999999993"/>
    <n v="21.373873949579831"/>
    <n v="11.074546087865198"/>
  </r>
  <r>
    <s v="C0394"/>
    <x v="1"/>
    <x v="0"/>
    <x v="0"/>
    <s v="04.12.2024"/>
    <n v="190"/>
    <n v="75.150000000000006"/>
    <n v="24.32"/>
    <n v="63.151260504201687"/>
    <n v="46.207999999999998"/>
    <n v="16.943260504201689"/>
    <n v="8.9175055285272045"/>
    <s v="04.12.2024"/>
    <n v="51.268907563025209"/>
    <n v="40.561799999999998"/>
    <n v="10.707107563025211"/>
    <n v="7.990378778377023"/>
  </r>
  <r>
    <s v="C0395"/>
    <x v="0"/>
    <x v="1"/>
    <x v="0"/>
    <s v="17.11.2024"/>
    <n v="146"/>
    <n v="64.11"/>
    <n v="29.96"/>
    <n v="53.873949579831937"/>
    <n v="43.741599999999998"/>
    <n v="10.132349579831939"/>
    <n v="6.9399654656383145"/>
    <s v="17.11.2024"/>
    <n v="63.151260504201687"/>
    <n v="46.207999999999998"/>
    <n v="16.943260504201689"/>
    <n v="8.9175055285272045"/>
  </r>
  <r>
    <s v="C0396"/>
    <x v="1"/>
    <x v="2"/>
    <x v="1"/>
    <s v="2024-05-07"/>
    <n v="552"/>
    <n v="194.29"/>
    <n v="19.72"/>
    <n v="163.26890756302521"/>
    <n v="108.85439999999998"/>
    <n v="54.414507563025225"/>
    <n v="9.8577006454755836"/>
    <s v="2024-05"/>
    <n v="53.873949579831937"/>
    <n v="43.741599999999998"/>
    <n v="10.132349579831939"/>
    <n v="6.9399654656383145"/>
  </r>
  <r>
    <s v="C0397"/>
    <x v="1"/>
    <x v="2"/>
    <x v="0"/>
    <s v="03.11.2024"/>
    <n v="652"/>
    <n v="214.06"/>
    <n v="17.649999999999999"/>
    <n v="179.88235294117649"/>
    <n v="115.07799999999999"/>
    <n v="64.804352941176504"/>
    <n v="9.9393179357632668"/>
    <s v="03.11.2024"/>
    <n v="163.26890756302521"/>
    <n v="108.85439999999998"/>
    <n v="54.414507563025225"/>
    <n v="9.8577006454755836"/>
  </r>
  <r>
    <s v="C0398"/>
    <x v="0"/>
    <x v="2"/>
    <x v="1"/>
    <s v="03.06.2025"/>
    <n v="356"/>
    <n v="114.6"/>
    <n v="19.260000000000002"/>
    <n v="96.30252100840336"/>
    <n v="68.565600000000003"/>
    <n v="27.736921008403357"/>
    <n v="7.7912699461807176"/>
    <s v="03.06.2025"/>
    <n v="179.88235294117649"/>
    <n v="115.07799999999999"/>
    <n v="64.804352941176504"/>
    <n v="9.9393179357632668"/>
  </r>
  <r>
    <s v="C0399"/>
    <x v="1"/>
    <x v="0"/>
    <x v="2"/>
    <s v="12.11.2024"/>
    <n v="176"/>
    <n v="69.150000000000006"/>
    <n v="23.49"/>
    <n v="58.109243697479002"/>
    <n v="41.342399999999998"/>
    <n v="16.766843697479004"/>
    <n v="9.5266157372039793"/>
    <s v="12.11.2024"/>
    <n v="96.30252100840336"/>
    <n v="68.565600000000003"/>
    <n v="27.736921008403357"/>
    <n v="7.7912699461807176"/>
  </r>
  <r>
    <s v="C0400"/>
    <x v="1"/>
    <x v="1"/>
    <x v="0"/>
    <s v="2025-02-22"/>
    <n v="107"/>
    <n v="46.9"/>
    <n v="30.65"/>
    <n v="39.411764705882355"/>
    <n v="32.795499999999997"/>
    <n v="6.616264705882358"/>
    <n v="6.1834249587685592"/>
    <s v="2025-02"/>
    <n v="58.109243697479002"/>
    <n v="41.342399999999998"/>
    <n v="16.766843697479004"/>
    <n v="9.5266157372039793"/>
  </r>
  <r>
    <s v="C0401"/>
    <x v="0"/>
    <x v="2"/>
    <x v="1"/>
    <s v="30.11.2024"/>
    <n v="420"/>
    <n v="135.38999999999999"/>
    <n v="17.21"/>
    <n v="113.77310924369748"/>
    <n v="72.282000000000011"/>
    <n v="41.491109243697466"/>
    <n v="9.8788355342136835"/>
    <s v="30.11.2024"/>
    <n v="39.411764705882355"/>
    <n v="32.795499999999997"/>
    <n v="6.616264705882358"/>
    <n v="6.1834249587685592"/>
  </r>
  <r>
    <s v="C0402"/>
    <x v="1"/>
    <x v="1"/>
    <x v="2"/>
    <s v="16.02.2025"/>
    <n v="104"/>
    <n v="50.67"/>
    <n v="30.28"/>
    <n v="42.579831932773111"/>
    <n v="31.491199999999999"/>
    <n v="11.088631932773112"/>
    <n v="10.662146089204914"/>
    <s v="16.02.2025"/>
    <n v="113.77310924369748"/>
    <n v="72.282000000000011"/>
    <n v="41.491109243697466"/>
    <n v="9.8788355342136835"/>
  </r>
  <r>
    <s v="C0403"/>
    <x v="0"/>
    <x v="1"/>
    <x v="2"/>
    <s v="29.10.2024"/>
    <n v="159"/>
    <n v="66.989999999999995"/>
    <n v="28.74"/>
    <n v="56.294117647058819"/>
    <n v="45.696599999999997"/>
    <n v="10.597517647058822"/>
    <n v="6.6651054384017749"/>
    <s v="29.10.2024"/>
    <n v="42.579831932773111"/>
    <n v="31.491199999999999"/>
    <n v="11.088631932773112"/>
    <n v="10.662146089204914"/>
  </r>
  <r>
    <s v="C0404"/>
    <x v="1"/>
    <x v="1"/>
    <x v="2"/>
    <s v="10.05.2024"/>
    <n v="104"/>
    <n v="48.91"/>
    <n v="29.11"/>
    <n v="41.100840336134453"/>
    <n v="30.2744"/>
    <n v="10.826440336134453"/>
    <n v="10.410038784744668"/>
    <s v="10.05.2024"/>
    <n v="56.294117647058819"/>
    <n v="45.696599999999997"/>
    <n v="10.597517647058822"/>
    <n v="6.6651054384017749"/>
  </r>
  <r>
    <s v="C0405"/>
    <x v="0"/>
    <x v="0"/>
    <x v="0"/>
    <s v="15.07.2024"/>
    <n v="212"/>
    <n v="88.55"/>
    <n v="22.87"/>
    <n v="74.411764705882348"/>
    <n v="48.484400000000008"/>
    <n v="25.92736470588234"/>
    <n v="12.229889012208652"/>
    <s v="15.07.2024"/>
    <n v="41.100840336134453"/>
    <n v="30.2744"/>
    <n v="10.826440336134453"/>
    <n v="10.410038784744668"/>
  </r>
  <r>
    <s v="C0406"/>
    <x v="1"/>
    <x v="2"/>
    <x v="2"/>
    <s v="06.03.2025"/>
    <n v="587"/>
    <n v="200.14"/>
    <n v="17.41"/>
    <n v="168.18487394957984"/>
    <n v="102.19670000000001"/>
    <n v="65.988173949579831"/>
    <n v="11.241596924971011"/>
    <s v="06.03.2025"/>
    <n v="74.411764705882348"/>
    <n v="48.484400000000008"/>
    <n v="25.92736470588234"/>
    <n v="12.229889012208652"/>
  </r>
  <r>
    <s v="C0407"/>
    <x v="0"/>
    <x v="0"/>
    <x v="1"/>
    <s v="23.01.2025"/>
    <n v="242"/>
    <n v="97.76"/>
    <n v="25.3"/>
    <n v="82.151260504201687"/>
    <n v="61.226000000000006"/>
    <n v="20.925260504201681"/>
    <n v="8.6468018612403643"/>
    <s v="23.01.2025"/>
    <n v="168.18487394957984"/>
    <n v="102.19670000000001"/>
    <n v="65.988173949579831"/>
    <n v="11.241596924971011"/>
  </r>
  <r>
    <s v="C0408"/>
    <x v="0"/>
    <x v="0"/>
    <x v="0"/>
    <s v="27.06.2024"/>
    <n v="296"/>
    <n v="106.42"/>
    <n v="25.14"/>
    <n v="89.428571428571431"/>
    <n v="74.414400000000001"/>
    <n v="15.01417142857143"/>
    <n v="5.0723552123552134"/>
    <s v="27.06.2024"/>
    <n v="82.151260504201687"/>
    <n v="61.226000000000006"/>
    <n v="20.925260504201681"/>
    <n v="8.6468018612403643"/>
  </r>
  <r>
    <s v="C0409"/>
    <x v="1"/>
    <x v="1"/>
    <x v="0"/>
    <s v="04.11.2024"/>
    <n v="88"/>
    <n v="44.36"/>
    <n v="31.71"/>
    <n v="37.27731092436975"/>
    <n v="27.904800000000002"/>
    <n v="9.3725109243697489"/>
    <n v="10.650580595874715"/>
    <s v="04.11.2024"/>
    <n v="89.428571428571431"/>
    <n v="74.414400000000001"/>
    <n v="15.01417142857143"/>
    <n v="5.0723552123552134"/>
  </r>
  <r>
    <s v="C0410"/>
    <x v="0"/>
    <x v="2"/>
    <x v="1"/>
    <s v="19.02.2025"/>
    <n v="496"/>
    <n v="164.72"/>
    <n v="21.35"/>
    <n v="138.42016806722688"/>
    <n v="105.896"/>
    <n v="32.524168067226881"/>
    <n v="6.5572919490376771"/>
    <s v="19.02.2025"/>
    <n v="37.27731092436975"/>
    <n v="27.904800000000002"/>
    <n v="9.3725109243697489"/>
    <n v="10.650580595874715"/>
  </r>
  <r>
    <s v="C0411"/>
    <x v="0"/>
    <x v="0"/>
    <x v="0"/>
    <s v="01.01.2024"/>
    <n v="173"/>
    <n v="68.930000000000007"/>
    <n v="24.29"/>
    <n v="57.924369747899171"/>
    <n v="42.021700000000003"/>
    <n v="15.902669747899168"/>
    <n v="9.1922946519648363"/>
    <s v="01.01.2024"/>
    <n v="138.42016806722688"/>
    <n v="105.896"/>
    <n v="32.524168067226881"/>
    <n v="6.5572919490376771"/>
  </r>
  <r>
    <s v="C0412"/>
    <x v="1"/>
    <x v="0"/>
    <x v="1"/>
    <s v="07.11.2024"/>
    <n v="177"/>
    <n v="67.59"/>
    <n v="22.57"/>
    <n v="56.7983193277311"/>
    <n v="39.948900000000002"/>
    <n v="16.849419327731098"/>
    <n v="9.5194459478706772"/>
    <s v="07.11.2024"/>
    <n v="57.924369747899171"/>
    <n v="42.021700000000003"/>
    <n v="15.902669747899168"/>
    <n v="9.1922946519648363"/>
  </r>
  <r>
    <s v="C0413"/>
    <x v="1"/>
    <x v="1"/>
    <x v="1"/>
    <s v="20.10.2024"/>
    <n v="159"/>
    <n v="67.88"/>
    <n v="29.5"/>
    <n v="57.042016806722685"/>
    <n v="46.905000000000001"/>
    <n v="10.137016806722684"/>
    <n v="6.3754822683790469"/>
    <s v="20.10.2024"/>
    <n v="56.7983193277311"/>
    <n v="39.948900000000002"/>
    <n v="16.849419327731098"/>
    <n v="9.5194459478706772"/>
  </r>
  <r>
    <s v="C0414"/>
    <x v="1"/>
    <x v="2"/>
    <x v="0"/>
    <s v="03.08.2024"/>
    <n v="380"/>
    <n v="134.72999999999999"/>
    <n v="20.49"/>
    <n v="113.21848739495798"/>
    <n v="77.861999999999995"/>
    <n v="35.356487394957981"/>
    <n v="9.304338788146838"/>
    <s v="03.08.2024"/>
    <n v="57.042016806722685"/>
    <n v="46.905000000000001"/>
    <n v="10.137016806722684"/>
    <n v="6.3754822683790469"/>
  </r>
  <r>
    <s v="C0415"/>
    <x v="1"/>
    <x v="0"/>
    <x v="1"/>
    <s v="16.03.2025"/>
    <n v="255"/>
    <n v="97.2"/>
    <n v="23.47"/>
    <n v="81.680672268907571"/>
    <n v="59.848499999999994"/>
    <n v="21.832172268907577"/>
    <n v="8.561636183885323"/>
    <s v="16.03.2025"/>
    <n v="113.21848739495798"/>
    <n v="77.861999999999995"/>
    <n v="35.356487394957981"/>
    <n v="9.304338788146838"/>
  </r>
  <r>
    <s v="C0416"/>
    <x v="0"/>
    <x v="1"/>
    <x v="1"/>
    <s v="2024-11-25"/>
    <n v="118"/>
    <n v="53.62"/>
    <n v="28.35"/>
    <n v="45.058823529411768"/>
    <n v="33.453000000000003"/>
    <n v="11.605823529411765"/>
    <n v="9.8354436689930207"/>
    <s v="2024-11"/>
    <n v="81.680672268907571"/>
    <n v="59.848499999999994"/>
    <n v="21.832172268907577"/>
    <n v="8.561636183885323"/>
  </r>
  <r>
    <s v="C0417"/>
    <x v="0"/>
    <x v="1"/>
    <x v="0"/>
    <s v="21.04.2025"/>
    <n v="112"/>
    <n v="50.69"/>
    <n v="30.23"/>
    <n v="42.596638655462186"/>
    <n v="33.857600000000005"/>
    <n v="8.7390386554621813"/>
    <n v="7.8027130852340907"/>
    <s v="21.04.2025"/>
    <n v="45.058823529411768"/>
    <n v="33.453000000000003"/>
    <n v="11.605823529411765"/>
    <n v="9.8354436689930207"/>
  </r>
  <r>
    <s v="C0418"/>
    <x v="0"/>
    <x v="0"/>
    <x v="0"/>
    <s v="28.03.2025"/>
    <n v="316"/>
    <n v="113.09"/>
    <n v="25.38"/>
    <n v="95.033613445378165"/>
    <n v="80.200800000000001"/>
    <n v="14.832813445378164"/>
    <n v="4.6939283054994192"/>
    <s v="28.03.2025"/>
    <n v="42.596638655462186"/>
    <n v="33.857600000000005"/>
    <n v="8.7390386554621813"/>
    <n v="7.8027130852340907"/>
  </r>
  <r>
    <s v="C0419"/>
    <x v="1"/>
    <x v="0"/>
    <x v="0"/>
    <s v="28.03.2025"/>
    <n v="171"/>
    <n v="67.47"/>
    <n v="25.18"/>
    <n v="56.69747899159664"/>
    <n v="43.0578"/>
    <n v="13.639678991596639"/>
    <n v="7.976420462922011"/>
    <s v="28.03.2025"/>
    <n v="95.033613445378165"/>
    <n v="80.200800000000001"/>
    <n v="14.832813445378164"/>
    <n v="4.6939283054994192"/>
  </r>
  <r>
    <s v="C0420"/>
    <x v="1"/>
    <x v="1"/>
    <x v="0"/>
    <s v="06.08.2024"/>
    <n v="139"/>
    <n v="56.92"/>
    <n v="28.7"/>
    <n v="47.831932773109244"/>
    <n v="39.893000000000001"/>
    <n v="7.9389327731092436"/>
    <n v="5.7114624266972971"/>
    <s v="06.08.2024"/>
    <n v="56.69747899159664"/>
    <n v="43.0578"/>
    <n v="13.639678991596639"/>
    <n v="7.976420462922011"/>
  </r>
  <r>
    <s v="C0421"/>
    <x v="1"/>
    <x v="2"/>
    <x v="2"/>
    <s v="07.06.2025"/>
    <n v="655"/>
    <n v="208.09"/>
    <n v="19.86"/>
    <n v="174.8655462184874"/>
    <n v="130.083"/>
    <n v="44.782546218487397"/>
    <n v="6.8370299570209765"/>
    <s v="07.06.2025"/>
    <n v="47.831932773109244"/>
    <n v="39.893000000000001"/>
    <n v="7.9389327731092436"/>
    <n v="5.7114624266972971"/>
  </r>
  <r>
    <s v="C0422"/>
    <x v="1"/>
    <x v="1"/>
    <x v="0"/>
    <s v="29.04.2025"/>
    <n v="130"/>
    <n v="59.57"/>
    <n v="28.88"/>
    <n v="50.058823529411768"/>
    <n v="37.544000000000004"/>
    <n v="12.514823529411764"/>
    <n v="9.6267873303167413"/>
    <s v="29.04.2025"/>
    <n v="174.8655462184874"/>
    <n v="130.083"/>
    <n v="44.782546218487397"/>
    <n v="6.8370299570209765"/>
  </r>
  <r>
    <s v="C0423"/>
    <x v="0"/>
    <x v="0"/>
    <x v="1"/>
    <s v="22.06.2024"/>
    <n v="322"/>
    <n v="0"/>
    <n v="22.87"/>
    <n v="0"/>
    <n v="73.641400000000004"/>
    <n v="-73.641400000000004"/>
    <n v="-22.87"/>
    <s v="22.06.2024"/>
    <n v="50.058823529411768"/>
    <n v="37.544000000000004"/>
    <n v="12.514823529411764"/>
    <n v="9.6267873303167413"/>
  </r>
  <r>
    <s v="C0424"/>
    <x v="0"/>
    <x v="2"/>
    <x v="0"/>
    <s v="27.03.2024"/>
    <n v="350"/>
    <n v="122.53"/>
    <n v="20.87"/>
    <n v="102.96638655462185"/>
    <n v="73.045000000000002"/>
    <n v="29.921386554621847"/>
    <n v="8.548967587034813"/>
    <s v="27.03.2024"/>
    <n v="0"/>
    <n v="73.641400000000004"/>
    <n v="-73.641400000000004"/>
    <n v="-22.87"/>
  </r>
  <r>
    <s v="C0425"/>
    <x v="0"/>
    <x v="0"/>
    <x v="0"/>
    <s v="17.10.2024"/>
    <n v="236"/>
    <n v="88.68"/>
    <n v="23"/>
    <n v="74.52100840336135"/>
    <n v="54.28"/>
    <n v="20.241008403361349"/>
    <n v="8.5766984760005709"/>
    <s v="17.10.2024"/>
    <n v="102.96638655462185"/>
    <n v="73.045000000000002"/>
    <n v="29.921386554621847"/>
    <n v="8.548967587034813"/>
  </r>
  <r>
    <s v="C0426"/>
    <x v="0"/>
    <x v="0"/>
    <x v="2"/>
    <s v="11.06.2025"/>
    <n v="210"/>
    <n v="79.03"/>
    <n v="23.05"/>
    <n v="66.411764705882362"/>
    <n v="48.405000000000001"/>
    <n v="18.006764705882361"/>
    <n v="8.57464985994398"/>
    <s v="11.06.2025"/>
    <n v="74.52100840336135"/>
    <n v="54.28"/>
    <n v="20.241008403361349"/>
    <n v="8.5766984760005709"/>
  </r>
  <r>
    <s v="C0427"/>
    <x v="0"/>
    <x v="0"/>
    <x v="1"/>
    <s v="09.12.2024"/>
    <n v="0"/>
    <n v="105.64"/>
    <n v="22"/>
    <n v="88.77310924369749"/>
    <n v="0"/>
    <n v="88.77310924369749"/>
    <s v=""/>
    <s v="09.12.2024"/>
    <n v="66.411764705882362"/>
    <n v="48.405000000000001"/>
    <n v="18.006764705882361"/>
    <n v="8.57464985994398"/>
  </r>
  <r>
    <s v="C0428"/>
    <x v="1"/>
    <x v="1"/>
    <x v="0"/>
    <s v="05.04.2024"/>
    <n v="165"/>
    <n v="69.41"/>
    <n v="31.48"/>
    <n v="58.327731092436977"/>
    <n v="51.942"/>
    <n v="6.385731092436977"/>
    <n v="3.87014005602241"/>
    <s v="05.04.2024"/>
    <n v="88.77310924369749"/>
    <n v="0"/>
    <n v="88.77310924369749"/>
    <s v=""/>
  </r>
  <r>
    <s v="C0429"/>
    <x v="0"/>
    <x v="2"/>
    <x v="0"/>
    <s v="28.08.2024"/>
    <n v="419"/>
    <n v="135.01"/>
    <n v="20.46"/>
    <n v="113.45378151260503"/>
    <n v="85.727400000000003"/>
    <n v="27.72638151260503"/>
    <n v="6.6172748240107468"/>
    <s v="28.08.2024"/>
    <n v="58.327731092436977"/>
    <n v="51.942"/>
    <n v="6.385731092436977"/>
    <n v="3.87014005602241"/>
  </r>
  <r>
    <s v="C0430"/>
    <x v="0"/>
    <x v="0"/>
    <x v="0"/>
    <s v="13.11.2024"/>
    <n v="276"/>
    <n v="107.11"/>
    <n v="24.51"/>
    <n v="90.008403361344548"/>
    <n v="67.647599999999997"/>
    <n v="22.360803361344551"/>
    <n v="8.1017403483132444"/>
    <s v="13.11.2024"/>
    <n v="113.45378151260503"/>
    <n v="85.727400000000003"/>
    <n v="27.72638151260503"/>
    <n v="6.6172748240107468"/>
  </r>
  <r>
    <s v="C0431"/>
    <x v="0"/>
    <x v="2"/>
    <x v="0"/>
    <s v="18.08.2024"/>
    <n v="399"/>
    <n v="138.72"/>
    <n v="20.25"/>
    <n v="116.57142857142857"/>
    <n v="80.797499999999999"/>
    <n v="35.77392857142857"/>
    <n v="8.9658968850698173"/>
    <s v="18.08.2024"/>
    <n v="90.008403361344548"/>
    <n v="67.647599999999997"/>
    <n v="22.360803361344551"/>
    <n v="8.1017403483132444"/>
  </r>
  <r>
    <s v="C0432"/>
    <x v="1"/>
    <x v="1"/>
    <x v="1"/>
    <s v="22.07.2024"/>
    <n v="130"/>
    <n v="57.55"/>
    <n v="28.61"/>
    <n v="48.361344537815128"/>
    <n v="37.192999999999998"/>
    <n v="11.16834453781513"/>
    <n v="8.5910342598577927"/>
    <s v="22.07.2024"/>
    <n v="116.57142857142857"/>
    <n v="80.797499999999999"/>
    <n v="35.77392857142857"/>
    <n v="8.9658968850698173"/>
  </r>
  <r>
    <s v="C0433"/>
    <x v="1"/>
    <x v="1"/>
    <x v="0"/>
    <s v="2024-05-30"/>
    <n v="122"/>
    <n v="55.58"/>
    <n v="29.83"/>
    <n v="46.705882352941174"/>
    <n v="36.392599999999995"/>
    <n v="10.313282352941179"/>
    <n v="8.4535101253616229"/>
    <s v="2024-05"/>
    <n v="48.361344537815128"/>
    <n v="37.192999999999998"/>
    <n v="11.16834453781513"/>
    <n v="8.5910342598577927"/>
  </r>
  <r>
    <s v="C0434"/>
    <x v="0"/>
    <x v="1"/>
    <x v="0"/>
    <s v="26.01.2024"/>
    <n v="165"/>
    <n v="71.739999999999995"/>
    <n v="29.4"/>
    <n v="60.285714285714285"/>
    <n v="48.51"/>
    <n v="11.775714285714287"/>
    <n v="7.1367965367965374"/>
    <s v="26.01.2024"/>
    <n v="46.705882352941174"/>
    <n v="36.392599999999995"/>
    <n v="10.313282352941179"/>
    <n v="8.4535101253616229"/>
  </r>
  <r>
    <s v="C0435"/>
    <x v="0"/>
    <x v="0"/>
    <x v="0"/>
    <s v="17.02.2024"/>
    <n v="268"/>
    <n v="97.14"/>
    <n v="22.38"/>
    <n v="81.630252100840337"/>
    <n v="59.978400000000001"/>
    <n v="21.651852100840337"/>
    <n v="8.079049291358336"/>
    <s v="17.02.2024"/>
    <n v="60.285714285714285"/>
    <n v="48.51"/>
    <n v="11.775714285714287"/>
    <n v="7.1367965367965374"/>
  </r>
  <r>
    <s v="C0436"/>
    <x v="1"/>
    <x v="0"/>
    <x v="2"/>
    <s v="07.09.2024"/>
    <n v="225"/>
    <n v="84.1"/>
    <n v="23.94"/>
    <n v="70.672268907563023"/>
    <n v="53.865000000000002"/>
    <n v="16.807268907563021"/>
    <n v="7.4698972922502316"/>
    <s v="07.09.2024"/>
    <n v="81.630252100840337"/>
    <n v="59.978400000000001"/>
    <n v="21.651852100840337"/>
    <n v="8.079049291358336"/>
  </r>
  <r>
    <s v="C0437"/>
    <x v="0"/>
    <x v="2"/>
    <x v="2"/>
    <s v="01.05.2025"/>
    <n v="371"/>
    <n v="125.65"/>
    <n v="23.1"/>
    <n v="105.58823529411765"/>
    <n v="85.701000000000008"/>
    <n v="19.887235294117644"/>
    <n v="5.3604407800856189"/>
    <s v="01.05.2025"/>
    <n v="70.672268907563023"/>
    <n v="53.865000000000002"/>
    <n v="16.807268907563021"/>
    <n v="7.4698972922502316"/>
  </r>
  <r>
    <s v="C0438"/>
    <x v="1"/>
    <x v="0"/>
    <x v="0"/>
    <s v="2024-03-15"/>
    <n v="192"/>
    <n v="79.77"/>
    <n v="22.16"/>
    <n v="67.033613445378151"/>
    <n v="42.547200000000004"/>
    <n v="24.486413445378147"/>
    <n v="12.753340336134453"/>
    <s v="2024-03"/>
    <n v="105.58823529411765"/>
    <n v="85.701000000000008"/>
    <n v="19.887235294117644"/>
    <n v="5.3604407800856189"/>
  </r>
  <r>
    <s v="C0439"/>
    <x v="1"/>
    <x v="2"/>
    <x v="1"/>
    <s v="11.04.2025"/>
    <n v="408"/>
    <n v="145.65"/>
    <n v="17.96"/>
    <n v="122.39495798319329"/>
    <n v="73.276800000000009"/>
    <n v="49.118157983193285"/>
    <n v="12.038764211566981"/>
    <s v="11.04.2025"/>
    <n v="67.033613445378151"/>
    <n v="42.547200000000004"/>
    <n v="24.486413445378147"/>
    <n v="12.753340336134453"/>
  </r>
  <r>
    <s v="C0440"/>
    <x v="0"/>
    <x v="1"/>
    <x v="0"/>
    <s v="28.02.2025"/>
    <n v="104"/>
    <n v="46.85"/>
    <n v="28.83"/>
    <n v="39.36974789915967"/>
    <n v="29.983199999999997"/>
    <n v="9.3865478991596731"/>
    <n v="9.025526826115069"/>
    <s v="28.02.2025"/>
    <n v="122.39495798319329"/>
    <n v="73.276800000000009"/>
    <n v="49.118157983193285"/>
    <n v="12.038764211566981"/>
  </r>
  <r>
    <s v="C0441"/>
    <x v="0"/>
    <x v="2"/>
    <x v="0"/>
    <s v="18.07.2024"/>
    <n v="617"/>
    <n v="213.34"/>
    <n v="17.690000000000001"/>
    <n v="179.27731092436977"/>
    <n v="109.14730000000002"/>
    <n v="70.130010924369756"/>
    <n v="11.366290263269004"/>
    <s v="18.07.2024"/>
    <n v="39.36974789915967"/>
    <n v="29.983199999999997"/>
    <n v="9.3865478991596731"/>
    <n v="9.025526826115069"/>
  </r>
  <r>
    <s v="C0442"/>
    <x v="1"/>
    <x v="2"/>
    <x v="1"/>
    <s v="28.01.2025"/>
    <n v="520"/>
    <n v="181.76"/>
    <n v="21.04"/>
    <n v="152.73949579831933"/>
    <n v="109.40799999999999"/>
    <n v="43.331495798319338"/>
    <n v="8.3329799612152566"/>
    <s v="28.01.2025"/>
    <n v="179.27731092436977"/>
    <n v="109.14730000000002"/>
    <n v="70.130010924369756"/>
    <n v="11.366290263269004"/>
  </r>
  <r>
    <s v="C0443"/>
    <x v="0"/>
    <x v="2"/>
    <x v="2"/>
    <s v="21.05.2025"/>
    <n v="508"/>
    <n v="164.01"/>
    <n v="20.84"/>
    <n v="137.8235294117647"/>
    <n v="105.8672"/>
    <n v="31.956329411764699"/>
    <n v="6.2906160259379327"/>
    <s v="21.05.2025"/>
    <n v="152.73949579831933"/>
    <n v="109.40799999999999"/>
    <n v="43.331495798319338"/>
    <n v="8.3329799612152566"/>
  </r>
  <r>
    <s v="C0444"/>
    <x v="0"/>
    <x v="2"/>
    <x v="2"/>
    <s v="13.02.2025"/>
    <n v="371"/>
    <n v="127.41"/>
    <n v="18.829999999999998"/>
    <n v="107.0672268907563"/>
    <n v="69.85929999999999"/>
    <n v="37.207926890756312"/>
    <n v="10.029090806133777"/>
    <s v="13.02.2025"/>
    <n v="137.8235294117647"/>
    <n v="105.8672"/>
    <n v="31.956329411764699"/>
    <n v="6.2906160259379327"/>
  </r>
  <r>
    <s v="C0445"/>
    <x v="1"/>
    <x v="2"/>
    <x v="1"/>
    <s v="06.09.2024"/>
    <n v="620"/>
    <n v="206.55"/>
    <n v="20.3"/>
    <n v="173.57142857142858"/>
    <n v="125.86"/>
    <n v="47.711428571428584"/>
    <n v="7.6953917050691265"/>
    <s v="06.09.2024"/>
    <n v="107.0672268907563"/>
    <n v="69.85929999999999"/>
    <n v="37.207926890756312"/>
    <n v="10.029090806133777"/>
  </r>
  <r>
    <s v="C0446"/>
    <x v="1"/>
    <x v="0"/>
    <x v="0"/>
    <s v="31.05.2024"/>
    <n v="287"/>
    <n v="114.51"/>
    <n v="22.62"/>
    <n v="96.226890756302524"/>
    <n v="64.91940000000001"/>
    <n v="31.307490756302514"/>
    <n v="10.908533364565336"/>
    <s v="31.05.2024"/>
    <n v="173.57142857142858"/>
    <n v="125.86"/>
    <n v="47.711428571428584"/>
    <n v="7.6953917050691265"/>
  </r>
  <r>
    <s v="C0447"/>
    <x v="1"/>
    <x v="1"/>
    <x v="1"/>
    <s v="06.01.2024"/>
    <n v="89"/>
    <n v="43.44"/>
    <n v="29.95"/>
    <n v="36.504201680672267"/>
    <n v="26.655499999999996"/>
    <n v="9.8487016806722707"/>
    <n v="11.065956944575586"/>
    <s v="06.01.2024"/>
    <n v="96.226890756302524"/>
    <n v="64.91940000000001"/>
    <n v="31.307490756302514"/>
    <n v="10.908533364565336"/>
  </r>
  <r>
    <s v="C0448"/>
    <x v="1"/>
    <x v="1"/>
    <x v="0"/>
    <s v="19.04.2024"/>
    <n v="142"/>
    <n v="65.19"/>
    <n v="29.72"/>
    <n v="54.781512605042018"/>
    <n v="42.202399999999997"/>
    <n v="12.57911260504202"/>
    <n v="8.8585300035507188"/>
    <s v="19.04.2024"/>
    <n v="36.504201680672267"/>
    <n v="26.655499999999996"/>
    <n v="9.8487016806722707"/>
    <n v="11.065956944575586"/>
  </r>
  <r>
    <s v="C0449"/>
    <x v="0"/>
    <x v="2"/>
    <x v="1"/>
    <s v="11.03.2025"/>
    <n v="514"/>
    <n v="167.82"/>
    <n v="19.48"/>
    <n v="141.0252100840336"/>
    <n v="100.12719999999999"/>
    <n v="40.898010084033615"/>
    <n v="7.9568113003956453"/>
    <s v="11.03.2025"/>
    <n v="54.781512605042018"/>
    <n v="42.202399999999997"/>
    <n v="12.57911260504202"/>
    <n v="8.8585300035507188"/>
  </r>
  <r>
    <s v="C0450"/>
    <x v="0"/>
    <x v="0"/>
    <x v="0"/>
    <s v="12.08.2024"/>
    <n v="181"/>
    <n v="73.44"/>
    <n v="26"/>
    <n v="61.714285714285715"/>
    <n v="47.06"/>
    <n v="14.654285714285713"/>
    <n v="8.0962904498816091"/>
    <s v="12.08.2024"/>
    <n v="141.0252100840336"/>
    <n v="100.12719999999999"/>
    <n v="40.898010084033615"/>
    <n v="7.9568113003956453"/>
  </r>
  <r>
    <s v="C0451"/>
    <x v="1"/>
    <x v="2"/>
    <x v="1"/>
    <s v="29.06.2024"/>
    <n v="486"/>
    <n v="163.26"/>
    <n v="22.35"/>
    <n v="137.19327731092437"/>
    <n v="108.62100000000001"/>
    <n v="28.572277310924363"/>
    <n v="5.8790694055399921"/>
    <s v="29.06.2024"/>
    <n v="61.714285714285715"/>
    <n v="47.06"/>
    <n v="14.654285714285713"/>
    <n v="8.0962904498816091"/>
  </r>
  <r>
    <s v="C0452"/>
    <x v="1"/>
    <x v="0"/>
    <x v="0"/>
    <s v="14.06.2025"/>
    <n v="248"/>
    <n v="98.77"/>
    <n v="23.59"/>
    <n v="83"/>
    <n v="58.5032"/>
    <n v="24.4968"/>
    <n v="9.8777419354838703"/>
    <s v="14.06.2025"/>
    <n v="137.19327731092437"/>
    <n v="108.62100000000001"/>
    <n v="28.572277310924363"/>
    <n v="5.8790694055399921"/>
  </r>
  <r>
    <s v="C0453"/>
    <x v="0"/>
    <x v="1"/>
    <x v="0"/>
    <s v="20.04.2025"/>
    <n v="97"/>
    <n v="48.01"/>
    <n v="31.31"/>
    <n v="40.344537815126053"/>
    <n v="30.370699999999996"/>
    <n v="9.9738378151260569"/>
    <n v="10.282307025903153"/>
    <s v="20.04.2025"/>
    <n v="83"/>
    <n v="58.5032"/>
    <n v="24.4968"/>
    <n v="9.8777419354838703"/>
  </r>
  <r>
    <s v="C0454"/>
    <x v="1"/>
    <x v="1"/>
    <x v="2"/>
    <s v="21.02.2024"/>
    <n v="162"/>
    <n v="68.680000000000007"/>
    <n v="28.68"/>
    <n v="57.714285714285722"/>
    <n v="46.461599999999997"/>
    <n v="11.252685714285725"/>
    <n v="6.9461022927689662"/>
    <s v="21.02.2024"/>
    <n v="40.344537815126053"/>
    <n v="30.370699999999996"/>
    <n v="9.9738378151260569"/>
    <n v="10.282307025903153"/>
  </r>
  <r>
    <s v="C0455"/>
    <x v="0"/>
    <x v="0"/>
    <x v="0"/>
    <s v="12.09.2024"/>
    <n v="308"/>
    <n v="120.32"/>
    <n v="22.12"/>
    <n v="101.10924369747899"/>
    <n v="68.129599999999996"/>
    <n v="32.979643697478991"/>
    <n v="10.707676525155517"/>
    <s v="12.09.2024"/>
    <n v="57.714285714285722"/>
    <n v="46.461599999999997"/>
    <n v="11.252685714285725"/>
    <n v="6.9461022927689662"/>
  </r>
  <r>
    <s v="C0456"/>
    <x v="0"/>
    <x v="0"/>
    <x v="0"/>
    <s v="04.05.2024"/>
    <n v="278"/>
    <n v="100.1"/>
    <n v="22.82"/>
    <n v="84.117647058823522"/>
    <n v="63.439599999999999"/>
    <n v="20.678047058823523"/>
    <n v="7.4381464240372379"/>
    <s v="04.05.2024"/>
    <n v="101.10924369747899"/>
    <n v="68.129599999999996"/>
    <n v="32.979643697478991"/>
    <n v="10.707676525155517"/>
  </r>
  <r>
    <s v="C0457"/>
    <x v="0"/>
    <x v="1"/>
    <x v="0"/>
    <s v="12.04.2025"/>
    <n v="122"/>
    <n v="53.45"/>
    <n v="29.36"/>
    <n v="44.915966386554629"/>
    <n v="35.819200000000002"/>
    <n v="9.0967663865546271"/>
    <n v="7.4563658906185468"/>
    <s v="12.04.2025"/>
    <n v="84.117647058823522"/>
    <n v="63.439599999999999"/>
    <n v="20.678047058823523"/>
    <n v="7.4381464240372379"/>
  </r>
  <r>
    <s v="C0458"/>
    <x v="0"/>
    <x v="0"/>
    <x v="0"/>
    <s v="16.05.2024"/>
    <n v="235"/>
    <n v="87.55"/>
    <n v="24.04"/>
    <n v="73.571428571428569"/>
    <n v="56.494"/>
    <n v="17.07742857142857"/>
    <n v="7.2669908814589661"/>
    <s v="16.05.2024"/>
    <n v="44.915966386554629"/>
    <n v="35.819200000000002"/>
    <n v="9.0967663865546271"/>
    <n v="7.4563658906185468"/>
  </r>
  <r>
    <s v="C0459"/>
    <x v="0"/>
    <x v="1"/>
    <x v="0"/>
    <s v="20.04.2025"/>
    <n v="138"/>
    <n v="59.44"/>
    <n v="30.46"/>
    <n v="49.949579831932773"/>
    <n v="42.034800000000004"/>
    <n v="7.9147798319327691"/>
    <n v="5.7353477042991079"/>
    <s v="20.04.2025"/>
    <n v="73.571428571428569"/>
    <n v="56.494"/>
    <n v="17.07742857142857"/>
    <n v="7.2669908814589661"/>
  </r>
  <r>
    <s v="C0460"/>
    <x v="0"/>
    <x v="0"/>
    <x v="0"/>
    <s v="27.06.2025"/>
    <n v="258"/>
    <n v="0"/>
    <n v="25.64"/>
    <n v="0"/>
    <n v="66.151200000000003"/>
    <n v="-66.151200000000003"/>
    <n v="-25.64"/>
    <s v="27.06.2025"/>
    <n v="49.949579831932773"/>
    <n v="42.034800000000004"/>
    <n v="7.9147798319327691"/>
    <n v="5.7353477042991079"/>
  </r>
  <r>
    <s v="C0461"/>
    <x v="0"/>
    <x v="1"/>
    <x v="2"/>
    <s v="20.11.2024"/>
    <n v="88"/>
    <n v="41.15"/>
    <n v="30.04"/>
    <n v="34.579831932773111"/>
    <n v="26.435199999999998"/>
    <n v="8.1446319327731125"/>
    <n v="9.2552635599694462"/>
    <s v="20.11.2024"/>
    <n v="0"/>
    <n v="66.151200000000003"/>
    <n v="-66.151200000000003"/>
    <n v="-25.64"/>
  </r>
  <r>
    <s v="C0462"/>
    <x v="1"/>
    <x v="2"/>
    <x v="0"/>
    <s v="29.03.2025"/>
    <n v="504"/>
    <n v="172.82"/>
    <n v="19.010000000000002"/>
    <n v="145.22689075630251"/>
    <n v="95.810400000000016"/>
    <n v="49.416490756302494"/>
    <n v="9.8048592770441445"/>
    <s v="29.03.2025"/>
    <n v="34.579831932773111"/>
    <n v="26.435199999999998"/>
    <n v="8.1446319327731125"/>
    <n v="9.2552635599694462"/>
  </r>
  <r>
    <s v="C0463"/>
    <x v="1"/>
    <x v="1"/>
    <x v="2"/>
    <s v="2025-05-31"/>
    <n v="151"/>
    <n v="67.75"/>
    <n v="30.2"/>
    <n v="56.932773109243698"/>
    <n v="45.601999999999997"/>
    <n v="11.330773109243701"/>
    <n v="7.5038232511547687"/>
    <s v="2025-05"/>
    <n v="145.22689075630251"/>
    <n v="95.810400000000016"/>
    <n v="49.416490756302494"/>
    <n v="9.8048592770441445"/>
  </r>
  <r>
    <s v="C0464"/>
    <x v="1"/>
    <x v="0"/>
    <x v="1"/>
    <s v="12.03.2025"/>
    <n v="243"/>
    <n v="89.11"/>
    <n v="22.14"/>
    <n v="74.882352941176478"/>
    <n v="53.800200000000004"/>
    <n v="21.082152941176474"/>
    <n v="8.6757831033648038"/>
    <s v="12.03.2025"/>
    <n v="56.932773109243698"/>
    <n v="45.601999999999997"/>
    <n v="11.330773109243701"/>
    <n v="7.5038232511547687"/>
  </r>
  <r>
    <s v="C0465"/>
    <x v="1"/>
    <x v="1"/>
    <x v="0"/>
    <s v="01.04.2025"/>
    <n v="87"/>
    <n v="45.38"/>
    <n v="30.2"/>
    <n v="38.134453781512612"/>
    <n v="26.274000000000001"/>
    <n v="11.860453781512611"/>
    <n v="13.632705495991507"/>
    <s v="01.04.2025"/>
    <n v="74.882352941176478"/>
    <n v="53.800200000000004"/>
    <n v="21.082152941176474"/>
    <n v="8.6757831033648038"/>
  </r>
  <r>
    <s v="C0466"/>
    <x v="0"/>
    <x v="1"/>
    <x v="1"/>
    <s v="11.06.2024"/>
    <n v="149"/>
    <n v="63.72"/>
    <n v="31.75"/>
    <n v="53.54621848739496"/>
    <n v="47.307499999999997"/>
    <n v="6.2387184873949622"/>
    <n v="4.1870593875133979"/>
    <s v="11.06.2024"/>
    <n v="38.134453781512612"/>
    <n v="26.274000000000001"/>
    <n v="11.860453781512611"/>
    <n v="13.632705495991507"/>
  </r>
  <r>
    <s v="C0467"/>
    <x v="0"/>
    <x v="0"/>
    <x v="0"/>
    <s v="01.05.2025"/>
    <n v="200"/>
    <n v="75.05"/>
    <n v="27.36"/>
    <n v="63.067226890756302"/>
    <n v="54.72"/>
    <n v="8.3472268907563034"/>
    <n v="4.1736134453781517"/>
    <s v="01.05.2025"/>
    <n v="53.54621848739496"/>
    <n v="47.307499999999997"/>
    <n v="6.2387184873949622"/>
    <n v="4.1870593875133979"/>
  </r>
  <r>
    <s v="C0468"/>
    <x v="1"/>
    <x v="0"/>
    <x v="1"/>
    <s v="05.04.2025"/>
    <n v="210"/>
    <n v="80.400000000000006"/>
    <n v="22.64"/>
    <n v="67.563025210084035"/>
    <n v="47.544000000000004"/>
    <n v="20.019025210084031"/>
    <n v="9.5328691476590617"/>
    <s v="05.04.2025"/>
    <n v="63.067226890756302"/>
    <n v="54.72"/>
    <n v="8.3472268907563034"/>
    <n v="4.1736134453781517"/>
  </r>
  <r>
    <s v="C0469"/>
    <x v="0"/>
    <x v="0"/>
    <x v="0"/>
    <s v="22.09.2024"/>
    <n v="194"/>
    <n v="81.459999999999994"/>
    <n v="22.1"/>
    <n v="68.453781512605033"/>
    <n v="42.874000000000002"/>
    <n v="25.579781512605031"/>
    <n v="13.185454387940737"/>
    <s v="22.09.2024"/>
    <n v="67.563025210084035"/>
    <n v="47.544000000000004"/>
    <n v="20.019025210084031"/>
    <n v="9.5328691476590617"/>
  </r>
  <r>
    <s v="C0470"/>
    <x v="1"/>
    <x v="1"/>
    <x v="0"/>
    <s v="2024-09-10"/>
    <n v="111"/>
    <n v="51.33"/>
    <n v="29.8"/>
    <n v="43.134453781512605"/>
    <n v="33.078000000000003"/>
    <n v="10.056453781512602"/>
    <n v="9.0598682716329737"/>
    <s v="2024-09"/>
    <n v="68.453781512605033"/>
    <n v="42.874000000000002"/>
    <n v="25.579781512605031"/>
    <n v="13.185454387940737"/>
  </r>
  <r>
    <s v="C0471"/>
    <x v="0"/>
    <x v="0"/>
    <x v="2"/>
    <s v="10.10.2024"/>
    <n v="293"/>
    <n v="112.18"/>
    <n v="22.95"/>
    <n v="94.268907563025223"/>
    <n v="67.243499999999997"/>
    <n v="27.025407563025226"/>
    <n v="9.2236885880632169"/>
    <s v="10.10.2024"/>
    <n v="43.134453781512605"/>
    <n v="33.078000000000003"/>
    <n v="10.056453781512602"/>
    <n v="9.0598682716329737"/>
  </r>
  <r>
    <s v="C0472"/>
    <x v="1"/>
    <x v="2"/>
    <x v="2"/>
    <s v="17.06.2025"/>
    <n v="506"/>
    <n v="178.72"/>
    <n v="16.75"/>
    <n v="150.18487394957984"/>
    <n v="84.754999999999995"/>
    <n v="65.429873949579843"/>
    <n v="12.930805128375464"/>
    <s v="17.06.2025"/>
    <n v="94.268907563025223"/>
    <n v="67.243499999999997"/>
    <n v="27.025407563025226"/>
    <n v="9.2236885880632169"/>
  </r>
  <r>
    <s v="C0473"/>
    <x v="0"/>
    <x v="2"/>
    <x v="2"/>
    <s v="11.05.2025"/>
    <n v="401"/>
    <n v="130.93"/>
    <n v="22.12"/>
    <n v="110.02521008403363"/>
    <n v="88.701200000000014"/>
    <n v="21.324010084033617"/>
    <n v="5.3177082503824487"/>
    <s v="11.05.2025"/>
    <n v="150.18487394957984"/>
    <n v="84.754999999999995"/>
    <n v="65.429873949579843"/>
    <n v="12.930805128375464"/>
  </r>
  <r>
    <s v="C0474"/>
    <x v="1"/>
    <x v="1"/>
    <x v="0"/>
    <s v="01.09.2024"/>
    <n v="157"/>
    <n v="67.44"/>
    <n v="28.45"/>
    <n v="56.672268907563023"/>
    <n v="44.666499999999999"/>
    <n v="12.005768907563024"/>
    <n v="7.6469865653267659"/>
    <s v="01.09.2024"/>
    <n v="110.02521008403363"/>
    <n v="88.701200000000014"/>
    <n v="21.324010084033617"/>
    <n v="5.3177082503824487"/>
  </r>
  <r>
    <s v="C0475"/>
    <x v="0"/>
    <x v="0"/>
    <x v="1"/>
    <s v="08.10.2024"/>
    <n v="313"/>
    <n v="117.96"/>
    <n v="24.43"/>
    <n v="99.12605042016807"/>
    <n v="76.465900000000005"/>
    <n v="22.660150420168065"/>
    <n v="7.239664670980213"/>
    <s v="08.10.2024"/>
    <n v="56.672268907563023"/>
    <n v="44.666499999999999"/>
    <n v="12.005768907563024"/>
    <n v="7.6469865653267659"/>
  </r>
  <r>
    <s v="C0476"/>
    <x v="1"/>
    <x v="1"/>
    <x v="0"/>
    <s v="26.03.2025"/>
    <n v="156"/>
    <n v="65.31"/>
    <n v="29.12"/>
    <n v="54.882352941176478"/>
    <n v="45.427199999999999"/>
    <n v="9.455152941176479"/>
    <n v="6.0609954751131276"/>
    <s v="26.03.2025"/>
    <n v="99.12605042016807"/>
    <n v="76.465900000000005"/>
    <n v="22.660150420168065"/>
    <n v="7.239664670980213"/>
  </r>
  <r>
    <s v="C0477"/>
    <x v="0"/>
    <x v="1"/>
    <x v="0"/>
    <s v="2024-03-20"/>
    <n v="103"/>
    <n v="46.2"/>
    <n v="28.69"/>
    <n v="38.82352941176471"/>
    <n v="29.550700000000003"/>
    <n v="9.2728294117647074"/>
    <n v="9.002747001713308"/>
    <s v="2024-03"/>
    <n v="54.882352941176478"/>
    <n v="45.427199999999999"/>
    <n v="9.455152941176479"/>
    <n v="6.0609954751131276"/>
  </r>
  <r>
    <s v="C0478"/>
    <x v="1"/>
    <x v="2"/>
    <x v="0"/>
    <s v="19.10.2024"/>
    <n v="484"/>
    <n v="161.16"/>
    <n v="18.399999999999999"/>
    <n v="135.42857142857144"/>
    <n v="89.055999999999983"/>
    <n v="46.372571428571462"/>
    <n v="9.5811097992916245"/>
    <s v="19.10.2024"/>
    <n v="38.82352941176471"/>
    <n v="29.550700000000003"/>
    <n v="9.2728294117647074"/>
    <n v="9.002747001713308"/>
  </r>
  <r>
    <s v="C0479"/>
    <x v="1"/>
    <x v="1"/>
    <x v="1"/>
    <s v="28.08.2024"/>
    <n v="166"/>
    <n v="72.72"/>
    <n v="31.21"/>
    <n v="61.109243697478995"/>
    <n v="51.808600000000006"/>
    <n v="9.3006436974789892"/>
    <n v="5.6027974081198728"/>
    <s v="28.08.2024"/>
    <n v="135.42857142857144"/>
    <n v="89.055999999999983"/>
    <n v="46.372571428571462"/>
    <n v="9.5811097992916245"/>
  </r>
  <r>
    <s v="C0480"/>
    <x v="0"/>
    <x v="0"/>
    <x v="0"/>
    <s v="2024-10-05"/>
    <n v="295"/>
    <n v="110.32"/>
    <n v="23.57"/>
    <n v="92.705882352941174"/>
    <n v="69.531499999999994"/>
    <n v="23.17438235294118"/>
    <n v="7.855722831505485"/>
    <s v="2024-10"/>
    <n v="61.109243697478995"/>
    <n v="51.808600000000006"/>
    <n v="9.3006436974789892"/>
    <n v="5.6027974081198728"/>
  </r>
  <r>
    <s v="C0481"/>
    <x v="1"/>
    <x v="0"/>
    <x v="0"/>
    <s v="09.12.2024"/>
    <n v="172"/>
    <n v="70.3"/>
    <n v="25"/>
    <n v="59.075630252100844"/>
    <n v="43"/>
    <n v="16.075630252100844"/>
    <n v="9.346296658198165"/>
    <s v="09.12.2024"/>
    <n v="92.705882352941174"/>
    <n v="69.531499999999994"/>
    <n v="23.17438235294118"/>
    <n v="7.855722831505485"/>
  </r>
  <r>
    <s v="C0482"/>
    <x v="1"/>
    <x v="0"/>
    <x v="2"/>
    <s v="23.11.2024"/>
    <n v="-15"/>
    <n v="71.959999999999994"/>
    <n v="22.5"/>
    <n v="60.470588235294116"/>
    <n v="-3.375"/>
    <n v="63.845588235294116"/>
    <n v="-425.63725490196072"/>
    <s v="23.11.2024"/>
    <n v="59.075630252100844"/>
    <n v="43"/>
    <n v="16.075630252100844"/>
    <n v="9.346296658198165"/>
  </r>
  <r>
    <s v="C0483"/>
    <x v="0"/>
    <x v="0"/>
    <x v="0"/>
    <s v="23.03.2024"/>
    <n v="244"/>
    <n v="92.14"/>
    <n v="25.09"/>
    <n v="77.428571428571431"/>
    <n v="61.2196"/>
    <n v="16.208971428571431"/>
    <n v="6.6430210772833735"/>
    <s v="23.03.2024"/>
    <n v="60.470588235294116"/>
    <n v="-3.375"/>
    <n v="63.845588235294116"/>
    <n v="-425.63725490196072"/>
  </r>
  <r>
    <s v="C0484"/>
    <x v="1"/>
    <x v="1"/>
    <x v="0"/>
    <s v="21.05.2024"/>
    <n v="159"/>
    <n v="70.11"/>
    <n v="28.95"/>
    <n v="58.915966386554622"/>
    <n v="46.030500000000004"/>
    <n v="12.885466386554619"/>
    <n v="8.1040669097827784"/>
    <s v="21.05.2024"/>
    <n v="77.428571428571431"/>
    <n v="61.2196"/>
    <n v="16.208971428571431"/>
    <n v="6.6430210772833735"/>
  </r>
  <r>
    <s v="C0485"/>
    <x v="1"/>
    <x v="1"/>
    <x v="0"/>
    <s v="03.06.2024"/>
    <n v="128"/>
    <n v="55.42"/>
    <n v="32.71"/>
    <n v="46.571428571428577"/>
    <n v="41.8688"/>
    <n v="4.7026285714285763"/>
    <n v="3.6739285714285752"/>
    <s v="03.06.2024"/>
    <n v="58.915966386554622"/>
    <n v="46.030500000000004"/>
    <n v="12.885466386554619"/>
    <n v="8.1040669097827784"/>
  </r>
  <r>
    <s v="C0486"/>
    <x v="1"/>
    <x v="0"/>
    <x v="2"/>
    <s v="24.08.2024"/>
    <n v="250"/>
    <n v="99.72"/>
    <n v="24.26"/>
    <n v="83.798319327731093"/>
    <n v="60.65"/>
    <n v="23.148319327731095"/>
    <n v="9.2593277310924389"/>
    <s v="24.08.2024"/>
    <n v="46.571428571428577"/>
    <n v="41.8688"/>
    <n v="4.7026285714285763"/>
    <n v="3.6739285714285752"/>
  </r>
  <r>
    <s v="C0487"/>
    <x v="0"/>
    <x v="1"/>
    <x v="0"/>
    <s v="27.01.2025"/>
    <n v="92"/>
    <n v="44.91"/>
    <n v="31.72"/>
    <n v="37.739495798319325"/>
    <n v="29.182399999999998"/>
    <n v="8.5570957983193274"/>
    <n v="9.3011910851297035"/>
    <s v="27.01.2025"/>
    <n v="83.798319327731093"/>
    <n v="60.65"/>
    <n v="23.148319327731095"/>
    <n v="9.2593277310924389"/>
  </r>
  <r>
    <s v="C0488"/>
    <x v="0"/>
    <x v="0"/>
    <x v="0"/>
    <s v="05.06.2024"/>
    <n v="276"/>
    <n v="100.28"/>
    <n v="25.55"/>
    <n v="84.268907563025209"/>
    <n v="70.518000000000001"/>
    <n v="13.750907563025208"/>
    <n v="4.9822128851540608"/>
    <s v="05.06.2024"/>
    <n v="37.739495798319325"/>
    <n v="29.182399999999998"/>
    <n v="8.5570957983193274"/>
    <n v="9.3011910851297035"/>
  </r>
  <r>
    <s v="C0489"/>
    <x v="1"/>
    <x v="1"/>
    <x v="2"/>
    <s v="07.08.2024"/>
    <n v="152"/>
    <n v="64.900000000000006"/>
    <n v="28.26"/>
    <n v="54.537815126050425"/>
    <n v="42.955200000000005"/>
    <n v="11.58261512605042"/>
    <n v="7.6201415302963289"/>
    <s v="07.08.2024"/>
    <n v="84.268907563025209"/>
    <n v="70.518000000000001"/>
    <n v="13.750907563025208"/>
    <n v="4.9822128851540608"/>
  </r>
  <r>
    <s v="C0490"/>
    <x v="1"/>
    <x v="1"/>
    <x v="2"/>
    <s v="06.03.2024"/>
    <n v="115"/>
    <n v="53.58"/>
    <n v="28.08"/>
    <n v="45.025210084033617"/>
    <n v="32.292000000000002"/>
    <n v="12.733210084033615"/>
    <n v="11.07235659481184"/>
    <s v="06.03.2024"/>
    <n v="54.537815126050425"/>
    <n v="42.955200000000005"/>
    <n v="11.58261512605042"/>
    <n v="7.6201415302963289"/>
  </r>
  <r>
    <s v="C0491"/>
    <x v="0"/>
    <x v="0"/>
    <x v="0"/>
    <s v="28.02.2025"/>
    <n v="296"/>
    <n v="106.89"/>
    <n v="25.31"/>
    <n v="89.82352941176471"/>
    <n v="74.917599999999993"/>
    <n v="14.905929411764717"/>
    <n v="5.0357869634340258"/>
    <s v="28.02.2025"/>
    <n v="45.025210084033617"/>
    <n v="32.292000000000002"/>
    <n v="12.733210084033615"/>
    <n v="11.07235659481184"/>
  </r>
  <r>
    <s v="C0492"/>
    <x v="1"/>
    <x v="1"/>
    <x v="1"/>
    <s v="21.02.2025"/>
    <n v="164"/>
    <n v="69.099999999999994"/>
    <n v="30.1"/>
    <n v="58.067226890756302"/>
    <n v="49.364000000000004"/>
    <n v="8.703226890756298"/>
    <n v="5.3068456650953033"/>
    <s v="21.02.2025"/>
    <n v="89.82352941176471"/>
    <n v="74.917599999999993"/>
    <n v="14.905929411764717"/>
    <n v="5.0357869634340258"/>
  </r>
  <r>
    <s v="C0493"/>
    <x v="0"/>
    <x v="0"/>
    <x v="1"/>
    <s v="04.12.2024"/>
    <n v="201"/>
    <n v="77.09"/>
    <n v="25.1"/>
    <n v="64.781512605042025"/>
    <n v="50.451000000000001"/>
    <n v="14.330512605042024"/>
    <n v="7.129608261214937"/>
    <s v="04.12.2024"/>
    <n v="58.067226890756302"/>
    <n v="49.364000000000004"/>
    <n v="8.703226890756298"/>
    <n v="5.3068456650953033"/>
  </r>
  <r>
    <s v="C0494"/>
    <x v="0"/>
    <x v="0"/>
    <x v="1"/>
    <s v="22.04.2025"/>
    <n v="254"/>
    <n v="96.92"/>
    <n v="22.94"/>
    <n v="81.445378151260513"/>
    <n v="58.267600000000002"/>
    <n v="23.177778151260512"/>
    <n v="9.1251095083702793"/>
    <s v="22.04.2025"/>
    <n v="64.781512605042025"/>
    <n v="50.451000000000001"/>
    <n v="14.330512605042024"/>
    <n v="7.129608261214937"/>
  </r>
  <r>
    <s v="C0495"/>
    <x v="0"/>
    <x v="2"/>
    <x v="0"/>
    <s v="01.03.2025"/>
    <n v="429"/>
    <n v="149.53"/>
    <n v="18.23"/>
    <n v="125.65546218487395"/>
    <n v="78.206699999999998"/>
    <n v="47.448762184873956"/>
    <n v="11.060317525611644"/>
    <s v="01.03.2025"/>
    <n v="81.445378151260513"/>
    <n v="58.267600000000002"/>
    <n v="23.177778151260512"/>
    <n v="9.1251095083702793"/>
  </r>
  <r>
    <s v="C0496"/>
    <x v="0"/>
    <x v="1"/>
    <x v="2"/>
    <s v="04.03.2024"/>
    <n v="150"/>
    <n v="63.27"/>
    <n v="28.12"/>
    <n v="53.168067226890763"/>
    <n v="42.18"/>
    <n v="10.988067226890763"/>
    <n v="7.3253781512605087"/>
    <s v="04.03.2024"/>
    <n v="125.65546218487395"/>
    <n v="78.206699999999998"/>
    <n v="47.448762184873956"/>
    <n v="11.060317525611644"/>
  </r>
  <r>
    <s v="C0497"/>
    <x v="1"/>
    <x v="1"/>
    <x v="0"/>
    <s v="30.07.2024"/>
    <n v="132"/>
    <n v="57.85"/>
    <n v="31.85"/>
    <n v="48.613445378151262"/>
    <n v="42.042000000000002"/>
    <n v="6.5714453781512603"/>
    <n v="4.9783677107206517"/>
    <s v="30.07.2024"/>
    <n v="53.168067226890763"/>
    <n v="42.18"/>
    <n v="10.988067226890763"/>
    <n v="7.3253781512605087"/>
  </r>
  <r>
    <s v="C0498"/>
    <x v="0"/>
    <x v="1"/>
    <x v="0"/>
    <s v="06.03.2025"/>
    <n v="136"/>
    <n v="58.46"/>
    <n v="30.67"/>
    <n v="49.12605042016807"/>
    <n v="41.711199999999998"/>
    <n v="7.4148504201680723"/>
    <n v="5.4520958971824056"/>
    <s v="06.03.2025"/>
    <n v="48.613445378151262"/>
    <n v="42.042000000000002"/>
    <n v="6.5714453781512603"/>
    <n v="4.9783677107206517"/>
  </r>
  <r>
    <s v="C0499"/>
    <x v="1"/>
    <x v="0"/>
    <x v="0"/>
    <s v="02.02.2025"/>
    <n v="300"/>
    <n v="110.56"/>
    <n v="25.73"/>
    <n v="92.907563025210095"/>
    <n v="77.19"/>
    <n v="15.717563025210097"/>
    <n v="5.2391876750700321"/>
    <s v="02.02.2025"/>
    <n v="49.12605042016807"/>
    <n v="41.711199999999998"/>
    <n v="7.4148504201680723"/>
    <n v="5.4520958971824056"/>
  </r>
  <r>
    <s v="C0500"/>
    <x v="1"/>
    <x v="0"/>
    <x v="0"/>
    <s v="21.01.2024"/>
    <n v="233"/>
    <n v="87.91"/>
    <n v="23.06"/>
    <n v="73.87394957983193"/>
    <n v="53.729799999999997"/>
    <n v="20.144149579831932"/>
    <n v="8.6455577595845199"/>
    <s v="21.01.2024"/>
    <n v="92.907563025210095"/>
    <n v="77.19"/>
    <n v="15.717563025210097"/>
    <n v="5.2391876750700321"/>
  </r>
  <r>
    <s v="C0501"/>
    <x v="1"/>
    <x v="1"/>
    <x v="0"/>
    <s v="24.01.2025"/>
    <n v="160"/>
    <n v="69.95"/>
    <n v="30.45"/>
    <n v="58.781512605042025"/>
    <n v="48.72"/>
    <n v="10.061512605042026"/>
    <n v="6.288445378151267"/>
    <s v="24.01.2025"/>
    <n v="73.87394957983193"/>
    <n v="53.729799999999997"/>
    <n v="20.144149579831932"/>
    <n v="8.6455577595845199"/>
  </r>
  <r>
    <s v="C0502"/>
    <x v="0"/>
    <x v="2"/>
    <x v="1"/>
    <s v="03.05.2025"/>
    <n v="511"/>
    <n v="167.91"/>
    <n v="21.89"/>
    <n v="141.10084033613447"/>
    <n v="111.85790000000001"/>
    <n v="29.242940336134453"/>
    <n v="5.7226889111809109"/>
    <s v="03.05.2025"/>
    <n v="58.781512605042025"/>
    <n v="48.72"/>
    <n v="10.061512605042026"/>
    <n v="6.288445378151267"/>
  </r>
  <r>
    <s v="C0503"/>
    <x v="0"/>
    <x v="1"/>
    <x v="0"/>
    <s v="07.01.2024"/>
    <n v="96"/>
    <n v="46.22"/>
    <n v="29.27"/>
    <n v="38.840336134453786"/>
    <n v="28.0992"/>
    <n v="10.741136134453786"/>
    <n v="11.188683473389361"/>
    <s v="07.01.2024"/>
    <n v="141.10084033613447"/>
    <n v="111.85790000000001"/>
    <n v="29.242940336134453"/>
    <n v="5.7226889111809109"/>
  </r>
  <r>
    <s v="C0504"/>
    <x v="1"/>
    <x v="0"/>
    <x v="0"/>
    <s v="26.12.2024"/>
    <n v="282"/>
    <n v="104.6"/>
    <n v="25.39"/>
    <n v="87.899159663865547"/>
    <n v="71.599800000000002"/>
    <n v="16.299359663865545"/>
    <n v="5.7799147744204058"/>
    <s v="26.12.2024"/>
    <n v="38.840336134453786"/>
    <n v="28.0992"/>
    <n v="10.741136134453786"/>
    <n v="11.188683473389361"/>
  </r>
  <r>
    <s v="C0505"/>
    <x v="1"/>
    <x v="0"/>
    <x v="0"/>
    <s v="01.11.2024"/>
    <n v="299"/>
    <n v="112.85"/>
    <n v="25.79"/>
    <n v="94.831932773109244"/>
    <n v="77.112099999999998"/>
    <n v="17.719832773109246"/>
    <n v="5.9263654759562696"/>
    <s v="01.11.2024"/>
    <n v="87.899159663865547"/>
    <n v="71.599800000000002"/>
    <n v="16.299359663865545"/>
    <n v="5.7799147744204058"/>
  </r>
  <r>
    <s v="C0506"/>
    <x v="0"/>
    <x v="2"/>
    <x v="0"/>
    <s v="03.02.2025"/>
    <n v="439"/>
    <n v="144.49"/>
    <n v="20.92"/>
    <n v="121.42016806722691"/>
    <n v="91.838800000000006"/>
    <n v="29.581368067226904"/>
    <n v="6.7383526349036229"/>
    <s v="03.02.2025"/>
    <n v="94.831932773109244"/>
    <n v="77.112099999999998"/>
    <n v="17.719832773109246"/>
    <n v="5.9263654759562696"/>
  </r>
  <r>
    <s v="C0507"/>
    <x v="1"/>
    <x v="0"/>
    <x v="2"/>
    <s v="05.03.2025"/>
    <n v="309"/>
    <n v="119.27"/>
    <n v="24.96"/>
    <n v="100.22689075630252"/>
    <n v="77.126400000000004"/>
    <n v="23.10049075630252"/>
    <n v="7.4758869761496829"/>
    <s v="05.03.2025"/>
    <n v="121.42016806722691"/>
    <n v="91.838800000000006"/>
    <n v="29.581368067226904"/>
    <n v="6.7383526349036229"/>
  </r>
  <r>
    <s v="C0508"/>
    <x v="1"/>
    <x v="2"/>
    <x v="0"/>
    <s v="2024-08-13"/>
    <n v="636"/>
    <n v="201.03"/>
    <n v="0.19"/>
    <n v="168.9327731092437"/>
    <n v="1.2084000000000001"/>
    <n v="167.72437310924369"/>
    <n v="26.37175677818297"/>
    <s v="2024-08"/>
    <n v="100.22689075630252"/>
    <n v="77.126400000000004"/>
    <n v="23.10049075630252"/>
    <n v="7.4758869761496829"/>
  </r>
  <r>
    <s v="C0509"/>
    <x v="1"/>
    <x v="1"/>
    <x v="0"/>
    <s v="2025-05-14"/>
    <n v="106"/>
    <n v="51.38"/>
    <n v="31.13"/>
    <n v="43.176470588235297"/>
    <n v="32.997799999999998"/>
    <n v="10.178670588235299"/>
    <n v="9.6025194228634891"/>
    <s v="2025-05"/>
    <n v="168.9327731092437"/>
    <n v="1.2084000000000001"/>
    <n v="167.72437310924369"/>
    <n v="26.37175677818297"/>
  </r>
  <r>
    <s v="C0510"/>
    <x v="1"/>
    <x v="2"/>
    <x v="0"/>
    <s v="12.08.2024"/>
    <n v="662"/>
    <n v="232.78"/>
    <n v="21.32"/>
    <n v="195.61344537815128"/>
    <n v="141.13839999999999"/>
    <n v="54.475045378151293"/>
    <n v="8.2288588184518563"/>
    <s v="12.08.2024"/>
    <n v="43.176470588235297"/>
    <n v="32.997799999999998"/>
    <n v="10.178670588235299"/>
    <n v="9.6025194228634891"/>
  </r>
  <r>
    <s v="C0511"/>
    <x v="1"/>
    <x v="1"/>
    <x v="0"/>
    <s v="06.10.2024"/>
    <n v="95"/>
    <n v="43.29"/>
    <n v="28.04"/>
    <n v="36.378151260504204"/>
    <n v="26.637999999999998"/>
    <n v="9.7401512605042058"/>
    <n v="10.252790800530743"/>
    <s v="06.10.2024"/>
    <n v="195.61344537815128"/>
    <n v="141.13839999999999"/>
    <n v="54.475045378151293"/>
    <n v="8.2288588184518563"/>
  </r>
  <r>
    <s v="C0512"/>
    <x v="0"/>
    <x v="2"/>
    <x v="0"/>
    <s v="22.03.2025"/>
    <n v="400"/>
    <n v="135.93"/>
    <n v="20.079999999999998"/>
    <n v="114.22689075630254"/>
    <n v="80.319999999999993"/>
    <n v="33.906890756302545"/>
    <n v="8.4767226890756362"/>
    <s v="22.03.2025"/>
    <n v="36.378151260504204"/>
    <n v="26.637999999999998"/>
    <n v="9.7401512605042058"/>
    <n v="10.252790800530743"/>
  </r>
  <r>
    <s v="C0513"/>
    <x v="1"/>
    <x v="0"/>
    <x v="1"/>
    <s v="12.05.2025"/>
    <n v="198"/>
    <n v="78.06"/>
    <n v="26.82"/>
    <n v="65.596638655462186"/>
    <n v="53.1036"/>
    <n v="12.493038655462186"/>
    <n v="6.3096154825566604"/>
    <s v="12.05.2025"/>
    <n v="114.22689075630254"/>
    <n v="80.319999999999993"/>
    <n v="33.906890756302545"/>
    <n v="8.4767226890756362"/>
  </r>
  <r>
    <s v="C0514"/>
    <x v="1"/>
    <x v="2"/>
    <x v="2"/>
    <s v="30.01.2024"/>
    <n v="632"/>
    <n v="216.13"/>
    <n v="19.61"/>
    <n v="181.62184873949579"/>
    <n v="123.93520000000001"/>
    <n v="57.68664873949578"/>
    <n v="9.1276342942240163"/>
    <s v="30.01.2024"/>
    <n v="65.596638655462186"/>
    <n v="53.1036"/>
    <n v="12.493038655462186"/>
    <n v="6.3096154825566604"/>
  </r>
  <r>
    <s v="C0515"/>
    <x v="0"/>
    <x v="0"/>
    <x v="0"/>
    <s v="02.02.2025"/>
    <n v="276"/>
    <n v="104.27"/>
    <n v="25.96"/>
    <n v="87.621848739495803"/>
    <n v="71.649600000000007"/>
    <n v="15.972248739495797"/>
    <n v="5.7870466447448541"/>
    <s v="02.02.2025"/>
    <n v="181.62184873949579"/>
    <n v="123.93520000000001"/>
    <n v="57.68664873949578"/>
    <n v="9.1276342942240163"/>
  </r>
  <r>
    <s v="C0516"/>
    <x v="0"/>
    <x v="0"/>
    <x v="1"/>
    <s v="10.12.2024"/>
    <n v="192"/>
    <n v="75.069999999999993"/>
    <n v="23.25"/>
    <n v="63.084033613445378"/>
    <n v="44.64"/>
    <n v="18.444033613445377"/>
    <n v="9.6062675070028014"/>
    <s v="10.12.2024"/>
    <n v="87.621848739495803"/>
    <n v="71.649600000000007"/>
    <n v="15.972248739495797"/>
    <n v="5.7870466447448541"/>
  </r>
  <r>
    <s v="C0517"/>
    <x v="0"/>
    <x v="0"/>
    <x v="1"/>
    <s v="2025-02-18"/>
    <n v="240"/>
    <n v="91.01"/>
    <n v="23.36"/>
    <n v="76.478991596638664"/>
    <n v="56.063999999999993"/>
    <n v="20.414991596638671"/>
    <n v="8.506246498599447"/>
    <s v="2025-02"/>
    <n v="63.084033613445378"/>
    <n v="44.64"/>
    <n v="18.444033613445377"/>
    <n v="9.6062675070028014"/>
  </r>
  <r>
    <s v="C0518"/>
    <x v="1"/>
    <x v="0"/>
    <x v="2"/>
    <s v="18.06.2024"/>
    <n v="269"/>
    <n v="109.17"/>
    <n v="24.32"/>
    <n v="91.739495798319339"/>
    <n v="65.4208"/>
    <n v="26.318695798319339"/>
    <n v="9.7839017837618361"/>
    <s v="18.06.2024"/>
    <n v="76.478991596638664"/>
    <n v="56.063999999999993"/>
    <n v="20.414991596638671"/>
    <n v="8.506246498599447"/>
  </r>
  <r>
    <s v="C0519"/>
    <x v="1"/>
    <x v="1"/>
    <x v="0"/>
    <s v="23.04.2025"/>
    <n v="90"/>
    <n v="40.82"/>
    <n v="29.77"/>
    <n v="34.30252100840336"/>
    <n v="26.793000000000003"/>
    <n v="7.5095210084033575"/>
    <n v="8.3439122315592869"/>
    <s v="23.04.2025"/>
    <n v="91.739495798319339"/>
    <n v="65.4208"/>
    <n v="26.318695798319339"/>
    <n v="9.7839017837618361"/>
  </r>
  <r>
    <s v="C0520"/>
    <x v="0"/>
    <x v="1"/>
    <x v="0"/>
    <s v="10.05.2024"/>
    <n v="157"/>
    <n v="64.760000000000005"/>
    <n v="29.04"/>
    <n v="54.420168067226896"/>
    <n v="45.592799999999997"/>
    <n v="8.8273680672268995"/>
    <n v="5.6225274313547136"/>
    <s v="10.05.2024"/>
    <n v="34.30252100840336"/>
    <n v="26.793000000000003"/>
    <n v="7.5095210084033575"/>
    <n v="8.3439122315592869"/>
  </r>
  <r>
    <s v="C0521"/>
    <x v="1"/>
    <x v="1"/>
    <x v="0"/>
    <s v="28.01.2024"/>
    <n v="150"/>
    <n v="65.63"/>
    <n v="29.37"/>
    <n v="55.15126050420168"/>
    <n v="44.055"/>
    <n v="11.09626050420168"/>
    <n v="7.3975070028011212"/>
    <s v="28.01.2024"/>
    <n v="54.420168067226896"/>
    <n v="45.592799999999997"/>
    <n v="8.8273680672268995"/>
    <n v="5.6225274313547136"/>
  </r>
  <r>
    <s v="C0522"/>
    <x v="0"/>
    <x v="1"/>
    <x v="1"/>
    <s v="07.02.2025"/>
    <n v="125"/>
    <n v="55.22"/>
    <n v="31.34"/>
    <n v="46.403361344537814"/>
    <n v="39.174999999999997"/>
    <n v="7.2283613445378165"/>
    <n v="5.7826890756302536"/>
    <s v="07.02.2025"/>
    <n v="55.15126050420168"/>
    <n v="44.055"/>
    <n v="11.09626050420168"/>
    <n v="7.3975070028011212"/>
  </r>
  <r>
    <s v="C0523"/>
    <x v="1"/>
    <x v="2"/>
    <x v="2"/>
    <s v="28.01.2024"/>
    <n v="656"/>
    <n v="227.45"/>
    <n v="21.18"/>
    <n v="191.1344537815126"/>
    <n v="138.9408"/>
    <n v="52.193653781512609"/>
    <n v="7.9563496618159464"/>
    <s v="28.01.2024"/>
    <n v="46.403361344537814"/>
    <n v="39.174999999999997"/>
    <n v="7.2283613445378165"/>
    <n v="5.7826890756302536"/>
  </r>
  <r>
    <s v="C0524"/>
    <x v="1"/>
    <x v="1"/>
    <x v="0"/>
    <s v="26.03.2024"/>
    <n v="118"/>
    <n v="56.15"/>
    <n v="28.74"/>
    <n v="47.184873949579831"/>
    <n v="33.913199999999996"/>
    <n v="13.271673949579835"/>
    <n v="11.247181313203249"/>
    <s v="26.03.2024"/>
    <n v="191.1344537815126"/>
    <n v="138.9408"/>
    <n v="52.193653781512609"/>
    <n v="7.9563496618159464"/>
  </r>
  <r>
    <s v="C0525"/>
    <x v="1"/>
    <x v="2"/>
    <x v="0"/>
    <s v="14.03.2025"/>
    <n v="662"/>
    <n v="225.77"/>
    <n v="18.36"/>
    <n v="189.72268907563026"/>
    <n v="121.5432"/>
    <n v="68.179489075630258"/>
    <n v="10.299016476681308"/>
    <s v="14.03.2025"/>
    <n v="47.184873949579831"/>
    <n v="33.913199999999996"/>
    <n v="13.271673949579835"/>
    <n v="11.247181313203249"/>
  </r>
  <r>
    <s v="C0526"/>
    <x v="0"/>
    <x v="1"/>
    <x v="2"/>
    <s v="18.05.2024"/>
    <n v="139"/>
    <n v="60.75"/>
    <n v="31.71"/>
    <n v="51.050420168067227"/>
    <n v="44.076900000000002"/>
    <n v="6.9735201680672247"/>
    <n v="5.0169209842210254"/>
    <s v="18.05.2024"/>
    <n v="189.72268907563026"/>
    <n v="121.5432"/>
    <n v="68.179489075630258"/>
    <n v="10.299016476681308"/>
  </r>
  <r>
    <s v="C0527"/>
    <x v="0"/>
    <x v="1"/>
    <x v="2"/>
    <s v="17.04.2025"/>
    <n v="136"/>
    <n v="58.98"/>
    <n v="28.25"/>
    <n v="49.563025210084035"/>
    <n v="38.42"/>
    <n v="11.143025210084033"/>
    <n v="8.1934008897676716"/>
    <s v="17.04.2025"/>
    <n v="51.050420168067227"/>
    <n v="44.076900000000002"/>
    <n v="6.9735201680672247"/>
    <n v="5.0169209842210254"/>
  </r>
  <r>
    <s v="C0528"/>
    <x v="0"/>
    <x v="2"/>
    <x v="2"/>
    <s v="05.07.2024"/>
    <n v="388"/>
    <n v="136.16"/>
    <n v="16.96"/>
    <n v="114.4201680672269"/>
    <n v="65.8048"/>
    <n v="48.615368067226896"/>
    <n v="12.529734037945076"/>
    <s v="05.07.2024"/>
    <n v="49.563025210084035"/>
    <n v="38.42"/>
    <n v="11.143025210084033"/>
    <n v="8.1934008897676716"/>
  </r>
  <r>
    <s v="C0529"/>
    <x v="0"/>
    <x v="0"/>
    <x v="1"/>
    <s v="2024-02-21"/>
    <n v="313"/>
    <n v="116.86"/>
    <n v="22.65"/>
    <n v="98.201680672268907"/>
    <n v="70.894499999999994"/>
    <n v="27.307180672268913"/>
    <n v="8.7243388729293656"/>
    <s v="2024-02"/>
    <n v="114.4201680672269"/>
    <n v="65.8048"/>
    <n v="48.615368067226896"/>
    <n v="12.529734037945076"/>
  </r>
  <r>
    <s v="C0530"/>
    <x v="1"/>
    <x v="0"/>
    <x v="0"/>
    <s v="23.09.2024"/>
    <n v="238"/>
    <n v="89.95"/>
    <n v="24.38"/>
    <n v="75.588235294117652"/>
    <n v="58.024399999999993"/>
    <n v="17.563835294117659"/>
    <n v="7.3797627286208662"/>
    <s v="23.09.2024"/>
    <n v="98.201680672268907"/>
    <n v="70.894499999999994"/>
    <n v="27.307180672268913"/>
    <n v="8.7243388729293656"/>
  </r>
  <r>
    <s v="C0531"/>
    <x v="1"/>
    <x v="0"/>
    <x v="1"/>
    <s v="23.01.2025"/>
    <n v="194"/>
    <n v="74.930000000000007"/>
    <n v="22.6"/>
    <n v="62.966386554621856"/>
    <n v="43.844000000000008"/>
    <n v="19.122386554621848"/>
    <n v="9.8569002858875496"/>
    <s v="23.01.2025"/>
    <n v="75.588235294117652"/>
    <n v="58.024399999999993"/>
    <n v="17.563835294117659"/>
    <n v="7.3797627286208662"/>
  </r>
  <r>
    <s v="C0532"/>
    <x v="1"/>
    <x v="0"/>
    <x v="1"/>
    <s v="2024-12-01"/>
    <n v="169"/>
    <n v="66.569999999999993"/>
    <n v="0.26"/>
    <n v="55.941176470588232"/>
    <n v="0.43940000000000007"/>
    <n v="55.501776470588233"/>
    <n v="32.841287852419072"/>
    <s v="2024-12"/>
    <n v="62.966386554621856"/>
    <n v="43.844000000000008"/>
    <n v="19.122386554621848"/>
    <n v="9.8569002858875496"/>
  </r>
  <r>
    <s v="C0533"/>
    <x v="1"/>
    <x v="1"/>
    <x v="0"/>
    <s v="04.08.2024"/>
    <n v="130"/>
    <n v="54.4"/>
    <n v="29.79"/>
    <n v="45.714285714285715"/>
    <n v="38.726999999999997"/>
    <n v="6.9872857142857185"/>
    <n v="5.3748351648351678"/>
    <s v="04.08.2024"/>
    <n v="55.941176470588232"/>
    <n v="0.43940000000000007"/>
    <n v="55.501776470588233"/>
    <n v="32.841287852419072"/>
  </r>
  <r>
    <s v="C0534"/>
    <x v="1"/>
    <x v="2"/>
    <x v="0"/>
    <s v="10.04.2025"/>
    <n v="509"/>
    <n v="168.02"/>
    <n v="19.010000000000002"/>
    <n v="141.19327731092437"/>
    <n v="96.760900000000007"/>
    <n v="44.432377310924366"/>
    <n v="8.7293472123623506"/>
    <s v="10.04.2025"/>
    <n v="45.714285714285715"/>
    <n v="38.726999999999997"/>
    <n v="6.9872857142857185"/>
    <n v="5.3748351648351678"/>
  </r>
  <r>
    <s v="C0535"/>
    <x v="1"/>
    <x v="2"/>
    <x v="1"/>
    <s v="30.11.2024"/>
    <n v="573"/>
    <n v="196.08"/>
    <n v="17.73"/>
    <n v="164.77310924369749"/>
    <n v="101.59290000000001"/>
    <n v="63.180209243697476"/>
    <n v="11.026214527695895"/>
    <s v="30.11.2024"/>
    <n v="141.19327731092437"/>
    <n v="96.760900000000007"/>
    <n v="44.432377310924366"/>
    <n v="8.7293472123623506"/>
  </r>
  <r>
    <s v="C0536"/>
    <x v="1"/>
    <x v="0"/>
    <x v="0"/>
    <s v="11.12.2024"/>
    <n v="315"/>
    <n v="121.76"/>
    <n v="23.88"/>
    <n v="102.31932773109244"/>
    <n v="75.221999999999994"/>
    <n v="27.097327731092449"/>
    <n v="8.6023262638388722"/>
    <s v="11.12.2024"/>
    <n v="164.77310924369749"/>
    <n v="101.59290000000001"/>
    <n v="63.180209243697476"/>
    <n v="11.026214527695895"/>
  </r>
  <r>
    <s v="C0537"/>
    <x v="1"/>
    <x v="1"/>
    <x v="1"/>
    <s v="23.01.2025"/>
    <n v="90"/>
    <n v="42.37"/>
    <n v="30.65"/>
    <n v="35.605042016806721"/>
    <n v="27.585000000000001"/>
    <n v="8.0200420168067197"/>
    <n v="8.91115779645191"/>
    <s v="23.01.2025"/>
    <n v="102.31932773109244"/>
    <n v="75.221999999999994"/>
    <n v="27.097327731092449"/>
    <n v="8.6023262638388722"/>
  </r>
  <r>
    <s v="C0538"/>
    <x v="0"/>
    <x v="0"/>
    <x v="1"/>
    <s v="11.10.2024"/>
    <n v="288"/>
    <n v="109.53"/>
    <n v="25"/>
    <n v="92.0420168067227"/>
    <n v="72"/>
    <n v="20.0420168067227"/>
    <n v="6.9590336134453814"/>
    <s v="11.10.2024"/>
    <n v="35.605042016806721"/>
    <n v="27.585000000000001"/>
    <n v="8.0200420168067197"/>
    <n v="8.91115779645191"/>
  </r>
  <r>
    <s v="C0539"/>
    <x v="0"/>
    <x v="1"/>
    <x v="2"/>
    <s v="2025-03-07"/>
    <n v="99"/>
    <n v="47.02"/>
    <n v="31.02"/>
    <n v="39.512605042016808"/>
    <n v="30.709800000000001"/>
    <n v="8.8028050420168071"/>
    <n v="8.8917222646634411"/>
    <s v="2025-03"/>
    <n v="92.0420168067227"/>
    <n v="72"/>
    <n v="20.0420168067227"/>
    <n v="6.9590336134453814"/>
  </r>
  <r>
    <s v="C0540"/>
    <x v="0"/>
    <x v="1"/>
    <x v="0"/>
    <s v="15.09.2024"/>
    <n v="155"/>
    <n v="61.7"/>
    <n v="30.31"/>
    <n v="51.848739495798327"/>
    <n v="46.980499999999999"/>
    <n v="4.8682394957983277"/>
    <n v="3.1407996747085982"/>
    <s v="15.09.2024"/>
    <n v="39.512605042016808"/>
    <n v="30.709800000000001"/>
    <n v="8.8028050420168071"/>
    <n v="8.8917222646634411"/>
  </r>
  <r>
    <s v="C0541"/>
    <x v="1"/>
    <x v="1"/>
    <x v="0"/>
    <s v="24.03.2024"/>
    <n v="152"/>
    <n v="64.89"/>
    <n v="31.62"/>
    <n v="54.529411764705884"/>
    <n v="48.062399999999997"/>
    <n v="6.4670117647058873"/>
    <n v="4.2546130030959786"/>
    <s v="24.03.2024"/>
    <n v="51.848739495798327"/>
    <n v="46.980499999999999"/>
    <n v="4.8682394957983277"/>
    <n v="3.1407996747085982"/>
  </r>
  <r>
    <s v="C0542"/>
    <x v="1"/>
    <x v="0"/>
    <x v="1"/>
    <s v="26.04.2025"/>
    <n v="257"/>
    <n v="101.28"/>
    <n v="25.27"/>
    <n v="85.109243697479002"/>
    <n v="64.943899999999999"/>
    <n v="20.165343697479003"/>
    <n v="7.846437236373152"/>
    <s v="26.04.2025"/>
    <n v="54.529411764705884"/>
    <n v="48.062399999999997"/>
    <n v="6.4670117647058873"/>
    <n v="4.2546130030959786"/>
  </r>
  <r>
    <s v="C0543"/>
    <x v="0"/>
    <x v="2"/>
    <x v="0"/>
    <s v="20.01.2024"/>
    <n v="570"/>
    <n v="180.54"/>
    <n v="20.29"/>
    <n v="151.71428571428572"/>
    <n v="115.65299999999999"/>
    <n v="36.061285714285731"/>
    <n v="6.3265413533834618"/>
    <s v="20.01.2024"/>
    <n v="85.109243697479002"/>
    <n v="64.943899999999999"/>
    <n v="20.165343697479003"/>
    <n v="7.846437236373152"/>
  </r>
  <r>
    <s v="C0544"/>
    <x v="1"/>
    <x v="0"/>
    <x v="1"/>
    <s v="23.02.2024"/>
    <n v="219"/>
    <n v="82.94"/>
    <n v="22.22"/>
    <n v="69.69747899159664"/>
    <n v="48.661799999999992"/>
    <n v="21.035678991596647"/>
    <n v="9.6053328728751808"/>
    <s v="23.02.2024"/>
    <n v="151.71428571428572"/>
    <n v="115.65299999999999"/>
    <n v="36.061285714285731"/>
    <n v="6.3265413533834618"/>
  </r>
  <r>
    <s v="C0545"/>
    <x v="1"/>
    <x v="0"/>
    <x v="1"/>
    <s v="24.12.2024"/>
    <n v="245"/>
    <n v="96.37"/>
    <n v="22.03"/>
    <n v="80.983193277310932"/>
    <n v="53.973500000000001"/>
    <n v="27.00969327731093"/>
    <n v="11.024364602984054"/>
    <s v="24.12.2024"/>
    <n v="69.69747899159664"/>
    <n v="48.661799999999992"/>
    <n v="21.035678991596647"/>
    <n v="9.6053328728751808"/>
  </r>
  <r>
    <s v="C0546"/>
    <x v="0"/>
    <x v="0"/>
    <x v="0"/>
    <s v="17.08.2024"/>
    <n v="303"/>
    <n v="116.57"/>
    <n v="22.85"/>
    <n v="97.957983193277315"/>
    <n v="69.235500000000002"/>
    <n v="28.722483193277313"/>
    <n v="9.4793673905205651"/>
    <s v="17.08.2024"/>
    <n v="80.983193277310932"/>
    <n v="53.973500000000001"/>
    <n v="27.00969327731093"/>
    <n v="11.024364602984054"/>
  </r>
  <r>
    <s v="C0547"/>
    <x v="0"/>
    <x v="1"/>
    <x v="0"/>
    <s v="11.03.2024"/>
    <n v="122"/>
    <n v="50.17"/>
    <n v="30.65"/>
    <n v="42.159663865546221"/>
    <n v="37.393000000000001"/>
    <n v="4.7666638655462208"/>
    <n v="3.9071015291362463"/>
    <s v="11.03.2024"/>
    <n v="97.957983193277315"/>
    <n v="69.235500000000002"/>
    <n v="28.722483193277313"/>
    <n v="9.4793673905205651"/>
  </r>
  <r>
    <s v="C0548"/>
    <x v="1"/>
    <x v="0"/>
    <x v="0"/>
    <s v="11.02.2024"/>
    <n v="226"/>
    <n v="88.74"/>
    <n v="23.64"/>
    <n v="74.571428571428569"/>
    <n v="53.426400000000001"/>
    <n v="21.145028571428568"/>
    <n v="9.3562073324905164"/>
    <s v="11.02.2024"/>
    <n v="42.159663865546221"/>
    <n v="37.393000000000001"/>
    <n v="4.7666638655462208"/>
    <n v="3.9071015291362463"/>
  </r>
  <r>
    <s v="C0549"/>
    <x v="0"/>
    <x v="2"/>
    <x v="0"/>
    <s v="01.02.2024"/>
    <n v="498"/>
    <n v="168.8"/>
    <n v="18.510000000000002"/>
    <n v="141.84873949579833"/>
    <n v="92.179800000000014"/>
    <n v="49.668939495798313"/>
    <n v="9.9736826296783772"/>
    <s v="01.02.2024"/>
    <n v="74.571428571428569"/>
    <n v="53.426400000000001"/>
    <n v="21.145028571428568"/>
    <n v="9.3562073324905164"/>
  </r>
  <r>
    <s v="C0550"/>
    <x v="1"/>
    <x v="1"/>
    <x v="2"/>
    <s v="10.09.2024"/>
    <n v="153"/>
    <n v="68.02"/>
    <n v="31.54"/>
    <n v="57.159663865546214"/>
    <n v="48.2562"/>
    <n v="8.9034638655462146"/>
    <n v="5.8192574284615777"/>
    <s v="10.09.2024"/>
    <n v="141.84873949579833"/>
    <n v="92.179800000000014"/>
    <n v="49.668939495798313"/>
    <n v="9.9736826296783772"/>
  </r>
  <r>
    <s v="C0551"/>
    <x v="0"/>
    <x v="2"/>
    <x v="2"/>
    <s v="23.07.2024"/>
    <n v="445"/>
    <n v="157.57"/>
    <n v="20.98"/>
    <n v="132.41176470588235"/>
    <n v="93.361000000000004"/>
    <n v="39.050764705882344"/>
    <n v="8.7754527428949078"/>
    <s v="23.07.2024"/>
    <n v="57.159663865546214"/>
    <n v="48.2562"/>
    <n v="8.9034638655462146"/>
    <n v="5.8192574284615777"/>
  </r>
  <r>
    <s v="C0552"/>
    <x v="1"/>
    <x v="0"/>
    <x v="1"/>
    <s v="21.01.2024"/>
    <n v="196"/>
    <n v="77.31"/>
    <n v="25.64"/>
    <n v="64.966386554621849"/>
    <n v="50.254400000000004"/>
    <n v="14.711986554621845"/>
    <n v="7.5061155890927784"/>
    <s v="21.01.2024"/>
    <n v="132.41176470588235"/>
    <n v="93.361000000000004"/>
    <n v="39.050764705882344"/>
    <n v="8.7754527428949078"/>
  </r>
  <r>
    <s v="C0553"/>
    <x v="1"/>
    <x v="0"/>
    <x v="1"/>
    <s v="05.06.2024"/>
    <n v="285"/>
    <n v="104.08"/>
    <n v="25.26"/>
    <n v="87.462184873949582"/>
    <n v="71.991"/>
    <n v="15.471184873949582"/>
    <n v="5.4284859206840643"/>
    <s v="05.06.2024"/>
    <n v="64.966386554621849"/>
    <n v="50.254400000000004"/>
    <n v="14.711986554621845"/>
    <n v="7.5061155890927784"/>
  </r>
  <r>
    <s v="C0554"/>
    <x v="1"/>
    <x v="0"/>
    <x v="0"/>
    <s v="2024-09-01"/>
    <n v="304"/>
    <n v="119.41"/>
    <n v="24.76"/>
    <n v="100.34453781512605"/>
    <n v="75.270400000000009"/>
    <n v="25.074137815126036"/>
    <n v="8.2480716497125108"/>
    <s v="2024-09"/>
    <n v="87.462184873949582"/>
    <n v="71.991"/>
    <n v="15.471184873949582"/>
    <n v="5.4284859206840643"/>
  </r>
  <r>
    <s v="C0555"/>
    <x v="1"/>
    <x v="0"/>
    <x v="2"/>
    <s v="09.05.2024"/>
    <n v="184"/>
    <n v="74.09"/>
    <n v="23.09"/>
    <n v="62.260504201680675"/>
    <n v="42.485600000000005"/>
    <n v="19.77490420168067"/>
    <n v="10.747230544391668"/>
    <s v="09.05.2024"/>
    <n v="100.34453781512605"/>
    <n v="75.270400000000009"/>
    <n v="25.074137815126036"/>
    <n v="8.2480716497125108"/>
  </r>
  <r>
    <s v="C0556"/>
    <x v="0"/>
    <x v="2"/>
    <x v="1"/>
    <s v="29.04.2025"/>
    <n v="413"/>
    <n v="140.19"/>
    <n v="17.45"/>
    <n v="117.80672268907563"/>
    <n v="72.0685"/>
    <n v="45.738222689075627"/>
    <n v="11.074630191059475"/>
    <s v="29.04.2025"/>
    <n v="62.260504201680675"/>
    <n v="42.485600000000005"/>
    <n v="19.77490420168067"/>
    <n v="10.747230544391668"/>
  </r>
  <r>
    <s v="C0557"/>
    <x v="0"/>
    <x v="2"/>
    <x v="1"/>
    <s v="27.04.2024"/>
    <n v="380"/>
    <n v="130.24"/>
    <n v="17.420000000000002"/>
    <n v="109.44537815126051"/>
    <n v="66.195999999999998"/>
    <n v="43.249378151260515"/>
    <n v="11.381415302963294"/>
    <s v="27.04.2024"/>
    <n v="117.80672268907563"/>
    <n v="72.0685"/>
    <n v="45.738222689075627"/>
    <n v="11.074630191059475"/>
  </r>
  <r>
    <s v="C0558"/>
    <x v="0"/>
    <x v="0"/>
    <x v="2"/>
    <s v="11.08.2024"/>
    <n v="225"/>
    <n v="90.52"/>
    <n v="23.37"/>
    <n v="76.067226890756302"/>
    <n v="52.582500000000003"/>
    <n v="23.484726890756299"/>
    <n v="10.437656395891688"/>
    <s v="11.08.2024"/>
    <n v="109.44537815126051"/>
    <n v="66.195999999999998"/>
    <n v="43.249378151260515"/>
    <n v="11.381415302963294"/>
  </r>
  <r>
    <s v="C0559"/>
    <x v="1"/>
    <x v="1"/>
    <x v="0"/>
    <s v="21.04.2025"/>
    <n v="121"/>
    <n v="57.85"/>
    <n v="29.72"/>
    <n v="48.613445378151262"/>
    <n v="35.961199999999998"/>
    <n v="12.652245378151264"/>
    <n v="10.456401138967987"/>
    <s v="21.04.2025"/>
    <n v="76.067226890756302"/>
    <n v="52.582500000000003"/>
    <n v="23.484726890756299"/>
    <n v="10.437656395891688"/>
  </r>
  <r>
    <s v="C0560"/>
    <x v="1"/>
    <x v="0"/>
    <x v="2"/>
    <s v="19.09.2024"/>
    <n v="291"/>
    <n v="115.85"/>
    <n v="25.32"/>
    <n v="97.352941176470594"/>
    <n v="73.681200000000004"/>
    <n v="23.67174117647059"/>
    <n v="8.1346189609864581"/>
    <s v="19.09.2024"/>
    <n v="48.613445378151262"/>
    <n v="35.961199999999998"/>
    <n v="12.652245378151264"/>
    <n v="10.456401138967987"/>
  </r>
  <r>
    <s v="C0561"/>
    <x v="1"/>
    <x v="2"/>
    <x v="0"/>
    <s v="2025-01-12"/>
    <n v="550"/>
    <n v="190.31"/>
    <n v="17.100000000000001"/>
    <n v="159.92436974789916"/>
    <n v="94.05"/>
    <n v="65.874369747899166"/>
    <n v="11.977158135981666"/>
    <s v="2025-01"/>
    <n v="97.352941176470594"/>
    <n v="73.681200000000004"/>
    <n v="23.67174117647059"/>
    <n v="8.1346189609864581"/>
  </r>
  <r>
    <s v="C0562"/>
    <x v="0"/>
    <x v="1"/>
    <x v="0"/>
    <s v="20.06.2024"/>
    <n v="135"/>
    <n v="57.04"/>
    <n v="32.94"/>
    <n v="47.932773109243698"/>
    <n v="44.468999999999994"/>
    <n v="3.4637731092437036"/>
    <n v="2.5657578586990399"/>
    <s v="20.06.2024"/>
    <n v="159.92436974789916"/>
    <n v="94.05"/>
    <n v="65.874369747899166"/>
    <n v="11.977158135981666"/>
  </r>
  <r>
    <s v="C0563"/>
    <x v="0"/>
    <x v="0"/>
    <x v="0"/>
    <s v="27.04.2024"/>
    <n v="226"/>
    <n v="90.31"/>
    <n v="24.13"/>
    <n v="75.890756302521012"/>
    <n v="54.533799999999999"/>
    <n v="21.356956302521013"/>
    <n v="9.4499806648323066"/>
    <s v="27.04.2024"/>
    <n v="47.932773109243698"/>
    <n v="44.468999999999994"/>
    <n v="3.4637731092437036"/>
    <n v="2.5657578586990399"/>
  </r>
  <r>
    <s v="C0564"/>
    <x v="0"/>
    <x v="0"/>
    <x v="2"/>
    <s v="2024-06-16"/>
    <n v="307"/>
    <n v="110.09"/>
    <n v="25.15"/>
    <n v="92.512605042016816"/>
    <n v="77.210499999999996"/>
    <n v="15.302105042016819"/>
    <n v="4.984399036487563"/>
    <s v="2024-06"/>
    <n v="75.890756302521012"/>
    <n v="54.533799999999999"/>
    <n v="21.356956302521013"/>
    <n v="9.4499806648323066"/>
  </r>
  <r>
    <s v="C0565"/>
    <x v="0"/>
    <x v="0"/>
    <x v="2"/>
    <s v="14.11.2024"/>
    <n v="245"/>
    <n v="91.31"/>
    <n v="23.97"/>
    <n v="76.731092436974791"/>
    <n v="58.726499999999994"/>
    <n v="18.004592436974796"/>
    <n v="7.3488132395815491"/>
    <s v="14.11.2024"/>
    <n v="92.512605042016816"/>
    <n v="77.210499999999996"/>
    <n v="15.302105042016819"/>
    <n v="4.984399036487563"/>
  </r>
  <r>
    <s v="C0566"/>
    <x v="1"/>
    <x v="1"/>
    <x v="1"/>
    <s v="20.04.2024"/>
    <n v="165"/>
    <n v="74.569999999999993"/>
    <n v="29.2"/>
    <n v="62.663865546218481"/>
    <n v="48.18"/>
    <n v="14.483865546218482"/>
    <n v="8.7781003310415038"/>
    <s v="20.04.2024"/>
    <n v="76.731092436974791"/>
    <n v="58.726499999999994"/>
    <n v="18.004592436974796"/>
    <n v="7.3488132395815491"/>
  </r>
  <r>
    <s v="C0567"/>
    <x v="0"/>
    <x v="0"/>
    <x v="1"/>
    <s v="27.01.2024"/>
    <n v="272"/>
    <n v="100.8"/>
    <n v="24.38"/>
    <n v="84.705882352941174"/>
    <n v="66.313599999999994"/>
    <n v="18.39228235294118"/>
    <n v="6.7618685121107278"/>
    <s v="27.01.2024"/>
    <n v="62.663865546218481"/>
    <n v="48.18"/>
    <n v="14.483865546218482"/>
    <n v="8.7781003310415038"/>
  </r>
  <r>
    <s v="C0568"/>
    <x v="0"/>
    <x v="2"/>
    <x v="1"/>
    <s v="15.11.2024"/>
    <n v="375"/>
    <n v="123.62"/>
    <n v="18.670000000000002"/>
    <n v="103.88235294117648"/>
    <n v="70.012500000000003"/>
    <n v="33.869852941176475"/>
    <n v="9.0319607843137266"/>
    <s v="15.11.2024"/>
    <n v="84.705882352941174"/>
    <n v="66.313599999999994"/>
    <n v="18.39228235294118"/>
    <n v="6.7618685121107278"/>
  </r>
  <r>
    <s v="C0569"/>
    <x v="1"/>
    <x v="1"/>
    <x v="2"/>
    <s v="19.01.2025"/>
    <n v="140"/>
    <n v="60.46"/>
    <n v="28.66"/>
    <n v="50.806722689075634"/>
    <n v="40.124000000000002"/>
    <n v="10.682722689075632"/>
    <n v="7.6305162064825947"/>
    <s v="19.01.2025"/>
    <n v="103.88235294117648"/>
    <n v="70.012500000000003"/>
    <n v="33.869852941176475"/>
    <n v="9.0319607843137266"/>
  </r>
  <r>
    <s v="C0570"/>
    <x v="0"/>
    <x v="1"/>
    <x v="0"/>
    <s v="10.02.2025"/>
    <n v="110"/>
    <n v="50.47"/>
    <n v="28.47"/>
    <n v="42.411764705882355"/>
    <n v="31.316999999999997"/>
    <n v="11.094764705882358"/>
    <n v="10.086149732620326"/>
    <s v="10.02.2025"/>
    <n v="50.806722689075634"/>
    <n v="40.124000000000002"/>
    <n v="10.682722689075632"/>
    <n v="7.6305162064825947"/>
  </r>
  <r>
    <s v="C0571"/>
    <x v="0"/>
    <x v="2"/>
    <x v="0"/>
    <s v="22.07.2024"/>
    <n v="562"/>
    <n v="185.3"/>
    <n v="19.23"/>
    <n v="155.71428571428572"/>
    <n v="108.07260000000001"/>
    <n v="47.641685714285714"/>
    <n v="8.4771682765632939"/>
    <s v="22.07.2024"/>
    <n v="42.411764705882355"/>
    <n v="31.316999999999997"/>
    <n v="11.094764705882358"/>
    <n v="10.086149732620326"/>
  </r>
  <r>
    <s v="C0572"/>
    <x v="1"/>
    <x v="1"/>
    <x v="0"/>
    <s v="18.03.2024"/>
    <n v="89"/>
    <n v="42.9"/>
    <n v="31.61"/>
    <n v="36.050420168067227"/>
    <n v="28.132899999999999"/>
    <n v="7.9175201680672274"/>
    <n v="8.8960900764800304"/>
    <s v="18.03.2024"/>
    <n v="155.71428571428572"/>
    <n v="108.07260000000001"/>
    <n v="47.641685714285714"/>
    <n v="8.4771682765632939"/>
  </r>
  <r>
    <s v="C0573"/>
    <x v="0"/>
    <x v="2"/>
    <x v="1"/>
    <s v="05.09.2024"/>
    <n v="391"/>
    <n v="129.04"/>
    <n v="18.22"/>
    <n v="108.43697478991596"/>
    <n v="71.240200000000002"/>
    <n v="37.196774789915963"/>
    <n v="9.5132416342496064"/>
    <s v="05.09.2024"/>
    <n v="36.050420168067227"/>
    <n v="28.132899999999999"/>
    <n v="7.9175201680672274"/>
    <n v="8.8960900764800304"/>
  </r>
  <r>
    <s v="C0574"/>
    <x v="1"/>
    <x v="0"/>
    <x v="1"/>
    <s v="14.04.2024"/>
    <n v="309"/>
    <n v="120.91"/>
    <n v="24.93"/>
    <n v="101.60504201680672"/>
    <n v="77.033699999999996"/>
    <n v="24.571342016806724"/>
    <n v="7.9518906203258011"/>
    <s v="14.04.2024"/>
    <n v="108.43697478991596"/>
    <n v="71.240200000000002"/>
    <n v="37.196774789915963"/>
    <n v="9.5132416342496064"/>
  </r>
  <r>
    <s v="C0575"/>
    <x v="1"/>
    <x v="1"/>
    <x v="0"/>
    <s v="04.11.2024"/>
    <n v="102"/>
    <n v="48.62"/>
    <n v="30.63"/>
    <n v="40.857142857142854"/>
    <n v="31.242599999999996"/>
    <n v="9.6145428571428582"/>
    <n v="9.4260224089635862"/>
    <s v="04.11.2024"/>
    <n v="101.60504201680672"/>
    <n v="77.033699999999996"/>
    <n v="24.571342016806724"/>
    <n v="7.9518906203258011"/>
  </r>
  <r>
    <s v="C0576"/>
    <x v="1"/>
    <x v="2"/>
    <x v="0"/>
    <s v="03.05.2024"/>
    <n v="613"/>
    <n v="202.41"/>
    <n v="21.16"/>
    <n v="170.09243697478993"/>
    <n v="129.71080000000001"/>
    <n v="40.381636974789927"/>
    <n v="6.5875427365073289"/>
    <s v="03.05.2024"/>
    <n v="40.857142857142854"/>
    <n v="31.242599999999996"/>
    <n v="9.6145428571428582"/>
    <n v="9.4260224089635862"/>
  </r>
  <r>
    <s v="C0577"/>
    <x v="0"/>
    <x v="0"/>
    <x v="2"/>
    <s v="12.02.2024"/>
    <n v="213"/>
    <n v="82.69"/>
    <n v="25.28"/>
    <n v="69.487394957983199"/>
    <n v="53.846400000000003"/>
    <n v="15.640994957983196"/>
    <n v="7.3431901211188713"/>
    <s v="12.02.2024"/>
    <n v="170.09243697478993"/>
    <n v="129.71080000000001"/>
    <n v="40.381636974789927"/>
    <n v="6.5875427365073289"/>
  </r>
  <r>
    <s v="C0578"/>
    <x v="1"/>
    <x v="0"/>
    <x v="0"/>
    <s v="21.12.2024"/>
    <n v="274"/>
    <n v="101.14"/>
    <n v="24.27"/>
    <n v="84.991596638655466"/>
    <n v="66.499799999999993"/>
    <n v="18.491796638655472"/>
    <n v="6.7488308900202449"/>
    <s v="21.12.2024"/>
    <n v="69.487394957983199"/>
    <n v="53.846400000000003"/>
    <n v="15.640994957983196"/>
    <n v="7.3431901211188713"/>
  </r>
  <r>
    <s v="C0579"/>
    <x v="0"/>
    <x v="0"/>
    <x v="1"/>
    <s v="29.06.2025"/>
    <n v="282"/>
    <n v="112.21"/>
    <n v="24.63"/>
    <n v="94.294117647058826"/>
    <n v="69.456599999999995"/>
    <n v="24.837517647058831"/>
    <n v="8.8076303712974582"/>
    <s v="29.06.2025"/>
    <n v="84.991596638655466"/>
    <n v="66.499799999999993"/>
    <n v="18.491796638655472"/>
    <n v="6.7488308900202449"/>
  </r>
  <r>
    <s v="C0580"/>
    <x v="0"/>
    <x v="0"/>
    <x v="2"/>
    <s v="14.03.2025"/>
    <n v="252"/>
    <n v="95.97"/>
    <n v="25.59"/>
    <n v="80.64705882352942"/>
    <n v="64.486800000000002"/>
    <n v="16.160258823529418"/>
    <n v="6.4128011204481821"/>
    <s v="14.03.2025"/>
    <n v="94.294117647058826"/>
    <n v="69.456599999999995"/>
    <n v="24.837517647058831"/>
    <n v="8.8076303712974582"/>
  </r>
  <r>
    <s v="C0581"/>
    <x v="0"/>
    <x v="1"/>
    <x v="0"/>
    <s v="14.01.2025"/>
    <n v="109"/>
    <n v="50.4"/>
    <n v="29.6"/>
    <n v="42.352941176470587"/>
    <n v="32.264000000000003"/>
    <n v="10.088941176470584"/>
    <n v="9.2559093362115448"/>
    <s v="14.01.2025"/>
    <n v="80.64705882352942"/>
    <n v="64.486800000000002"/>
    <n v="16.160258823529418"/>
    <n v="6.4128011204481821"/>
  </r>
  <r>
    <s v="C0582"/>
    <x v="1"/>
    <x v="0"/>
    <x v="0"/>
    <s v="11.03.2024"/>
    <n v="202"/>
    <n v="79.11"/>
    <n v="23.31"/>
    <n v="66.478991596638664"/>
    <n v="47.086199999999998"/>
    <n v="19.392791596638666"/>
    <n v="9.6003918795240928"/>
    <s v="11.03.2024"/>
    <n v="42.352941176470587"/>
    <n v="32.264000000000003"/>
    <n v="10.088941176470584"/>
    <n v="9.2559093362115448"/>
  </r>
  <r>
    <s v="C0583"/>
    <x v="0"/>
    <x v="2"/>
    <x v="1"/>
    <s v="02.06.2025"/>
    <n v="344"/>
    <n v="0"/>
    <n v="18.05"/>
    <n v="0"/>
    <n v="62.091999999999999"/>
    <n v="-62.091999999999999"/>
    <n v="-18.05"/>
    <s v="02.06.2025"/>
    <n v="66.478991596638664"/>
    <n v="47.086199999999998"/>
    <n v="19.392791596638666"/>
    <n v="9.6003918795240928"/>
  </r>
  <r>
    <s v="C0584"/>
    <x v="0"/>
    <x v="1"/>
    <x v="2"/>
    <s v="15.12.2024"/>
    <n v="108"/>
    <n v="48.69"/>
    <n v="31.31"/>
    <n v="40.915966386554622"/>
    <n v="33.814799999999998"/>
    <n v="7.101166386554624"/>
    <n v="6.5751540616246524"/>
    <s v="15.12.2024"/>
    <n v="0"/>
    <n v="62.091999999999999"/>
    <n v="-62.091999999999999"/>
    <n v="-18.05"/>
  </r>
  <r>
    <s v="C0585"/>
    <x v="1"/>
    <x v="0"/>
    <x v="0"/>
    <s v="2024-01-13"/>
    <n v="275"/>
    <n v="107.87"/>
    <n v="25.2"/>
    <n v="90.64705882352942"/>
    <n v="69.3"/>
    <n v="21.347058823529423"/>
    <n v="7.7625668449197898"/>
    <s v="2024-01"/>
    <n v="40.915966386554622"/>
    <n v="33.814799999999998"/>
    <n v="7.101166386554624"/>
    <n v="6.5751540616246524"/>
  </r>
  <r>
    <s v="C0586"/>
    <x v="0"/>
    <x v="1"/>
    <x v="2"/>
    <s v="06.03.2025"/>
    <n v="162"/>
    <n v="71.44"/>
    <n v="28.42"/>
    <n v="60.033613445378151"/>
    <n v="46.040399999999998"/>
    <n v="13.993213445378153"/>
    <n v="8.6377860773939226"/>
    <s v="06.03.2025"/>
    <n v="90.64705882352942"/>
    <n v="69.3"/>
    <n v="21.347058823529423"/>
    <n v="7.7625668449197898"/>
  </r>
  <r>
    <s v="C0587"/>
    <x v="0"/>
    <x v="2"/>
    <x v="0"/>
    <s v="16.05.2025"/>
    <n v="624"/>
    <n v="202.33"/>
    <n v="21.38"/>
    <n v="170.02521008403363"/>
    <n v="133.41119999999998"/>
    <n v="36.614010084033652"/>
    <n v="5.8676298211592393"/>
    <s v="16.05.2025"/>
    <n v="60.033613445378151"/>
    <n v="46.040399999999998"/>
    <n v="13.993213445378153"/>
    <n v="8.6377860773939226"/>
  </r>
  <r>
    <s v="C0588"/>
    <x v="0"/>
    <x v="1"/>
    <x v="0"/>
    <s v="18.04.2024"/>
    <n v="147"/>
    <n v="63.89"/>
    <n v="29.86"/>
    <n v="53.689075630252105"/>
    <n v="43.894199999999998"/>
    <n v="9.7948756302521076"/>
    <n v="6.6631807008517745"/>
    <s v="18.04.2024"/>
    <n v="170.02521008403363"/>
    <n v="133.41119999999998"/>
    <n v="36.614010084033652"/>
    <n v="5.8676298211592393"/>
  </r>
  <r>
    <s v="C0589"/>
    <x v="0"/>
    <x v="2"/>
    <x v="1"/>
    <s v="19.03.2025"/>
    <n v="596"/>
    <n v="200.42"/>
    <n v="17.09"/>
    <n v="168.42016806722688"/>
    <n v="101.85639999999999"/>
    <n v="66.563768067226889"/>
    <n v="11.168417460944109"/>
    <s v="19.03.2025"/>
    <n v="53.689075630252105"/>
    <n v="43.894199999999998"/>
    <n v="9.7948756302521076"/>
    <n v="6.6631807008517745"/>
  </r>
  <r>
    <s v="C0590"/>
    <x v="0"/>
    <x v="0"/>
    <x v="2"/>
    <s v="05.01.2025"/>
    <n v="277"/>
    <n v="108.33"/>
    <n v="25.92"/>
    <n v="91.033613445378151"/>
    <n v="71.798400000000001"/>
    <n v="19.23521344537815"/>
    <n v="6.9441203773928342"/>
    <s v="05.01.2025"/>
    <n v="168.42016806722688"/>
    <n v="101.85639999999999"/>
    <n v="66.563768067226889"/>
    <n v="11.168417460944109"/>
  </r>
  <r>
    <s v="C0591"/>
    <x v="0"/>
    <x v="1"/>
    <x v="0"/>
    <s v="15.04.2025"/>
    <n v="105"/>
    <n v="47.3"/>
    <n v="28.86"/>
    <n v="39.747899159663866"/>
    <n v="30.302999999999997"/>
    <n v="9.4448991596638692"/>
    <n v="8.9951420568227327"/>
    <s v="15.04.2025"/>
    <n v="91.033613445378151"/>
    <n v="71.798400000000001"/>
    <n v="19.23521344537815"/>
    <n v="6.9441203773928342"/>
  </r>
  <r>
    <s v="C0592"/>
    <x v="1"/>
    <x v="1"/>
    <x v="2"/>
    <s v="05.06.2024"/>
    <n v="159"/>
    <n v="66.45"/>
    <n v="30.27"/>
    <n v="55.840336134453786"/>
    <n v="48.129300000000001"/>
    <n v="7.711036134453785"/>
    <n v="4.8497082606627577"/>
    <s v="05.06.2024"/>
    <n v="39.747899159663866"/>
    <n v="30.302999999999997"/>
    <n v="9.4448991596638692"/>
    <n v="8.9951420568227327"/>
  </r>
  <r>
    <s v="C0593"/>
    <x v="0"/>
    <x v="1"/>
    <x v="1"/>
    <s v="21.03.2025"/>
    <n v="139"/>
    <n v="62.57"/>
    <n v="30.38"/>
    <n v="52.579831932773111"/>
    <n v="42.228199999999994"/>
    <n v="10.351631932773117"/>
    <n v="7.4472172178223852"/>
    <s v="21.03.2025"/>
    <n v="55.840336134453786"/>
    <n v="48.129300000000001"/>
    <n v="7.711036134453785"/>
    <n v="4.8497082606627577"/>
  </r>
  <r>
    <s v="C0594"/>
    <x v="0"/>
    <x v="0"/>
    <x v="0"/>
    <s v="29.06.2024"/>
    <n v="260"/>
    <n v="97.19"/>
    <n v="26.96"/>
    <n v="81.672268907563023"/>
    <n v="70.096000000000004"/>
    <n v="11.576268907563019"/>
    <n v="4.4524111182934689"/>
    <s v="29.06.2024"/>
    <n v="52.579831932773111"/>
    <n v="42.228199999999994"/>
    <n v="10.351631932773117"/>
    <n v="7.4472172178223852"/>
  </r>
  <r>
    <s v="C0595"/>
    <x v="1"/>
    <x v="1"/>
    <x v="0"/>
    <s v="18.06.2025"/>
    <n v="92"/>
    <n v="45.1"/>
    <n v="28.13"/>
    <n v="37.899159663865547"/>
    <n v="25.8796"/>
    <n v="12.019559663865547"/>
    <n v="13.064738765071246"/>
    <s v="18.06.2025"/>
    <n v="81.672268907563023"/>
    <n v="70.096000000000004"/>
    <n v="11.576268907563019"/>
    <n v="4.4524111182934689"/>
  </r>
  <r>
    <s v="C0596"/>
    <x v="0"/>
    <x v="2"/>
    <x v="2"/>
    <s v="03.10.2024"/>
    <n v="482"/>
    <n v="163.04"/>
    <n v="19.79"/>
    <n v="137.00840336134453"/>
    <n v="95.387799999999984"/>
    <n v="41.62060336134455"/>
    <n v="8.6349799504864215"/>
    <s v="03.10.2024"/>
    <n v="37.899159663865547"/>
    <n v="25.8796"/>
    <n v="12.019559663865547"/>
    <n v="13.064738765071246"/>
  </r>
  <r>
    <s v="C0597"/>
    <x v="1"/>
    <x v="0"/>
    <x v="0"/>
    <s v="10.05.2025"/>
    <n v="243"/>
    <n v="94.65"/>
    <n v="26.13"/>
    <n v="79.537815126050432"/>
    <n v="63.495899999999999"/>
    <n v="16.041915126050434"/>
    <n v="6.6016111629837173"/>
    <s v="10.05.2025"/>
    <n v="137.00840336134453"/>
    <n v="95.387799999999984"/>
    <n v="41.62060336134455"/>
    <n v="8.6349799504864215"/>
  </r>
  <r>
    <s v="C0598"/>
    <x v="0"/>
    <x v="1"/>
    <x v="0"/>
    <s v="21.04.2025"/>
    <n v="156"/>
    <n v="64.84"/>
    <n v="28.41"/>
    <n v="54.487394957983199"/>
    <n v="44.319600000000001"/>
    <n v="10.167794957983197"/>
    <n v="6.51781728075846"/>
    <s v="21.04.2025"/>
    <n v="79.537815126050432"/>
    <n v="63.495899999999999"/>
    <n v="16.041915126050434"/>
    <n v="6.6016111629837173"/>
  </r>
  <r>
    <s v="C0599"/>
    <x v="0"/>
    <x v="0"/>
    <x v="0"/>
    <s v="22.03.2025"/>
    <n v="258"/>
    <n v="96.41"/>
    <n v="22.69"/>
    <n v="81.016806722689083"/>
    <n v="58.540200000000006"/>
    <n v="22.476606722689077"/>
    <n v="8.71186307080972"/>
    <s v="22.03.2025"/>
    <n v="54.487394957983199"/>
    <n v="44.319600000000001"/>
    <n v="10.167794957983197"/>
    <n v="6.51781728075846"/>
  </r>
  <r>
    <s v="C0600"/>
    <x v="0"/>
    <x v="0"/>
    <x v="2"/>
    <s v="01.10.2024"/>
    <n v="230"/>
    <n v="88.43"/>
    <n v="24.27"/>
    <n v="74.310924369747909"/>
    <n v="55.820999999999998"/>
    <n v="18.489924369747911"/>
    <n v="8.0390975520643089"/>
    <s v="01.10.2024"/>
    <n v="81.016806722689083"/>
    <n v="58.540200000000006"/>
    <n v="22.476606722689077"/>
    <n v="8.71186307080972"/>
  </r>
  <r>
    <s v="C0601"/>
    <x v="0"/>
    <x v="1"/>
    <x v="1"/>
    <s v="26.11.2024"/>
    <n v="165"/>
    <n v="66.88"/>
    <n v="29.19"/>
    <n v="56.201680672268907"/>
    <n v="48.163500000000006"/>
    <n v="8.0381806722689007"/>
    <n v="4.8716246498599398"/>
    <s v="26.11.2024"/>
    <n v="74.310924369747909"/>
    <n v="55.820999999999998"/>
    <n v="18.489924369747911"/>
    <n v="8.0390975520643089"/>
  </r>
  <r>
    <s v="C0602"/>
    <x v="0"/>
    <x v="1"/>
    <x v="1"/>
    <s v="08.09.2024"/>
    <n v="92"/>
    <n v="47.46"/>
    <n v="31.75"/>
    <n v="39.882352941176471"/>
    <n v="29.21"/>
    <n v="10.67235294117647"/>
    <n v="11.600383631713553"/>
    <s v="08.09.2024"/>
    <n v="56.201680672268907"/>
    <n v="48.163500000000006"/>
    <n v="8.0381806722689007"/>
    <n v="4.8716246498599398"/>
  </r>
  <r>
    <s v="C0603"/>
    <x v="0"/>
    <x v="1"/>
    <x v="0"/>
    <s v="2024-03-29"/>
    <n v="118"/>
    <n v="57.41"/>
    <n v="31.27"/>
    <n v="48.243697478991599"/>
    <n v="36.898600000000002"/>
    <n v="11.345097478991597"/>
    <n v="9.6144893889759295"/>
    <s v="2024-03"/>
    <n v="39.882352941176471"/>
    <n v="29.21"/>
    <n v="10.67235294117647"/>
    <n v="11.600383631713553"/>
  </r>
  <r>
    <s v="C0604"/>
    <x v="0"/>
    <x v="0"/>
    <x v="1"/>
    <s v="2024-10-12"/>
    <n v="45363"/>
    <n v="67.87"/>
    <n v="25.93"/>
    <n v="57.033613445378158"/>
    <n v="11762.625900000001"/>
    <n v="-11705.592286554624"/>
    <n v="-25.804272835911696"/>
    <s v="2024-10"/>
    <n v="48.243697478991599"/>
    <n v="36.898600000000002"/>
    <n v="11.345097478991597"/>
    <n v="9.6144893889759295"/>
  </r>
  <r>
    <s v="C0605"/>
    <x v="0"/>
    <x v="0"/>
    <x v="1"/>
    <s v="06.04.2025"/>
    <n v="290"/>
    <n v="110.32"/>
    <n v="23.04"/>
    <n v="92.705882352941174"/>
    <n v="66.815999999999988"/>
    <n v="25.889882352941186"/>
    <n v="8.9275456389452366"/>
    <s v="06.04.2025"/>
    <n v="57.033613445378158"/>
    <n v="11762.625900000001"/>
    <n v="-11705.592286554624"/>
    <n v="-25.804272835911696"/>
  </r>
  <r>
    <s v="C0606"/>
    <x v="0"/>
    <x v="0"/>
    <x v="2"/>
    <s v="06.09.2024"/>
    <n v="319"/>
    <n v="124.73"/>
    <n v="25.88"/>
    <n v="104.81512605042018"/>
    <n v="82.557199999999995"/>
    <n v="22.257926050420181"/>
    <n v="6.9774062853981755"/>
    <s v="06.09.2024"/>
    <n v="92.705882352941174"/>
    <n v="66.815999999999988"/>
    <n v="25.889882352941186"/>
    <n v="8.9275456389452366"/>
  </r>
  <r>
    <s v="C0607"/>
    <x v="0"/>
    <x v="2"/>
    <x v="2"/>
    <s v="20.04.2025"/>
    <n v="426"/>
    <n v="151.36000000000001"/>
    <n v="18.66"/>
    <n v="127.19327731092439"/>
    <n v="79.491600000000005"/>
    <n v="47.701677310924381"/>
    <n v="11.197576833550324"/>
    <s v="20.04.2025"/>
    <n v="104.81512605042018"/>
    <n v="82.557199999999995"/>
    <n v="22.257926050420181"/>
    <n v="6.9774062853981755"/>
  </r>
  <r>
    <s v="C0608"/>
    <x v="0"/>
    <x v="2"/>
    <x v="0"/>
    <s v="23.01.2025"/>
    <n v="620"/>
    <n v="196.36"/>
    <n v="18.239999999999998"/>
    <n v="165.00840336134456"/>
    <n v="113.08799999999999"/>
    <n v="51.920403361344569"/>
    <n v="8.3742586066684783"/>
    <s v="23.01.2025"/>
    <n v="127.19327731092439"/>
    <n v="79.491600000000005"/>
    <n v="47.701677310924381"/>
    <n v="11.197576833550324"/>
  </r>
  <r>
    <s v="C0609"/>
    <x v="0"/>
    <x v="0"/>
    <x v="1"/>
    <s v="10.12.2024"/>
    <n v="216"/>
    <n v="86.36"/>
    <n v="22.2"/>
    <n v="72.571428571428569"/>
    <n v="47.951999999999998"/>
    <n v="24.619428571428571"/>
    <n v="11.397883597883597"/>
    <s v="10.12.2024"/>
    <n v="165.00840336134456"/>
    <n v="113.08799999999999"/>
    <n v="51.920403361344569"/>
    <n v="8.3742586066684783"/>
  </r>
  <r>
    <s v="C0610"/>
    <x v="1"/>
    <x v="2"/>
    <x v="0"/>
    <s v="30.01.2024"/>
    <n v="637"/>
    <n v="210.15"/>
    <n v="16.760000000000002"/>
    <n v="176.59663865546219"/>
    <n v="106.7612"/>
    <n v="69.835438655462184"/>
    <n v="10.963177182961097"/>
    <s v="30.01.2024"/>
    <n v="72.571428571428569"/>
    <n v="47.951999999999998"/>
    <n v="24.619428571428571"/>
    <n v="11.397883597883597"/>
  </r>
  <r>
    <s v="C0611"/>
    <x v="0"/>
    <x v="1"/>
    <x v="0"/>
    <s v="21.05.2025"/>
    <n v="146"/>
    <n v="63.32"/>
    <n v="32.770000000000003"/>
    <n v="53.210084033613448"/>
    <n v="47.844200000000001"/>
    <n v="5.3658840336134475"/>
    <n v="3.6752630367215393"/>
    <s v="21.05.2025"/>
    <n v="176.59663865546219"/>
    <n v="106.7612"/>
    <n v="69.835438655462184"/>
    <n v="10.963177182961097"/>
  </r>
  <r>
    <s v="C0612"/>
    <x v="1"/>
    <x v="1"/>
    <x v="0"/>
    <s v="28.11.2024"/>
    <n v="151"/>
    <n v="61.34"/>
    <n v="29.83"/>
    <n v="51.546218487394967"/>
    <n v="45.043300000000002"/>
    <n v="6.5029184873949646"/>
    <n v="4.306568534698652"/>
    <s v="28.11.2024"/>
    <n v="53.210084033613448"/>
    <n v="47.844200000000001"/>
    <n v="5.3658840336134475"/>
    <n v="3.6752630367215393"/>
  </r>
  <r>
    <s v="C0613"/>
    <x v="1"/>
    <x v="1"/>
    <x v="0"/>
    <s v="05.07.2024"/>
    <n v="84"/>
    <n v="42.65"/>
    <n v="28.91"/>
    <n v="35.840336134453779"/>
    <n v="24.284400000000002"/>
    <n v="11.555936134453777"/>
    <n v="13.757066826730687"/>
    <s v="05.07.2024"/>
    <n v="51.546218487394967"/>
    <n v="45.043300000000002"/>
    <n v="6.5029184873949646"/>
    <n v="4.306568534698652"/>
  </r>
  <r>
    <s v="C0614"/>
    <x v="0"/>
    <x v="1"/>
    <x v="0"/>
    <s v="14.05.2025"/>
    <n v="164"/>
    <n v="65.03"/>
    <n v="32.46"/>
    <n v="54.647058823529413"/>
    <n v="53.234400000000008"/>
    <n v="1.4126588235294051"/>
    <n v="0.86137733142036887"/>
    <s v="14.05.2025"/>
    <n v="35.840336134453779"/>
    <n v="24.284400000000002"/>
    <n v="11.555936134453777"/>
    <n v="13.757066826730687"/>
  </r>
  <r>
    <s v="C0615"/>
    <x v="1"/>
    <x v="0"/>
    <x v="1"/>
    <s v="05.08.2024"/>
    <n v="288"/>
    <n v="104.73"/>
    <n v="23.01"/>
    <n v="88.008403361344548"/>
    <n v="66.268799999999999"/>
    <n v="21.73960336134455"/>
    <n v="7.5484733893557463"/>
    <s v="05.08.2024"/>
    <n v="54.647058823529413"/>
    <n v="53.234400000000008"/>
    <n v="1.4126588235294051"/>
    <n v="0.86137733142036887"/>
  </r>
  <r>
    <s v="C0616"/>
    <x v="1"/>
    <x v="2"/>
    <x v="0"/>
    <s v="29.12.2024"/>
    <n v="435"/>
    <n v="145.63"/>
    <n v="19.39"/>
    <n v="122.3781512605042"/>
    <n v="84.346499999999992"/>
    <n v="38.031651260504205"/>
    <n v="8.7429083357480923"/>
    <s v="29.12.2024"/>
    <n v="88.008403361344548"/>
    <n v="66.268799999999999"/>
    <n v="21.73960336134455"/>
    <n v="7.5484733893557463"/>
  </r>
  <r>
    <s v="C0617"/>
    <x v="0"/>
    <x v="1"/>
    <x v="1"/>
    <s v="21.09.2024"/>
    <n v="153"/>
    <n v="66.489999999999995"/>
    <n v="29.44"/>
    <n v="55.87394957983193"/>
    <n v="45.043200000000006"/>
    <n v="10.830749579831924"/>
    <n v="7.0789212940077935"/>
    <s v="21.09.2024"/>
    <n v="122.3781512605042"/>
    <n v="84.346499999999992"/>
    <n v="38.031651260504205"/>
    <n v="8.7429083357480923"/>
  </r>
  <r>
    <s v="C0618"/>
    <x v="0"/>
    <x v="1"/>
    <x v="0"/>
    <s v="14.12.2024"/>
    <n v="107"/>
    <n v="49.87"/>
    <n v="31.29"/>
    <n v="41.907563025210081"/>
    <n v="33.4803"/>
    <n v="8.4272630252100811"/>
    <n v="7.8759467525327862"/>
    <s v="14.12.2024"/>
    <n v="55.87394957983193"/>
    <n v="45.043200000000006"/>
    <n v="10.830749579831924"/>
    <n v="7.0789212940077935"/>
  </r>
  <r>
    <s v="C0619"/>
    <x v="1"/>
    <x v="0"/>
    <x v="0"/>
    <s v="13.10.2024"/>
    <n v="312"/>
    <n v="115.44"/>
    <n v="25.28"/>
    <n v="97.008403361344534"/>
    <n v="78.87360000000001"/>
    <n v="18.134803361344524"/>
    <n v="5.8124369747899109"/>
    <s v="13.10.2024"/>
    <n v="41.907563025210081"/>
    <n v="33.4803"/>
    <n v="8.4272630252100811"/>
    <n v="7.8759467525327862"/>
  </r>
  <r>
    <s v="C0620"/>
    <x v="1"/>
    <x v="2"/>
    <x v="1"/>
    <s v="09.10.2024"/>
    <n v="371"/>
    <n v="132.66999999999999"/>
    <n v="18.89"/>
    <n v="111.48739495798318"/>
    <n v="70.081900000000005"/>
    <n v="41.40549495798318"/>
    <n v="11.160510770345871"/>
    <s v="09.10.2024"/>
    <n v="97.008403361344534"/>
    <n v="78.87360000000001"/>
    <n v="18.134803361344524"/>
    <n v="5.8124369747899109"/>
  </r>
  <r>
    <s v="C0621"/>
    <x v="0"/>
    <x v="1"/>
    <x v="0"/>
    <s v="11.01.2024"/>
    <n v="142"/>
    <n v="62.13"/>
    <n v="29.4"/>
    <n v="52.210084033613448"/>
    <n v="41.748000000000005"/>
    <n v="10.462084033613444"/>
    <n v="7.3676648124038335"/>
    <s v="11.01.2024"/>
    <n v="111.48739495798318"/>
    <n v="70.081900000000005"/>
    <n v="41.40549495798318"/>
    <n v="11.160510770345871"/>
  </r>
  <r>
    <s v="C0622"/>
    <x v="0"/>
    <x v="0"/>
    <x v="0"/>
    <s v="13.06.2025"/>
    <n v="257"/>
    <n v="98.98"/>
    <n v="23.45"/>
    <n v="83.176470588235304"/>
    <n v="60.266499999999994"/>
    <n v="22.909970588235311"/>
    <n v="8.9143854428931171"/>
    <s v="13.06.2025"/>
    <n v="52.210084033613448"/>
    <n v="41.748000000000005"/>
    <n v="10.462084033613444"/>
    <n v="7.3676648124038335"/>
  </r>
  <r>
    <s v="C0623"/>
    <x v="0"/>
    <x v="1"/>
    <x v="1"/>
    <s v="14.07.2024"/>
    <n v="91"/>
    <n v="44.99"/>
    <n v="31.22"/>
    <n v="37.806722689075634"/>
    <n v="28.4102"/>
    <n v="9.3965226890756348"/>
    <n v="10.325849108874325"/>
    <s v="14.07.2024"/>
    <n v="83.176470588235304"/>
    <n v="60.266499999999994"/>
    <n v="22.909970588235311"/>
    <n v="8.9143854428931171"/>
  </r>
  <r>
    <s v="C0624"/>
    <x v="0"/>
    <x v="1"/>
    <x v="0"/>
    <s v="28.03.2024"/>
    <n v="103"/>
    <n v="48.44"/>
    <n v="29.31"/>
    <n v="40.705882352941174"/>
    <n v="30.189299999999999"/>
    <n v="10.516582352941175"/>
    <n v="10.2102741290691"/>
    <s v="28.03.2024"/>
    <n v="37.806722689075634"/>
    <n v="28.4102"/>
    <n v="9.3965226890756348"/>
    <n v="10.325849108874325"/>
  </r>
  <r>
    <s v="C0625"/>
    <x v="1"/>
    <x v="2"/>
    <x v="0"/>
    <s v="04.09.2024"/>
    <n v="337"/>
    <n v="123.32"/>
    <n v="17.55"/>
    <n v="103.63025210084034"/>
    <n v="59.143500000000003"/>
    <n v="44.486752100840334"/>
    <n v="13.200816647133632"/>
    <s v="04.09.2024"/>
    <n v="40.705882352941174"/>
    <n v="30.189299999999999"/>
    <n v="10.516582352941175"/>
    <n v="10.2102741290691"/>
  </r>
  <r>
    <s v="C0626"/>
    <x v="0"/>
    <x v="2"/>
    <x v="0"/>
    <s v="20.02.2025"/>
    <n v="490"/>
    <n v="166.96"/>
    <n v="16.920000000000002"/>
    <n v="140.30252100840337"/>
    <n v="82.908000000000015"/>
    <n v="57.394521008403359"/>
    <n v="11.71316755273538"/>
    <s v="20.02.2025"/>
    <n v="103.63025210084034"/>
    <n v="59.143500000000003"/>
    <n v="44.486752100840334"/>
    <n v="13.200816647133632"/>
  </r>
  <r>
    <s v="C0627"/>
    <x v="0"/>
    <x v="1"/>
    <x v="2"/>
    <s v="15.05.2025"/>
    <n v="108"/>
    <n v="51.56"/>
    <n v="31.87"/>
    <n v="43.327731092436977"/>
    <n v="34.419600000000003"/>
    <n v="8.9081310924369745"/>
    <n v="8.2482695300342357"/>
    <s v="15.05.2025"/>
    <n v="140.30252100840337"/>
    <n v="82.908000000000015"/>
    <n v="57.394521008403359"/>
    <n v="11.71316755273538"/>
  </r>
  <r>
    <s v="C0628"/>
    <x v="1"/>
    <x v="2"/>
    <x v="1"/>
    <s v="03.09.2024"/>
    <n v="533"/>
    <n v="178.72"/>
    <n v="18.91"/>
    <n v="150.18487394957984"/>
    <n v="100.7903"/>
    <n v="49.394573949579836"/>
    <n v="9.2672746622101005"/>
    <s v="03.09.2024"/>
    <n v="43.327731092436977"/>
    <n v="34.419600000000003"/>
    <n v="8.9081310924369745"/>
    <n v="8.2482695300342357"/>
  </r>
  <r>
    <s v="C0629"/>
    <x v="0"/>
    <x v="0"/>
    <x v="1"/>
    <s v="02.05.2025"/>
    <n v="216"/>
    <n v="85.97"/>
    <n v="27.36"/>
    <n v="72.243697478991592"/>
    <n v="59.0976"/>
    <n v="13.146097478991592"/>
    <n v="6.0861562402738851"/>
    <s v="02.05.2025"/>
    <n v="150.18487394957984"/>
    <n v="100.7903"/>
    <n v="49.394573949579836"/>
    <n v="9.2672746622101005"/>
  </r>
  <r>
    <s v="C0630"/>
    <x v="0"/>
    <x v="2"/>
    <x v="1"/>
    <s v="2025-05-17"/>
    <n v="433"/>
    <n v="147.11000000000001"/>
    <n v="19.61"/>
    <n v="123.62184873949582"/>
    <n v="84.911299999999997"/>
    <n v="38.71054873949582"/>
    <n v="8.9400805402992649"/>
    <s v="2025-05"/>
    <n v="72.243697478991592"/>
    <n v="59.0976"/>
    <n v="13.146097478991592"/>
    <n v="6.0861562402738851"/>
  </r>
  <r>
    <s v="C0631"/>
    <x v="1"/>
    <x v="0"/>
    <x v="0"/>
    <s v="03.04.2025"/>
    <n v="290"/>
    <n v="106.96"/>
    <n v="23.52"/>
    <n v="89.882352941176464"/>
    <n v="68.207999999999998"/>
    <n v="21.674352941176465"/>
    <n v="7.4739148073022292"/>
    <s v="03.04.2025"/>
    <n v="123.62184873949582"/>
    <n v="84.911299999999997"/>
    <n v="38.71054873949582"/>
    <n v="8.9400805402992649"/>
  </r>
  <r>
    <s v="C0632"/>
    <x v="1"/>
    <x v="0"/>
    <x v="0"/>
    <s v="18.01.2024"/>
    <n v="175"/>
    <n v="68.12"/>
    <n v="25.23"/>
    <n v="57.243697478991606"/>
    <n v="44.152500000000003"/>
    <n v="13.091197478991603"/>
    <n v="7.4806842737094872"/>
    <s v="18.01.2024"/>
    <n v="89.882352941176464"/>
    <n v="68.207999999999998"/>
    <n v="21.674352941176465"/>
    <n v="7.4739148073022292"/>
  </r>
  <r>
    <s v="C0633"/>
    <x v="0"/>
    <x v="0"/>
    <x v="1"/>
    <s v="05.04.2024"/>
    <n v="317"/>
    <n v="121.77"/>
    <n v="25.29"/>
    <n v="102.32773109243698"/>
    <n v="80.169299999999993"/>
    <n v="22.158431092436984"/>
    <n v="6.9900413540810682"/>
    <s v="05.04.2024"/>
    <n v="57.243697478991606"/>
    <n v="44.152500000000003"/>
    <n v="13.091197478991603"/>
    <n v="7.4806842737094872"/>
  </r>
  <r>
    <s v="C0634"/>
    <x v="0"/>
    <x v="0"/>
    <x v="0"/>
    <s v="28.10.2024"/>
    <n v="308"/>
    <n v="116.59"/>
    <n v="23.54"/>
    <n v="97.974789915966397"/>
    <n v="72.503199999999993"/>
    <n v="25.471589915966405"/>
    <n v="8.2699967259631197"/>
    <s v="28.10.2024"/>
    <n v="102.32773109243698"/>
    <n v="80.169299999999993"/>
    <n v="22.158431092436984"/>
    <n v="6.9900413540810682"/>
  </r>
  <r>
    <s v="C0635"/>
    <x v="0"/>
    <x v="1"/>
    <x v="0"/>
    <s v="14.08.2024"/>
    <n v="139"/>
    <n v="59.38"/>
    <n v="29.84"/>
    <n v="49.899159663865554"/>
    <n v="41.477600000000002"/>
    <n v="8.4215596638655512"/>
    <n v="6.0586760171694616"/>
    <s v="14.08.2024"/>
    <n v="97.974789915966397"/>
    <n v="72.503199999999993"/>
    <n v="25.471589915966405"/>
    <n v="8.2699967259631197"/>
  </r>
  <r>
    <s v="C0636"/>
    <x v="0"/>
    <x v="1"/>
    <x v="0"/>
    <s v="18.02.2025"/>
    <n v="133"/>
    <n v="61.81"/>
    <n v="29.21"/>
    <n v="51.941176470588239"/>
    <n v="38.849299999999999"/>
    <n v="13.09187647058824"/>
    <n v="9.8435161432994285"/>
    <s v="18.02.2025"/>
    <n v="49.899159663865554"/>
    <n v="41.477600000000002"/>
    <n v="8.4215596638655512"/>
    <n v="6.0586760171694616"/>
  </r>
  <r>
    <s v="C0637"/>
    <x v="0"/>
    <x v="1"/>
    <x v="0"/>
    <s v="06.09.2024"/>
    <n v="158"/>
    <n v="65.03"/>
    <n v="31.73"/>
    <n v="54.647058823529413"/>
    <n v="50.133400000000002"/>
    <n v="4.5136588235294113"/>
    <n v="2.8567460908413995"/>
    <s v="06.09.2024"/>
    <n v="51.941176470588239"/>
    <n v="38.849299999999999"/>
    <n v="13.09187647058824"/>
    <n v="9.8435161432994285"/>
  </r>
  <r>
    <s v="C0638"/>
    <x v="0"/>
    <x v="0"/>
    <x v="2"/>
    <s v="09.11.2024"/>
    <n v="198"/>
    <n v="80.59"/>
    <n v="22.47"/>
    <n v="67.722689075630257"/>
    <n v="44.490599999999993"/>
    <n v="23.232089075630263"/>
    <n v="11.733378321025386"/>
    <s v="09.11.2024"/>
    <n v="54.647058823529413"/>
    <n v="50.133400000000002"/>
    <n v="4.5136588235294113"/>
    <n v="2.8567460908413995"/>
  </r>
  <r>
    <s v="C0639"/>
    <x v="0"/>
    <x v="1"/>
    <x v="0"/>
    <s v="12.01.2025"/>
    <n v="90"/>
    <n v="41.93"/>
    <n v="31.73"/>
    <n v="35.235294117647058"/>
    <n v="28.556999999999999"/>
    <n v="6.6782941176470594"/>
    <n v="7.4203267973856217"/>
    <s v="12.01.2025"/>
    <n v="67.722689075630257"/>
    <n v="44.490599999999993"/>
    <n v="23.232089075630263"/>
    <n v="11.733378321025386"/>
  </r>
  <r>
    <s v="C0640"/>
    <x v="0"/>
    <x v="0"/>
    <x v="0"/>
    <s v="29.04.2025"/>
    <n v="207"/>
    <n v="84.76"/>
    <n v="24.74"/>
    <n v="71.226890756302524"/>
    <n v="51.211799999999997"/>
    <n v="20.015090756302527"/>
    <n v="9.6691259692282738"/>
    <s v="29.04.2025"/>
    <n v="35.235294117647058"/>
    <n v="28.556999999999999"/>
    <n v="6.6782941176470594"/>
    <n v="7.4203267973856217"/>
  </r>
  <r>
    <s v="C0641"/>
    <x v="0"/>
    <x v="2"/>
    <x v="0"/>
    <s v="27.06.2025"/>
    <n v="598"/>
    <n v="206.4"/>
    <n v="19.16"/>
    <n v="173.44537815126051"/>
    <n v="114.57680000000001"/>
    <n v="58.868578151260508"/>
    <n v="9.8442438380034289"/>
    <s v="27.06.2025"/>
    <n v="71.226890756302524"/>
    <n v="51.211799999999997"/>
    <n v="20.015090756302527"/>
    <n v="9.6691259692282738"/>
  </r>
  <r>
    <s v="C0642"/>
    <x v="0"/>
    <x v="1"/>
    <x v="2"/>
    <s v="18.12.2024"/>
    <n v="86"/>
    <n v="40.14"/>
    <n v="28.13"/>
    <n v="33.731092436974791"/>
    <n v="24.191799999999997"/>
    <n v="9.5392924369747938"/>
    <n v="11.092200508110226"/>
    <s v="18.12.2024"/>
    <n v="173.44537815126051"/>
    <n v="114.57680000000001"/>
    <n v="58.868578151260508"/>
    <n v="9.8442438380034289"/>
  </r>
  <r>
    <s v="C0643"/>
    <x v="0"/>
    <x v="0"/>
    <x v="0"/>
    <s v="11.03.2025"/>
    <n v="264"/>
    <n v="101.42"/>
    <n v="23.9"/>
    <n v="85.226890756302524"/>
    <n v="63.095999999999997"/>
    <n v="22.130890756302527"/>
    <n v="8.3829131652661086"/>
    <s v="11.03.2025"/>
    <n v="33.731092436974791"/>
    <n v="24.191799999999997"/>
    <n v="9.5392924369747938"/>
    <n v="11.092200508110226"/>
  </r>
  <r>
    <s v="C0644"/>
    <x v="0"/>
    <x v="0"/>
    <x v="0"/>
    <s v="04.12.2024"/>
    <n v="332"/>
    <n v="120.39"/>
    <n v="23.63"/>
    <n v="101.16806722689076"/>
    <n v="78.451599999999999"/>
    <n v="22.716467226890757"/>
    <n v="6.8423094056899867"/>
    <s v="04.12.2024"/>
    <n v="85.226890756302524"/>
    <n v="63.095999999999997"/>
    <n v="22.130890756302527"/>
    <n v="8.3829131652661086"/>
  </r>
  <r>
    <s v="C0645"/>
    <x v="0"/>
    <x v="2"/>
    <x v="1"/>
    <s v="26.12.2024"/>
    <n v="619"/>
    <n v="205.89"/>
    <n v="17.309999999999999"/>
    <n v="173.01680672268907"/>
    <n v="107.1489"/>
    <n v="65.867906722689071"/>
    <n v="10.641018856654131"/>
    <s v="26.12.2024"/>
    <n v="101.16806722689076"/>
    <n v="78.451599999999999"/>
    <n v="22.716467226890757"/>
    <n v="6.8423094056899867"/>
  </r>
  <r>
    <s v="C0646"/>
    <x v="1"/>
    <x v="1"/>
    <x v="1"/>
    <s v="09.04.2025"/>
    <n v="127"/>
    <n v="56.09"/>
    <n v="30.63"/>
    <n v="47.134453781512612"/>
    <n v="38.900099999999995"/>
    <n v="8.2343537815126169"/>
    <n v="6.4837431350493056"/>
    <s v="09.04.2025"/>
    <n v="173.01680672268907"/>
    <n v="107.1489"/>
    <n v="65.867906722689071"/>
    <n v="10.641018856654131"/>
  </r>
  <r>
    <s v="C0647"/>
    <x v="1"/>
    <x v="0"/>
    <x v="0"/>
    <s v="04.10.2024"/>
    <n v="178"/>
    <n v="72.53"/>
    <n v="25.88"/>
    <n v="60.949579831932773"/>
    <n v="46.066399999999994"/>
    <n v="14.883179831932779"/>
    <n v="8.3613369842318992"/>
    <s v="04.10.2024"/>
    <n v="47.134453781512612"/>
    <n v="38.900099999999995"/>
    <n v="8.2343537815126169"/>
    <n v="6.4837431350493056"/>
  </r>
  <r>
    <s v="C0648"/>
    <x v="1"/>
    <x v="2"/>
    <x v="0"/>
    <s v="09.11.2024"/>
    <n v="611"/>
    <n v="199.68"/>
    <n v="19.309999999999999"/>
    <n v="167.79831932773109"/>
    <n v="117.9841"/>
    <n v="49.814219327731095"/>
    <n v="8.1529000536384775"/>
    <s v="09.11.2024"/>
    <n v="60.949579831932773"/>
    <n v="46.066399999999994"/>
    <n v="14.883179831932779"/>
    <n v="8.3613369842318992"/>
  </r>
  <r>
    <s v="C0649"/>
    <x v="1"/>
    <x v="2"/>
    <x v="0"/>
    <s v="14.09.2024"/>
    <n v="533"/>
    <n v="187.33"/>
    <n v="20.07"/>
    <n v="157.42016806722691"/>
    <n v="106.97309999999999"/>
    <n v="50.447068067226922"/>
    <n v="9.4647407255585225"/>
    <s v="14.09.2024"/>
    <n v="167.79831932773109"/>
    <n v="117.9841"/>
    <n v="49.814219327731095"/>
    <n v="8.1529000536384775"/>
  </r>
  <r>
    <s v="C0650"/>
    <x v="0"/>
    <x v="0"/>
    <x v="0"/>
    <s v="24.08.2024"/>
    <n v="186"/>
    <n v="69.930000000000007"/>
    <n v="22.27"/>
    <n v="58.764705882352949"/>
    <n v="41.422200000000004"/>
    <n v="17.342505882352945"/>
    <n v="9.3239278937381425"/>
    <s v="24.08.2024"/>
    <n v="157.42016806722691"/>
    <n v="106.97309999999999"/>
    <n v="50.447068067226922"/>
    <n v="9.4647407255585225"/>
  </r>
  <r>
    <s v="C0651"/>
    <x v="0"/>
    <x v="0"/>
    <x v="0"/>
    <s v="03.05.2024"/>
    <n v="183"/>
    <n v="68.83"/>
    <n v="23.67"/>
    <n v="57.840336134453786"/>
    <n v="43.316100000000006"/>
    <n v="14.52423613445378"/>
    <n v="7.9367410570785681"/>
    <s v="03.05.2024"/>
    <n v="58.764705882352949"/>
    <n v="41.422200000000004"/>
    <n v="17.342505882352945"/>
    <n v="9.3239278937381425"/>
  </r>
  <r>
    <s v="C0652"/>
    <x v="0"/>
    <x v="0"/>
    <x v="0"/>
    <s v="16.07.2024"/>
    <n v="318"/>
    <n v="119.08"/>
    <n v="22.47"/>
    <n v="100.0672268907563"/>
    <n v="71.454599999999999"/>
    <n v="28.612626890756303"/>
    <n v="8.9976814121875162"/>
    <s v="16.07.2024"/>
    <n v="57.840336134453786"/>
    <n v="43.316100000000006"/>
    <n v="14.52423613445378"/>
    <n v="7.9367410570785681"/>
  </r>
  <r>
    <s v="C0653"/>
    <x v="1"/>
    <x v="2"/>
    <x v="0"/>
    <s v="19.11.2024"/>
    <n v="556"/>
    <n v="185.56"/>
    <n v="19.559999999999999"/>
    <n v="155.9327731092437"/>
    <n v="108.75359999999999"/>
    <n v="47.179173109243706"/>
    <n v="8.4854627894323222"/>
    <s v="19.11.2024"/>
    <n v="100.0672268907563"/>
    <n v="71.454599999999999"/>
    <n v="28.612626890756303"/>
    <n v="8.9976814121875162"/>
  </r>
  <r>
    <s v="C0654"/>
    <x v="1"/>
    <x v="0"/>
    <x v="0"/>
    <s v="2024-05-02"/>
    <n v="305"/>
    <n v="118.62"/>
    <n v="25.75"/>
    <n v="99.680672268907571"/>
    <n v="78.537499999999994"/>
    <n v="21.143172268907577"/>
    <n v="6.9321876291500262"/>
    <s v="2024-05"/>
    <n v="155.9327731092437"/>
    <n v="108.75359999999999"/>
    <n v="47.179173109243706"/>
    <n v="8.4854627894323222"/>
  </r>
  <r>
    <s v="C0655"/>
    <x v="0"/>
    <x v="1"/>
    <x v="1"/>
    <s v="08.07.2024"/>
    <n v="157"/>
    <n v="67.27"/>
    <n v="30.65"/>
    <n v="56.529411764705884"/>
    <n v="48.1205"/>
    <n v="8.4089117647058842"/>
    <n v="5.3559947545897355"/>
    <s v="08.07.2024"/>
    <n v="99.680672268907571"/>
    <n v="78.537499999999994"/>
    <n v="21.143172268907577"/>
    <n v="6.9321876291500262"/>
  </r>
  <r>
    <s v="C0656"/>
    <x v="0"/>
    <x v="2"/>
    <x v="2"/>
    <s v="15.07.2024"/>
    <n v="524"/>
    <n v="166.45"/>
    <n v="0.18"/>
    <n v="139.87394957983193"/>
    <n v="0.94319999999999993"/>
    <n v="138.93074957983194"/>
    <n v="26.513501828212206"/>
    <s v="15.07.2024"/>
    <n v="56.529411764705884"/>
    <n v="48.1205"/>
    <n v="8.4089117647058842"/>
    <n v="5.3559947545897355"/>
  </r>
  <r>
    <s v="C0657"/>
    <x v="0"/>
    <x v="0"/>
    <x v="1"/>
    <s v="09.08.2024"/>
    <n v="253"/>
    <n v="98.58"/>
    <n v="23.42"/>
    <n v="82.840336134453779"/>
    <n v="59.252600000000001"/>
    <n v="23.587736134453777"/>
    <n v="9.3232158634204652"/>
    <s v="09.08.2024"/>
    <n v="139.87394957983193"/>
    <n v="0.94319999999999993"/>
    <n v="138.93074957983194"/>
    <n v="26.513501828212206"/>
  </r>
  <r>
    <s v="C0658"/>
    <x v="0"/>
    <x v="0"/>
    <x v="0"/>
    <s v="10.05.2025"/>
    <n v="238"/>
    <n v="91.27"/>
    <n v="26.2"/>
    <n v="76.69747899159664"/>
    <n v="62.355999999999995"/>
    <n v="14.341478991596645"/>
    <n v="6.0258315090742203"/>
    <s v="10.05.2025"/>
    <n v="82.840336134453779"/>
    <n v="59.252600000000001"/>
    <n v="23.587736134453777"/>
    <n v="9.3232158634204652"/>
  </r>
  <r>
    <s v="C0659"/>
    <x v="1"/>
    <x v="1"/>
    <x v="0"/>
    <s v="10.10.2024"/>
    <n v="110"/>
    <n v="51.44"/>
    <n v="29.61"/>
    <n v="43.226890756302524"/>
    <n v="32.570999999999998"/>
    <n v="10.655890756302526"/>
    <n v="9.687173414820478"/>
    <s v="10.10.2024"/>
    <n v="76.69747899159664"/>
    <n v="62.355999999999995"/>
    <n v="14.341478991596645"/>
    <n v="6.0258315090742203"/>
  </r>
  <r>
    <s v="C0660"/>
    <x v="1"/>
    <x v="0"/>
    <x v="2"/>
    <s v="21.06.2025"/>
    <n v="239"/>
    <n v="97.03"/>
    <n v="25.33"/>
    <n v="81.537815126050418"/>
    <n v="60.538699999999999"/>
    <n v="20.99911512605042"/>
    <n v="8.7862406385148191"/>
    <s v="21.06.2025"/>
    <n v="43.226890756302524"/>
    <n v="32.570999999999998"/>
    <n v="10.655890756302526"/>
    <n v="9.687173414820478"/>
  </r>
  <r>
    <s v="C0661"/>
    <x v="0"/>
    <x v="0"/>
    <x v="0"/>
    <s v="16.10.2024"/>
    <n v="296"/>
    <n v="111.89"/>
    <n v="25.26"/>
    <n v="94.025210084033617"/>
    <n v="74.769599999999997"/>
    <n v="19.25561008403362"/>
    <n v="6.5052736770383852"/>
    <s v="16.10.2024"/>
    <n v="81.537815126050418"/>
    <n v="60.538699999999999"/>
    <n v="20.99911512605042"/>
    <n v="8.7862406385148191"/>
  </r>
  <r>
    <s v="C0662"/>
    <x v="1"/>
    <x v="0"/>
    <x v="0"/>
    <s v="2024-04-12"/>
    <n v="267"/>
    <n v="102.18"/>
    <n v="0.24"/>
    <n v="85.86554621848741"/>
    <n v="0.64080000000000004"/>
    <n v="85.224746218487411"/>
    <n v="31.919380606175064"/>
    <s v="2024-04"/>
    <n v="94.025210084033617"/>
    <n v="74.769599999999997"/>
    <n v="19.25561008403362"/>
    <n v="6.5052736770383852"/>
  </r>
  <r>
    <s v="C0663"/>
    <x v="1"/>
    <x v="1"/>
    <x v="1"/>
    <s v="17.07.2024"/>
    <n v="158"/>
    <n v="65.08"/>
    <n v="29.49"/>
    <n v="54.689075630252098"/>
    <n v="46.594200000000001"/>
    <n v="8.0948756302520977"/>
    <n v="5.1233390064886697"/>
    <s v="17.07.2024"/>
    <n v="85.86554621848741"/>
    <n v="0.64080000000000004"/>
    <n v="85.224746218487411"/>
    <n v="31.919380606175064"/>
  </r>
  <r>
    <s v="C0664"/>
    <x v="0"/>
    <x v="0"/>
    <x v="1"/>
    <s v="30.10.2024"/>
    <n v="241"/>
    <n v="94.03"/>
    <n v="23.02"/>
    <n v="79.016806722689083"/>
    <n v="55.478199999999994"/>
    <n v="23.538606722689089"/>
    <n v="9.7670567314062602"/>
    <s v="30.10.2024"/>
    <n v="54.689075630252098"/>
    <n v="46.594200000000001"/>
    <n v="8.0948756302520977"/>
    <n v="5.1233390064886697"/>
  </r>
  <r>
    <s v="C0665"/>
    <x v="0"/>
    <x v="2"/>
    <x v="1"/>
    <s v="20.08.2024"/>
    <n v="536"/>
    <n v="182.88"/>
    <n v="17.03"/>
    <n v="153.68067226890756"/>
    <n v="91.280799999999999"/>
    <n v="62.399872268907558"/>
    <n v="11.641767214348425"/>
    <s v="20.08.2024"/>
    <n v="79.016806722689083"/>
    <n v="55.478199999999994"/>
    <n v="23.538606722689089"/>
    <n v="9.7670567314062602"/>
  </r>
  <r>
    <s v="C0666"/>
    <x v="0"/>
    <x v="1"/>
    <x v="0"/>
    <s v="04.01.2025"/>
    <n v="136"/>
    <n v="60.69"/>
    <n v="29.42"/>
    <n v="51"/>
    <n v="40.011200000000002"/>
    <n v="10.988799999999998"/>
    <n v="8.0799999999999983"/>
    <s v="04.01.2025"/>
    <n v="153.68067226890756"/>
    <n v="91.280799999999999"/>
    <n v="62.399872268907558"/>
    <n v="11.641767214348425"/>
  </r>
  <r>
    <s v="C0667"/>
    <x v="0"/>
    <x v="2"/>
    <x v="0"/>
    <s v="02.07.2024"/>
    <n v="531"/>
    <n v="169.94"/>
    <n v="18.57"/>
    <n v="142.80672268907563"/>
    <n v="98.606700000000004"/>
    <n v="44.200022689075624"/>
    <n v="8.3239214103720567"/>
    <s v="02.07.2024"/>
    <n v="51"/>
    <n v="40.011200000000002"/>
    <n v="10.988799999999998"/>
    <n v="8.0799999999999983"/>
  </r>
  <r>
    <s v="C0668"/>
    <x v="0"/>
    <x v="0"/>
    <x v="2"/>
    <s v="05.11.2024"/>
    <n v="284"/>
    <n v="111.54"/>
    <n v="24.7"/>
    <n v="93.731092436974805"/>
    <n v="70.147999999999996"/>
    <n v="23.583092436974809"/>
    <n v="8.3039057876671851"/>
    <s v="05.11.2024"/>
    <n v="142.80672268907563"/>
    <n v="98.606700000000004"/>
    <n v="44.200022689075624"/>
    <n v="8.3239214103720567"/>
  </r>
  <r>
    <s v="C0669"/>
    <x v="0"/>
    <x v="2"/>
    <x v="0"/>
    <s v="15.01.2024"/>
    <n v="412"/>
    <n v="143.61000000000001"/>
    <n v="19.79"/>
    <n v="120.68067226890759"/>
    <n v="81.53479999999999"/>
    <n v="39.145872268907596"/>
    <n v="9.5014253079872812"/>
    <s v="15.01.2024"/>
    <n v="93.731092436974805"/>
    <n v="70.147999999999996"/>
    <n v="23.583092436974809"/>
    <n v="8.3039057876671851"/>
  </r>
  <r>
    <s v="C0670"/>
    <x v="0"/>
    <x v="2"/>
    <x v="1"/>
    <s v="09.05.2024"/>
    <n v="504"/>
    <n v="170.74"/>
    <n v="16.850000000000001"/>
    <n v="143.47899159663868"/>
    <n v="84.924000000000021"/>
    <n v="58.554991596638658"/>
    <n v="11.618053888221956"/>
    <s v="09.05.2024"/>
    <n v="120.68067226890759"/>
    <n v="81.53479999999999"/>
    <n v="39.145872268907596"/>
    <n v="9.5014253079872812"/>
  </r>
  <r>
    <s v="C0671"/>
    <x v="0"/>
    <x v="0"/>
    <x v="1"/>
    <s v="07.10.2024"/>
    <n v="184"/>
    <n v="73.3"/>
    <n v="23.58"/>
    <n v="61.596638655462186"/>
    <n v="43.387199999999993"/>
    <n v="18.209438655462193"/>
    <n v="9.8964340518816272"/>
    <s v="07.10.2024"/>
    <n v="143.47899159663868"/>
    <n v="84.924000000000021"/>
    <n v="58.554991596638658"/>
    <n v="11.618053888221956"/>
  </r>
  <r>
    <s v="C0672"/>
    <x v="1"/>
    <x v="0"/>
    <x v="1"/>
    <s v="16.02.2024"/>
    <n v="231"/>
    <n v="92.41"/>
    <n v="22.73"/>
    <n v="77.655462184873954"/>
    <n v="52.506300000000003"/>
    <n v="25.149162184873951"/>
    <n v="10.88708319691513"/>
    <s v="16.02.2024"/>
    <n v="61.596638655462186"/>
    <n v="43.387199999999993"/>
    <n v="18.209438655462193"/>
    <n v="9.8964340518816272"/>
  </r>
  <r>
    <s v="C0673"/>
    <x v="0"/>
    <x v="2"/>
    <x v="0"/>
    <s v="25.02.2024"/>
    <n v="496"/>
    <n v="167.25"/>
    <n v="17.28"/>
    <n v="140.54621848739495"/>
    <n v="85.708800000000011"/>
    <n v="54.837418487394942"/>
    <n v="11.055931146652206"/>
    <s v="25.02.2024"/>
    <n v="77.655462184873954"/>
    <n v="52.506300000000003"/>
    <n v="25.149162184873951"/>
    <n v="10.88708319691513"/>
  </r>
  <r>
    <s v="C0674"/>
    <x v="0"/>
    <x v="0"/>
    <x v="0"/>
    <s v="26.10.2024"/>
    <n v="275"/>
    <n v="100.79"/>
    <n v="25.31"/>
    <n v="84.697478991596654"/>
    <n v="69.602500000000006"/>
    <n v="15.094978991596648"/>
    <n v="5.4890832696715082"/>
    <s v="26.10.2024"/>
    <n v="140.54621848739495"/>
    <n v="85.708800000000011"/>
    <n v="54.837418487394942"/>
    <n v="11.055931146652206"/>
  </r>
  <r>
    <s v="C0675"/>
    <x v="0"/>
    <x v="1"/>
    <x v="1"/>
    <s v="09.05.2024"/>
    <n v="163"/>
    <n v="66.180000000000007"/>
    <n v="28.17"/>
    <n v="55.613445378151269"/>
    <n v="45.917099999999998"/>
    <n v="9.6963453781512712"/>
    <n v="5.9486781461050739"/>
    <s v="09.05.2024"/>
    <n v="84.697478991596654"/>
    <n v="69.602500000000006"/>
    <n v="15.094978991596648"/>
    <n v="5.4890832696715082"/>
  </r>
  <r>
    <s v="C0676"/>
    <x v="1"/>
    <x v="0"/>
    <x v="2"/>
    <s v="17.05.2025"/>
    <n v="267"/>
    <n v="105.6"/>
    <n v="25.68"/>
    <n v="88.739495798319325"/>
    <n v="68.565599999999989"/>
    <n v="20.173895798319336"/>
    <n v="7.555766216599002"/>
    <s v="17.05.2025"/>
    <n v="55.613445378151269"/>
    <n v="45.917099999999998"/>
    <n v="9.6963453781512712"/>
    <n v="5.9486781461050739"/>
  </r>
  <r>
    <s v="C0677"/>
    <x v="0"/>
    <x v="2"/>
    <x v="2"/>
    <s v="2024-04-15"/>
    <n v="581"/>
    <n v="181.57"/>
    <n v="17.34"/>
    <n v="152.57983193277312"/>
    <n v="100.74539999999999"/>
    <n v="51.834431932773128"/>
    <n v="8.9215889729385758"/>
    <s v="2024-04"/>
    <n v="88.739495798319325"/>
    <n v="68.565599999999989"/>
    <n v="20.173895798319336"/>
    <n v="7.555766216599002"/>
  </r>
  <r>
    <s v="C0678"/>
    <x v="0"/>
    <x v="2"/>
    <x v="0"/>
    <s v="13.01.2024"/>
    <n v="502"/>
    <n v="176.41"/>
    <n v="20.9"/>
    <n v="148.24369747899161"/>
    <n v="104.91799999999999"/>
    <n v="43.325697478991614"/>
    <n v="8.630617027687574"/>
    <s v="13.01.2024"/>
    <n v="152.57983193277312"/>
    <n v="100.74539999999999"/>
    <n v="51.834431932773128"/>
    <n v="8.9215889729385758"/>
  </r>
  <r>
    <s v="C0679"/>
    <x v="1"/>
    <x v="2"/>
    <x v="0"/>
    <s v="18.10.2024"/>
    <n v="545"/>
    <n v="188.46"/>
    <n v="19.29"/>
    <n v="158.36974789915968"/>
    <n v="105.1305"/>
    <n v="53.239247899159679"/>
    <n v="9.7686693392953536"/>
    <s v="18.10.2024"/>
    <n v="148.24369747899161"/>
    <n v="104.91799999999999"/>
    <n v="43.325697478991614"/>
    <n v="8.630617027687574"/>
  </r>
  <r>
    <s v="C0680"/>
    <x v="1"/>
    <x v="0"/>
    <x v="2"/>
    <s v="25.04.2025"/>
    <n v="179"/>
    <n v="72.44"/>
    <n v="22.93"/>
    <n v="60.873949579831937"/>
    <n v="41.044700000000006"/>
    <n v="19.829249579831931"/>
    <n v="11.077793061358621"/>
    <s v="25.04.2025"/>
    <n v="158.36974789915968"/>
    <n v="105.1305"/>
    <n v="53.239247899159679"/>
    <n v="9.7686693392953536"/>
  </r>
  <r>
    <s v="C0681"/>
    <x v="1"/>
    <x v="2"/>
    <x v="1"/>
    <s v="05.05.2025"/>
    <n v="418"/>
    <n v="141.77000000000001"/>
    <n v="21.01"/>
    <n v="119.13445378151262"/>
    <n v="87.821799999999996"/>
    <n v="31.312653781512623"/>
    <n v="7.4910654979695277"/>
    <s v="05.05.2025"/>
    <n v="60.873949579831937"/>
    <n v="41.044700000000006"/>
    <n v="19.829249579831931"/>
    <n v="11.077793061358621"/>
  </r>
  <r>
    <s v="C0682"/>
    <x v="0"/>
    <x v="1"/>
    <x v="2"/>
    <s v="27.03.2025"/>
    <n v="113"/>
    <n v="49.72"/>
    <n v="30.93"/>
    <n v="41.781512605042018"/>
    <n v="34.950900000000004"/>
    <n v="6.8306126050420133"/>
    <n v="6.0447899159663834"/>
    <s v="27.03.2025"/>
    <n v="119.13445378151262"/>
    <n v="87.821799999999996"/>
    <n v="31.312653781512623"/>
    <n v="7.4910654979695277"/>
  </r>
  <r>
    <s v="C0683"/>
    <x v="0"/>
    <x v="0"/>
    <x v="0"/>
    <s v="14.12.2024"/>
    <n v="245"/>
    <n v="97.3"/>
    <n v="25.83"/>
    <n v="81.764705882352942"/>
    <n v="63.283499999999997"/>
    <n v="18.481205882352945"/>
    <n v="7.5433493397358955"/>
    <s v="14.12.2024"/>
    <n v="41.781512605042018"/>
    <n v="34.950900000000004"/>
    <n v="6.8306126050420133"/>
    <n v="6.0447899159663834"/>
  </r>
  <r>
    <s v="C0684"/>
    <x v="1"/>
    <x v="1"/>
    <x v="1"/>
    <s v="07.07.2024"/>
    <n v="87"/>
    <n v="42.82"/>
    <n v="28.88"/>
    <n v="35.983193277310924"/>
    <n v="25.125599999999999"/>
    <n v="10.857593277310926"/>
    <n v="12.479992272771179"/>
    <s v="07.07.2024"/>
    <n v="81.764705882352942"/>
    <n v="63.283499999999997"/>
    <n v="18.481205882352945"/>
    <n v="7.5433493397358955"/>
  </r>
  <r>
    <s v="C0685"/>
    <x v="1"/>
    <x v="1"/>
    <x v="1"/>
    <s v="22.02.2024"/>
    <n v="95"/>
    <n v="47.03"/>
    <n v="31.54"/>
    <n v="39.52100840336135"/>
    <n v="29.962999999999997"/>
    <n v="9.5580084033613524"/>
    <n v="10.061061477222475"/>
    <s v="22.02.2024"/>
    <n v="35.983193277310924"/>
    <n v="25.125599999999999"/>
    <n v="10.857593277310926"/>
    <n v="12.479992272771179"/>
  </r>
  <r>
    <s v="C0686"/>
    <x v="1"/>
    <x v="0"/>
    <x v="1"/>
    <s v="15.09.2024"/>
    <n v="213"/>
    <n v="85.65"/>
    <n v="25.74"/>
    <n v="71.974789915966397"/>
    <n v="54.8262"/>
    <n v="17.148589915966397"/>
    <n v="8.0509811812048824"/>
    <s v="15.09.2024"/>
    <n v="39.52100840336135"/>
    <n v="29.962999999999997"/>
    <n v="9.5580084033613524"/>
    <n v="10.061061477222475"/>
  </r>
  <r>
    <s v="C0687"/>
    <x v="1"/>
    <x v="0"/>
    <x v="0"/>
    <s v="04.05.2025"/>
    <n v="328"/>
    <n v="117.71"/>
    <n v="27.67"/>
    <n v="98.915966386554615"/>
    <n v="90.757599999999996"/>
    <n v="8.1583663865546185"/>
    <n v="2.4873068251690911"/>
    <s v="04.05.2025"/>
    <n v="71.974789915966397"/>
    <n v="54.8262"/>
    <n v="17.148589915966397"/>
    <n v="8.0509811812048824"/>
  </r>
  <r>
    <s v="C0688"/>
    <x v="0"/>
    <x v="0"/>
    <x v="0"/>
    <s v="26.04.2024"/>
    <n v="222"/>
    <n v="82.76"/>
    <n v="24.54"/>
    <n v="69.546218487394967"/>
    <n v="54.4788"/>
    <n v="15.067418487394967"/>
    <n v="6.7871254447725073"/>
    <s v="26.04.2024"/>
    <n v="98.915966386554615"/>
    <n v="90.757599999999996"/>
    <n v="8.1583663865546185"/>
    <n v="2.4873068251690911"/>
  </r>
  <r>
    <s v="C0689"/>
    <x v="1"/>
    <x v="0"/>
    <x v="1"/>
    <s v="07.03.2024"/>
    <n v="247"/>
    <n v="96.58"/>
    <n v="24.52"/>
    <n v="81.159663865546221"/>
    <n v="60.564399999999999"/>
    <n v="20.595263865546222"/>
    <n v="8.3381635083183081"/>
    <s v="07.03.2024"/>
    <n v="69.546218487394967"/>
    <n v="54.4788"/>
    <n v="15.067418487394967"/>
    <n v="6.7871254447725073"/>
  </r>
  <r>
    <s v="C0690"/>
    <x v="0"/>
    <x v="0"/>
    <x v="0"/>
    <s v="14.02.2025"/>
    <n v="200"/>
    <n v="83.78"/>
    <n v="23.61"/>
    <n v="70.403361344537814"/>
    <n v="47.22"/>
    <n v="23.183361344537815"/>
    <n v="11.591680672268907"/>
    <s v="14.02.2025"/>
    <n v="81.159663865546221"/>
    <n v="60.564399999999999"/>
    <n v="20.595263865546222"/>
    <n v="8.3381635083183081"/>
  </r>
  <r>
    <s v="C0691"/>
    <x v="0"/>
    <x v="1"/>
    <x v="0"/>
    <s v="18.05.2025"/>
    <n v="134"/>
    <n v="56.79"/>
    <n v="33.01"/>
    <n v="47.722689075630257"/>
    <n v="44.233400000000003"/>
    <n v="3.4892890756302535"/>
    <n v="2.6039470713658606"/>
    <s v="18.05.2025"/>
    <n v="70.403361344537814"/>
    <n v="47.22"/>
    <n v="23.183361344537815"/>
    <n v="11.591680672268907"/>
  </r>
  <r>
    <s v="C0692"/>
    <x v="0"/>
    <x v="0"/>
    <x v="2"/>
    <s v="16.03.2024"/>
    <n v="214"/>
    <n v="83.18"/>
    <n v="24.13"/>
    <n v="69.899159663865561"/>
    <n v="51.638199999999998"/>
    <n v="18.260959663865563"/>
    <n v="8.5331587214325051"/>
    <s v="16.03.2024"/>
    <n v="47.722689075630257"/>
    <n v="44.233400000000003"/>
    <n v="3.4892890756302535"/>
    <n v="2.6039470713658606"/>
  </r>
  <r>
    <s v="C0693"/>
    <x v="0"/>
    <x v="1"/>
    <x v="0"/>
    <s v="24.02.2024"/>
    <n v="100"/>
    <n v="46.91"/>
    <n v="30.71"/>
    <n v="39.420168067226889"/>
    <n v="30.71"/>
    <n v="8.7101680672268884"/>
    <n v="8.7101680672268884"/>
    <s v="24.02.2024"/>
    <n v="69.899159663865561"/>
    <n v="51.638199999999998"/>
    <n v="18.260959663865563"/>
    <n v="8.5331587214325051"/>
  </r>
  <r>
    <s v="C0694"/>
    <x v="0"/>
    <x v="1"/>
    <x v="2"/>
    <s v="04.06.2024"/>
    <n v="126"/>
    <n v="55.29"/>
    <n v="31.71"/>
    <n v="46.462184873949582"/>
    <n v="39.954599999999999"/>
    <n v="6.5075848739495825"/>
    <n v="5.1647498999599861"/>
    <s v="04.06.2024"/>
    <n v="39.420168067226889"/>
    <n v="30.71"/>
    <n v="8.7101680672268884"/>
    <n v="8.7101680672268884"/>
  </r>
  <r>
    <s v="C0695"/>
    <x v="0"/>
    <x v="0"/>
    <x v="0"/>
    <s v="01.06.2024"/>
    <n v="168"/>
    <n v="67.37"/>
    <n v="26.93"/>
    <n v="56.613445378151269"/>
    <n v="45.242399999999996"/>
    <n v="11.371045378151273"/>
    <n v="6.7684793917567099"/>
    <s v="01.06.2024"/>
    <n v="46.462184873949582"/>
    <n v="39.954599999999999"/>
    <n v="6.5075848739495825"/>
    <n v="5.1647498999599861"/>
  </r>
  <r>
    <s v="C0696"/>
    <x v="1"/>
    <x v="0"/>
    <x v="1"/>
    <s v="07.11.2024"/>
    <n v="168"/>
    <n v="70.48"/>
    <n v="25.3"/>
    <n v="59.226890756302524"/>
    <n v="42.504000000000005"/>
    <n v="16.722890756302519"/>
    <n v="9.9541016406562619"/>
    <s v="07.11.2024"/>
    <n v="56.613445378151269"/>
    <n v="45.242399999999996"/>
    <n v="11.371045378151273"/>
    <n v="6.7684793917567099"/>
  </r>
  <r>
    <s v="C0697"/>
    <x v="0"/>
    <x v="0"/>
    <x v="2"/>
    <s v="2024-03-28"/>
    <n v="203"/>
    <n v="80.099999999999994"/>
    <n v="22.59"/>
    <n v="67.310924369747895"/>
    <n v="45.857699999999994"/>
    <n v="21.4532243697479"/>
    <n v="10.568090822535911"/>
    <s v="2024-03"/>
    <n v="59.226890756302524"/>
    <n v="42.504000000000005"/>
    <n v="16.722890756302519"/>
    <n v="9.9541016406562619"/>
  </r>
  <r>
    <s v="C0698"/>
    <x v="1"/>
    <x v="0"/>
    <x v="0"/>
    <s v="11.09.2024"/>
    <n v="173"/>
    <n v="72.5"/>
    <n v="25.33"/>
    <n v="60.924369747899163"/>
    <n v="43.820900000000002"/>
    <n v="17.103469747899162"/>
    <n v="9.8863986982076071"/>
    <s v="11.09.2024"/>
    <n v="67.310924369747895"/>
    <n v="45.857699999999994"/>
    <n v="21.4532243697479"/>
    <n v="10.568090822535911"/>
  </r>
  <r>
    <s v="C0699"/>
    <x v="0"/>
    <x v="0"/>
    <x v="0"/>
    <s v="01.05.2024"/>
    <n v="185"/>
    <n v="71.47"/>
    <n v="24.16"/>
    <n v="60.058823529411768"/>
    <n v="44.696000000000005"/>
    <n v="15.362823529411763"/>
    <n v="8.3042289348171696"/>
    <s v="01.05.2024"/>
    <n v="60.924369747899163"/>
    <n v="43.820900000000002"/>
    <n v="17.103469747899162"/>
    <n v="9.8863986982076071"/>
  </r>
  <r>
    <s v="C0700"/>
    <x v="0"/>
    <x v="2"/>
    <x v="0"/>
    <s v="02.03.2025"/>
    <n v="446"/>
    <n v="158.28"/>
    <n v="20.72"/>
    <n v="133.00840336134453"/>
    <n v="92.411199999999994"/>
    <n v="40.59720336134454"/>
    <n v="9.1025119644270269"/>
    <s v="02.03.2025"/>
    <n v="60.058823529411768"/>
    <n v="44.696000000000005"/>
    <n v="15.362823529411763"/>
    <n v="8.3042289348171696"/>
  </r>
  <r>
    <s v="C0701"/>
    <x v="0"/>
    <x v="0"/>
    <x v="0"/>
    <s v="19.08.2024"/>
    <n v="300"/>
    <n v="109.33"/>
    <n v="23.73"/>
    <n v="91.87394957983193"/>
    <n v="71.19"/>
    <n v="20.683949579831932"/>
    <n v="6.8946498599439767"/>
    <s v="19.08.2024"/>
    <n v="133.00840336134453"/>
    <n v="92.411199999999994"/>
    <n v="40.59720336134454"/>
    <n v="9.1025119644270269"/>
  </r>
  <r>
    <s v="C0702"/>
    <x v="0"/>
    <x v="0"/>
    <x v="1"/>
    <s v="19.06.2025"/>
    <n v="262"/>
    <n v="93.07"/>
    <n v="23.52"/>
    <n v="78.210084033613441"/>
    <n v="61.622399999999999"/>
    <n v="16.587684033613442"/>
    <n v="6.3311771120662002"/>
    <s v="19.06.2025"/>
    <n v="91.87394957983193"/>
    <n v="71.19"/>
    <n v="20.683949579831932"/>
    <n v="6.8946498599439767"/>
  </r>
  <r>
    <s v="C0703"/>
    <x v="0"/>
    <x v="1"/>
    <x v="2"/>
    <s v="24.01.2025"/>
    <n v="126"/>
    <n v="55.63"/>
    <n v="31.66"/>
    <n v="46.747899159663866"/>
    <n v="39.891599999999997"/>
    <n v="6.8562991596638696"/>
    <n v="5.4415072695745001"/>
    <s v="24.01.2025"/>
    <n v="78.210084033613441"/>
    <n v="61.622399999999999"/>
    <n v="16.587684033613442"/>
    <n v="6.3311771120662002"/>
  </r>
  <r>
    <s v="C0704"/>
    <x v="0"/>
    <x v="1"/>
    <x v="0"/>
    <s v="06.04.2025"/>
    <n v="108"/>
    <n v="50.04"/>
    <n v="29"/>
    <n v="42.050420168067227"/>
    <n v="31.32"/>
    <n v="10.730420168067226"/>
    <n v="9.935574229691877"/>
    <s v="06.04.2025"/>
    <n v="46.747899159663866"/>
    <n v="39.891599999999997"/>
    <n v="6.8562991596638696"/>
    <n v="5.4415072695745001"/>
  </r>
  <r>
    <s v="C0705"/>
    <x v="0"/>
    <x v="0"/>
    <x v="0"/>
    <s v="29.03.2025"/>
    <n v="322"/>
    <n v="117.23"/>
    <n v="25.38"/>
    <n v="98.512605042016816"/>
    <n v="81.72359999999999"/>
    <n v="16.789005042016825"/>
    <n v="5.2139767211232373"/>
    <s v="29.03.2025"/>
    <n v="42.050420168067227"/>
    <n v="31.32"/>
    <n v="10.730420168067226"/>
    <n v="9.935574229691877"/>
  </r>
  <r>
    <s v="C0706"/>
    <x v="1"/>
    <x v="0"/>
    <x v="0"/>
    <s v="31.10.2024"/>
    <n v="233"/>
    <n v="88.74"/>
    <n v="23.94"/>
    <n v="74.571428571428569"/>
    <n v="55.780200000000008"/>
    <n v="18.791228571428562"/>
    <n v="8.0649049662783518"/>
    <s v="31.10.2024"/>
    <n v="98.512605042016816"/>
    <n v="81.72359999999999"/>
    <n v="16.789005042016825"/>
    <n v="5.2139767211232373"/>
  </r>
  <r>
    <s v="C0707"/>
    <x v="0"/>
    <x v="0"/>
    <x v="1"/>
    <s v="2025-03-15"/>
    <n v="182"/>
    <n v="74.260000000000005"/>
    <n v="24.06"/>
    <n v="62.403361344537821"/>
    <n v="43.789200000000001"/>
    <n v="18.61416134453782"/>
    <n v="10.227561178317483"/>
    <s v="2025-03"/>
    <n v="74.571428571428569"/>
    <n v="55.780200000000008"/>
    <n v="18.791228571428562"/>
    <n v="8.0649049662783518"/>
  </r>
  <r>
    <s v="C0708"/>
    <x v="1"/>
    <x v="0"/>
    <x v="0"/>
    <s v="08.11.2024"/>
    <n v="269"/>
    <n v="99.5"/>
    <n v="23.23"/>
    <n v="83.613445378151269"/>
    <n v="62.488700000000001"/>
    <n v="21.124745378151268"/>
    <n v="7.8530651963387612"/>
    <s v="08.11.2024"/>
    <n v="62.403361344537821"/>
    <n v="43.789200000000001"/>
    <n v="18.61416134453782"/>
    <n v="10.227561178317483"/>
  </r>
  <r>
    <s v="C0709"/>
    <x v="0"/>
    <x v="0"/>
    <x v="1"/>
    <s v="02.03.2024"/>
    <n v="186"/>
    <n v="74.81"/>
    <n v="24.29"/>
    <n v="62.865546218487403"/>
    <n v="45.179399999999994"/>
    <n v="17.686146218487409"/>
    <n v="9.5086807626276393"/>
    <s v="02.03.2024"/>
    <n v="83.613445378151269"/>
    <n v="62.488700000000001"/>
    <n v="21.124745378151268"/>
    <n v="7.8530651963387612"/>
  </r>
  <r>
    <s v="C0710"/>
    <x v="1"/>
    <x v="2"/>
    <x v="1"/>
    <s v="11.04.2024"/>
    <n v="448"/>
    <n v="155.51"/>
    <n v="18.13"/>
    <n v="130.68067226890756"/>
    <n v="81.222399999999993"/>
    <n v="49.458272268907564"/>
    <n v="11.039792917166867"/>
    <s v="11.04.2024"/>
    <n v="62.865546218487403"/>
    <n v="45.179399999999994"/>
    <n v="17.686146218487409"/>
    <n v="9.5086807626276393"/>
  </r>
  <r>
    <s v="C0711"/>
    <x v="1"/>
    <x v="2"/>
    <x v="1"/>
    <s v="31.07.2024"/>
    <n v="502"/>
    <n v="167.18"/>
    <n v="16.7"/>
    <n v="140.48739495798321"/>
    <n v="83.834000000000003"/>
    <n v="56.65339495798321"/>
    <n v="11.285536844219763"/>
    <s v="31.07.2024"/>
    <n v="130.68067226890756"/>
    <n v="81.222399999999993"/>
    <n v="49.458272268907564"/>
    <n v="11.039792917166867"/>
  </r>
  <r>
    <s v="C0712"/>
    <x v="1"/>
    <x v="0"/>
    <x v="0"/>
    <s v="04.08.2024"/>
    <n v="312"/>
    <n v="119.3"/>
    <n v="23.09"/>
    <n v="100.25210084033614"/>
    <n v="72.040800000000004"/>
    <n v="28.211300840336136"/>
    <n v="9.0420836026718376"/>
    <s v="04.08.2024"/>
    <n v="140.48739495798321"/>
    <n v="83.834000000000003"/>
    <n v="56.65339495798321"/>
    <n v="11.285536844219763"/>
  </r>
  <r>
    <s v="C0713"/>
    <x v="0"/>
    <x v="2"/>
    <x v="1"/>
    <s v="2024-09-27"/>
    <n v="498"/>
    <n v="163.34"/>
    <n v="16.53"/>
    <n v="137.26050420168067"/>
    <n v="82.319400000000002"/>
    <n v="54.941104201680673"/>
    <n v="11.032350241301341"/>
    <s v="2024-09"/>
    <n v="100.25210084033614"/>
    <n v="72.040800000000004"/>
    <n v="28.211300840336136"/>
    <n v="9.0420836026718376"/>
  </r>
  <r>
    <s v="C0714"/>
    <x v="0"/>
    <x v="1"/>
    <x v="0"/>
    <s v="24.03.2024"/>
    <n v="142"/>
    <n v="64.02"/>
    <n v="31.91"/>
    <n v="53.798319327731093"/>
    <n v="45.312200000000004"/>
    <n v="8.4861193277310889"/>
    <n v="5.9761403716416117"/>
    <s v="24.03.2024"/>
    <n v="137.26050420168067"/>
    <n v="82.319400000000002"/>
    <n v="54.941104201680673"/>
    <n v="11.032350241301341"/>
  </r>
  <r>
    <s v="C0715"/>
    <x v="0"/>
    <x v="1"/>
    <x v="0"/>
    <s v="09.06.2024"/>
    <n v="166"/>
    <n v="68.510000000000005"/>
    <n v="33.86"/>
    <n v="57.571428571428577"/>
    <n v="56.207599999999999"/>
    <n v="1.3638285714285772"/>
    <n v="0.82158347676420318"/>
    <s v="09.06.2024"/>
    <n v="53.798319327731093"/>
    <n v="45.312200000000004"/>
    <n v="8.4861193277310889"/>
    <n v="5.9761403716416117"/>
  </r>
  <r>
    <s v="C0716"/>
    <x v="1"/>
    <x v="1"/>
    <x v="2"/>
    <s v="02.09.2024"/>
    <n v="94"/>
    <n v="45.6"/>
    <n v="29.58"/>
    <n v="38.319327731092443"/>
    <n v="27.805199999999999"/>
    <n v="10.514127731092444"/>
    <n v="11.185242267119619"/>
    <s v="02.09.2024"/>
    <n v="57.571428571428577"/>
    <n v="56.207599999999999"/>
    <n v="1.3638285714285772"/>
    <n v="0.82158347676420318"/>
  </r>
  <r>
    <s v="C0717"/>
    <x v="1"/>
    <x v="0"/>
    <x v="1"/>
    <s v="26.06.2024"/>
    <n v="213"/>
    <n v="86.2"/>
    <n v="26.91"/>
    <n v="72.436974789915979"/>
    <n v="57.318300000000001"/>
    <n v="15.118674789915978"/>
    <n v="7.0979693849370795"/>
    <s v="26.06.2024"/>
    <n v="38.319327731092443"/>
    <n v="27.805199999999999"/>
    <n v="10.514127731092444"/>
    <n v="11.185242267119619"/>
  </r>
  <r>
    <s v="C0718"/>
    <x v="1"/>
    <x v="2"/>
    <x v="0"/>
    <s v="17.03.2024"/>
    <n v="465"/>
    <n v="167.99"/>
    <n v="18.23"/>
    <n v="141.16806722689077"/>
    <n v="84.769500000000008"/>
    <n v="56.398567226890762"/>
    <n v="12.128724134815219"/>
    <s v="17.03.2024"/>
    <n v="72.436974789915979"/>
    <n v="57.318300000000001"/>
    <n v="15.118674789915978"/>
    <n v="7.0979693849370795"/>
  </r>
  <r>
    <s v="C0719"/>
    <x v="0"/>
    <x v="1"/>
    <x v="0"/>
    <s v="09.06.2024"/>
    <n v="118"/>
    <n v="51.36"/>
    <n v="32.68"/>
    <n v="43.159663865546221"/>
    <n v="38.562399999999997"/>
    <n v="4.5972638655462248"/>
    <n v="3.8959863267340888"/>
    <s v="09.06.2024"/>
    <n v="141.16806722689077"/>
    <n v="84.769500000000008"/>
    <n v="56.398567226890762"/>
    <n v="12.128724134815219"/>
  </r>
  <r>
    <s v="C0720"/>
    <x v="1"/>
    <x v="2"/>
    <x v="0"/>
    <s v="03.01.2024"/>
    <n v="470"/>
    <n v="167.95"/>
    <n v="20.53"/>
    <n v="141.1344537815126"/>
    <n v="96.491"/>
    <n v="44.643453781512605"/>
    <n v="9.4986071875558729"/>
    <s v="03.01.2024"/>
    <n v="43.159663865546221"/>
    <n v="38.562399999999997"/>
    <n v="4.5972638655462248"/>
    <n v="3.8959863267340888"/>
  </r>
  <r>
    <s v="C0721"/>
    <x v="1"/>
    <x v="1"/>
    <x v="0"/>
    <s v="22.02.2025"/>
    <n v="159"/>
    <n v="68.510000000000005"/>
    <n v="31.79"/>
    <n v="57.571428571428577"/>
    <n v="50.546099999999996"/>
    <n v="7.0253285714285809"/>
    <n v="4.4184456424079119"/>
    <s v="22.02.2025"/>
    <n v="141.1344537815126"/>
    <n v="96.491"/>
    <n v="44.643453781512605"/>
    <n v="9.4986071875558729"/>
  </r>
  <r>
    <s v="C0722"/>
    <x v="0"/>
    <x v="2"/>
    <x v="0"/>
    <s v="06.04.2025"/>
    <n v="572"/>
    <n v="179.98"/>
    <n v="18.5"/>
    <n v="151.24369747899161"/>
    <n v="105.82"/>
    <n v="45.423697478991613"/>
    <n v="7.9412058529705618"/>
    <s v="06.04.2025"/>
    <n v="57.571428571428577"/>
    <n v="50.546099999999996"/>
    <n v="7.0253285714285809"/>
    <n v="4.4184456424079119"/>
  </r>
  <r>
    <s v="C0723"/>
    <x v="0"/>
    <x v="0"/>
    <x v="0"/>
    <s v="26.04.2025"/>
    <n v="268"/>
    <n v="99.03"/>
    <n v="25.13"/>
    <n v="83.21848739495799"/>
    <n v="67.348399999999998"/>
    <n v="15.870087394957991"/>
    <n v="5.9216744011037283"/>
    <s v="26.04.2025"/>
    <n v="151.24369747899161"/>
    <n v="105.82"/>
    <n v="45.423697478991613"/>
    <n v="7.9412058529705618"/>
  </r>
  <r>
    <s v="C0724"/>
    <x v="1"/>
    <x v="1"/>
    <x v="0"/>
    <s v="25.10.2024"/>
    <n v="109"/>
    <n v="49.65"/>
    <n v="29.06"/>
    <n v="41.72268907563025"/>
    <n v="31.6754"/>
    <n v="10.04728907563025"/>
    <n v="9.2176963996607792"/>
    <s v="25.10.2024"/>
    <n v="83.21848739495799"/>
    <n v="67.348399999999998"/>
    <n v="15.870087394957991"/>
    <n v="5.9216744011037283"/>
  </r>
  <r>
    <s v="C0725"/>
    <x v="1"/>
    <x v="0"/>
    <x v="1"/>
    <s v="03.02.2024"/>
    <n v="304"/>
    <n v="111.99"/>
    <n v="25.96"/>
    <n v="94.109243697478988"/>
    <n v="78.918400000000005"/>
    <n v="15.190843697478982"/>
    <n v="4.9969880583812447"/>
    <s v="03.02.2024"/>
    <n v="41.72268907563025"/>
    <n v="31.6754"/>
    <n v="10.04728907563025"/>
    <n v="9.2176963996607792"/>
  </r>
  <r>
    <s v="C0726"/>
    <x v="1"/>
    <x v="1"/>
    <x v="1"/>
    <s v="25.08.2024"/>
    <n v="163"/>
    <n v="64.06"/>
    <n v="28.1"/>
    <n v="53.831932773109251"/>
    <n v="45.803000000000004"/>
    <n v="8.028932773109247"/>
    <n v="4.9257256276743853"/>
    <s v="25.08.2024"/>
    <n v="94.109243697478988"/>
    <n v="78.918400000000005"/>
    <n v="15.190843697478982"/>
    <n v="4.9969880583812447"/>
  </r>
  <r>
    <s v="C0727"/>
    <x v="0"/>
    <x v="1"/>
    <x v="1"/>
    <s v="22.10.2024"/>
    <n v="152"/>
    <n v="68.19"/>
    <n v="30.41"/>
    <n v="57.30252100840336"/>
    <n v="46.223199999999999"/>
    <n v="11.079321008403362"/>
    <n v="7.2890269792127382"/>
    <s v="22.10.2024"/>
    <n v="53.831932773109251"/>
    <n v="45.803000000000004"/>
    <n v="8.028932773109247"/>
    <n v="4.9257256276743853"/>
  </r>
  <r>
    <s v="C0728"/>
    <x v="1"/>
    <x v="1"/>
    <x v="0"/>
    <s v="2024-10-16"/>
    <n v="83"/>
    <n v="40.1"/>
    <n v="30.64"/>
    <n v="33.69747899159664"/>
    <n v="25.4312"/>
    <n v="8.2662789915966393"/>
    <n v="9.9593722790320953"/>
    <s v="2024-10"/>
    <n v="57.30252100840336"/>
    <n v="46.223199999999999"/>
    <n v="11.079321008403362"/>
    <n v="7.2890269792127382"/>
  </r>
  <r>
    <s v="C0729"/>
    <x v="0"/>
    <x v="2"/>
    <x v="2"/>
    <s v="09.04.2025"/>
    <n v="546"/>
    <n v="185.14"/>
    <n v="19.940000000000001"/>
    <n v="155.57983193277312"/>
    <n v="108.87240000000001"/>
    <n v="46.707431932773105"/>
    <n v="8.5544747129621062"/>
    <s v="09.04.2025"/>
    <n v="33.69747899159664"/>
    <n v="25.4312"/>
    <n v="8.2662789915966393"/>
    <n v="9.9593722790320953"/>
  </r>
  <r>
    <s v="C0730"/>
    <x v="0"/>
    <x v="0"/>
    <x v="2"/>
    <s v="13.03.2024"/>
    <n v="176"/>
    <n v="67.3"/>
    <n v="22.48"/>
    <n v="56.554621848739494"/>
    <n v="39.564799999999998"/>
    <n v="16.989821848739496"/>
    <n v="9.6533078686019866"/>
    <s v="13.03.2024"/>
    <n v="155.57983193277312"/>
    <n v="108.87240000000001"/>
    <n v="46.707431932773105"/>
    <n v="8.5544747129621062"/>
  </r>
  <r>
    <s v="C0731"/>
    <x v="0"/>
    <x v="1"/>
    <x v="2"/>
    <s v="27.08.2024"/>
    <n v="105"/>
    <n v="47.42"/>
    <n v="31.75"/>
    <n v="39.84873949579832"/>
    <n v="33.337499999999999"/>
    <n v="6.5112394957983213"/>
    <n v="6.2011804721888772"/>
    <s v="27.08.2024"/>
    <n v="56.554621848739494"/>
    <n v="39.564799999999998"/>
    <n v="16.989821848739496"/>
    <n v="9.6533078686019866"/>
  </r>
  <r>
    <s v="C0732"/>
    <x v="1"/>
    <x v="0"/>
    <x v="2"/>
    <s v="27.09.2024"/>
    <n v="177"/>
    <n v="67.41"/>
    <n v="22.72"/>
    <n v="56.647058823529413"/>
    <n v="40.214399999999998"/>
    <n v="16.432658823529415"/>
    <n v="9.2839880358923246"/>
    <s v="27.09.2024"/>
    <n v="39.84873949579832"/>
    <n v="33.337499999999999"/>
    <n v="6.5112394957983213"/>
    <n v="6.2011804721888772"/>
  </r>
  <r>
    <s v="C0733"/>
    <x v="1"/>
    <x v="0"/>
    <x v="2"/>
    <s v="21.07.2024"/>
    <n v="267"/>
    <n v="105.57"/>
    <n v="24.49"/>
    <n v="88.714285714285708"/>
    <n v="65.388300000000001"/>
    <n v="23.325985714285707"/>
    <n v="8.7363242375601899"/>
    <s v="21.07.2024"/>
    <n v="56.647058823529413"/>
    <n v="40.214399999999998"/>
    <n v="16.432658823529415"/>
    <n v="9.2839880358923246"/>
  </r>
  <r>
    <s v="C0734"/>
    <x v="0"/>
    <x v="1"/>
    <x v="0"/>
    <s v="11.03.2025"/>
    <n v="141"/>
    <n v="64.86"/>
    <n v="28.89"/>
    <n v="54.504201680672274"/>
    <n v="40.734900000000003"/>
    <n v="13.769301680672271"/>
    <n v="9.7654621848739502"/>
    <s v="11.03.2025"/>
    <n v="88.714285714285708"/>
    <n v="65.388300000000001"/>
    <n v="23.325985714285707"/>
    <n v="8.7363242375601899"/>
  </r>
  <r>
    <s v="C0735"/>
    <x v="0"/>
    <x v="0"/>
    <x v="0"/>
    <s v="2024-04-27"/>
    <n v="186"/>
    <n v="71.8"/>
    <n v="23.23"/>
    <n v="60.336134453781511"/>
    <n v="43.207799999999999"/>
    <n v="17.128334453781513"/>
    <n v="9.2087819643986624"/>
    <s v="2024-04"/>
    <n v="54.504201680672274"/>
    <n v="40.734900000000003"/>
    <n v="13.769301680672271"/>
    <n v="9.7654621848739502"/>
  </r>
  <r>
    <s v="C0736"/>
    <x v="1"/>
    <x v="1"/>
    <x v="1"/>
    <s v="2024-08-18"/>
    <n v="115"/>
    <n v="48.9"/>
    <n v="30.19"/>
    <n v="41.092436974789919"/>
    <n v="34.718500000000006"/>
    <n v="6.3739369747899133"/>
    <n v="5.5425538911216643"/>
    <s v="2024-08"/>
    <n v="60.336134453781511"/>
    <n v="43.207799999999999"/>
    <n v="17.128334453781513"/>
    <n v="9.2087819643986624"/>
  </r>
  <r>
    <s v="C0737"/>
    <x v="0"/>
    <x v="1"/>
    <x v="1"/>
    <s v="01.06.2024"/>
    <n v="121"/>
    <n v="52.85"/>
    <n v="31.67"/>
    <n v="44.411764705882355"/>
    <n v="38.320700000000002"/>
    <n v="6.0910647058823528"/>
    <n v="5.0339377734564899"/>
    <s v="01.06.2024"/>
    <n v="41.092436974789919"/>
    <n v="34.718500000000006"/>
    <n v="6.3739369747899133"/>
    <n v="5.5425538911216643"/>
  </r>
  <r>
    <s v="C0738"/>
    <x v="1"/>
    <x v="0"/>
    <x v="1"/>
    <s v="29.09.2024"/>
    <n v="228"/>
    <n v="89.9"/>
    <n v="22.64"/>
    <n v="75.546218487394967"/>
    <n v="51.619199999999999"/>
    <n v="23.927018487394967"/>
    <n v="10.494306354120599"/>
    <s v="29.09.2024"/>
    <n v="44.411764705882355"/>
    <n v="38.320700000000002"/>
    <n v="6.0910647058823528"/>
    <n v="5.0339377734564899"/>
  </r>
  <r>
    <s v="C0739"/>
    <x v="0"/>
    <x v="1"/>
    <x v="0"/>
    <s v="25.05.2024"/>
    <n v="93"/>
    <n v="44.33"/>
    <n v="28.68"/>
    <n v="37.252100840336134"/>
    <n v="26.672399999999996"/>
    <n v="10.579700840336137"/>
    <n v="11.376022408963589"/>
    <s v="25.05.2024"/>
    <n v="75.546218487394967"/>
    <n v="51.619199999999999"/>
    <n v="23.927018487394967"/>
    <n v="10.494306354120599"/>
  </r>
  <r>
    <s v="C0740"/>
    <x v="0"/>
    <x v="0"/>
    <x v="0"/>
    <s v="14.03.2024"/>
    <n v="236"/>
    <n v="91.56"/>
    <n v="23.67"/>
    <n v="76.941176470588246"/>
    <n v="55.861200000000011"/>
    <n v="21.079976470588235"/>
    <n v="8.9321934197407771"/>
    <s v="14.03.2024"/>
    <n v="37.252100840336134"/>
    <n v="26.672399999999996"/>
    <n v="10.579700840336137"/>
    <n v="11.376022408963589"/>
  </r>
  <r>
    <s v="C0741"/>
    <x v="0"/>
    <x v="0"/>
    <x v="0"/>
    <s v="2024-03-02"/>
    <n v="292"/>
    <n v="109.52"/>
    <n v="25.03"/>
    <n v="92.033613445378151"/>
    <n v="73.087600000000009"/>
    <n v="18.946013445378142"/>
    <n v="6.4883607689651166"/>
    <s v="2024-03"/>
    <n v="76.941176470588246"/>
    <n v="55.861200000000011"/>
    <n v="21.079976470588235"/>
    <n v="8.9321934197407771"/>
  </r>
  <r>
    <s v="C0742"/>
    <x v="0"/>
    <x v="1"/>
    <x v="2"/>
    <s v="18.06.2024"/>
    <n v="46313"/>
    <n v="42.62"/>
    <n v="29.59"/>
    <n v="35.815126050420169"/>
    <n v="13704.0167"/>
    <n v="-13668.20157394958"/>
    <n v="-29.512667229394729"/>
    <s v="18.06.2024"/>
    <n v="92.033613445378151"/>
    <n v="73.087600000000009"/>
    <n v="18.946013445378142"/>
    <n v="6.4883607689651166"/>
  </r>
  <r>
    <s v="C0743"/>
    <x v="1"/>
    <x v="0"/>
    <x v="1"/>
    <s v="10.11.2024"/>
    <n v="180"/>
    <n v="71.819999999999993"/>
    <n v="22.34"/>
    <n v="60.352941176470587"/>
    <n v="40.211999999999996"/>
    <n v="20.140941176470591"/>
    <n v="11.189411764705884"/>
    <s v="10.11.2024"/>
    <n v="35.815126050420169"/>
    <n v="13704.0167"/>
    <n v="-13668.20157394958"/>
    <n v="-29.512667229394729"/>
  </r>
  <r>
    <s v="C0744"/>
    <x v="0"/>
    <x v="1"/>
    <x v="0"/>
    <s v="22.10.2024"/>
    <n v="113"/>
    <n v="55.04"/>
    <n v="29.57"/>
    <n v="46.252100840336134"/>
    <n v="33.414099999999998"/>
    <n v="12.838000840336136"/>
    <n v="11.361062690562953"/>
    <s v="22.10.2024"/>
    <n v="60.352941176470587"/>
    <n v="40.211999999999996"/>
    <n v="20.140941176470591"/>
    <n v="11.189411764705884"/>
  </r>
  <r>
    <s v="C0745"/>
    <x v="0"/>
    <x v="2"/>
    <x v="0"/>
    <s v="25.03.2025"/>
    <n v="648"/>
    <n v="206.67"/>
    <n v="17"/>
    <n v="173.67226890756302"/>
    <n v="110.16"/>
    <n v="63.512268907563026"/>
    <n v="9.8012760659819484"/>
    <s v="25.03.2025"/>
    <n v="46.252100840336134"/>
    <n v="33.414099999999998"/>
    <n v="12.838000840336136"/>
    <n v="11.361062690562953"/>
  </r>
  <r>
    <s v="C0746"/>
    <x v="1"/>
    <x v="0"/>
    <x v="0"/>
    <s v="07.05.2024"/>
    <n v="278"/>
    <n v="99.73"/>
    <n v="22.07"/>
    <n v="83.806722689075642"/>
    <n v="61.354599999999998"/>
    <n v="22.452122689075644"/>
    <n v="8.0763031255667777"/>
    <s v="07.05.2024"/>
    <n v="173.67226890756302"/>
    <n v="110.16"/>
    <n v="63.512268907563026"/>
    <n v="9.8012760659819484"/>
  </r>
  <r>
    <s v="C0747"/>
    <x v="0"/>
    <x v="2"/>
    <x v="2"/>
    <s v="24.04.2025"/>
    <n v="560"/>
    <n v="177.03"/>
    <n v="19.809999999999999"/>
    <n v="148.76470588235296"/>
    <n v="110.93599999999998"/>
    <n v="37.828705882352978"/>
    <n v="6.7551260504201753"/>
    <s v="24.04.2025"/>
    <n v="83.806722689075642"/>
    <n v="61.354599999999998"/>
    <n v="22.452122689075644"/>
    <n v="8.0763031255667777"/>
  </r>
  <r>
    <s v="C0748"/>
    <x v="0"/>
    <x v="0"/>
    <x v="1"/>
    <s v="07.11.2024"/>
    <n v="227"/>
    <n v="81.7"/>
    <n v="24.41"/>
    <n v="68.655462184873954"/>
    <n v="55.410699999999999"/>
    <n v="13.244762184873956"/>
    <n v="5.8346969977418306"/>
    <s v="07.11.2024"/>
    <n v="148.76470588235296"/>
    <n v="110.93599999999998"/>
    <n v="37.828705882352978"/>
    <n v="6.7551260504201753"/>
  </r>
  <r>
    <s v="C0749"/>
    <x v="1"/>
    <x v="1"/>
    <x v="1"/>
    <s v="16.02.2025"/>
    <n v="133"/>
    <n v="56.89"/>
    <n v="28.65"/>
    <n v="47.806722689075634"/>
    <n v="38.104500000000002"/>
    <n v="9.7022226890756329"/>
    <n v="7.2949042775004758"/>
    <s v="16.02.2025"/>
    <n v="68.655462184873954"/>
    <n v="55.410699999999999"/>
    <n v="13.244762184873956"/>
    <n v="5.8346969977418306"/>
  </r>
  <r>
    <s v="C0750"/>
    <x v="1"/>
    <x v="0"/>
    <x v="0"/>
    <s v="05.10.2024"/>
    <n v="169"/>
    <n v="69.2"/>
    <n v="0.23"/>
    <n v="58.151260504201687"/>
    <n v="0.38870000000000005"/>
    <n v="57.762560504201687"/>
    <n v="34.179029884143006"/>
    <s v="05.10.2024"/>
    <n v="47.806722689075634"/>
    <n v="38.104500000000002"/>
    <n v="9.7022226890756329"/>
    <n v="7.2949042775004758"/>
  </r>
  <r>
    <s v="C0751"/>
    <x v="0"/>
    <x v="2"/>
    <x v="1"/>
    <s v="27.05.2025"/>
    <n v="546"/>
    <n v="176.42"/>
    <n v="18.62"/>
    <n v="148.25210084033614"/>
    <n v="101.6652"/>
    <n v="46.586900840336142"/>
    <n v="8.5323994213069856"/>
    <s v="27.05.2025"/>
    <n v="58.151260504201687"/>
    <n v="0.38870000000000005"/>
    <n v="57.762560504201687"/>
    <n v="34.179029884143006"/>
  </r>
  <r>
    <s v="C0752"/>
    <x v="1"/>
    <x v="0"/>
    <x v="0"/>
    <s v="20.05.2025"/>
    <n v="319"/>
    <n v="118.76"/>
    <n v="27.34"/>
    <n v="99.798319327731107"/>
    <n v="87.21459999999999"/>
    <n v="12.583719327731117"/>
    <n v="3.9447396011696294"/>
    <s v="20.05.2025"/>
    <n v="148.25210084033614"/>
    <n v="101.6652"/>
    <n v="46.586900840336142"/>
    <n v="8.5323994213069856"/>
  </r>
  <r>
    <s v="C0753"/>
    <x v="1"/>
    <x v="2"/>
    <x v="1"/>
    <s v="24.03.2025"/>
    <n v="538"/>
    <n v="186.93"/>
    <n v="21.37"/>
    <n v="157.0840336134454"/>
    <n v="114.97060000000002"/>
    <n v="42.11343361344538"/>
    <n v="7.8277757645809256"/>
    <s v="24.03.2025"/>
    <n v="99.798319327731107"/>
    <n v="87.21459999999999"/>
    <n v="12.583719327731117"/>
    <n v="3.9447396011696294"/>
  </r>
  <r>
    <s v="C0754"/>
    <x v="0"/>
    <x v="2"/>
    <x v="0"/>
    <s v="23.03.2024"/>
    <n v="625"/>
    <n v="205.96"/>
    <n v="17.18"/>
    <n v="173.07563025210086"/>
    <n v="107.375"/>
    <n v="65.700630252100865"/>
    <n v="10.512100840336139"/>
    <s v="23.03.2024"/>
    <n v="157.0840336134454"/>
    <n v="114.97060000000002"/>
    <n v="42.11343361344538"/>
    <n v="7.8277757645809256"/>
  </r>
  <r>
    <s v="C0755"/>
    <x v="0"/>
    <x v="1"/>
    <x v="0"/>
    <s v="10.02.2024"/>
    <n v="144"/>
    <n v="65.819999999999993"/>
    <n v="28.93"/>
    <n v="55.310924369747895"/>
    <n v="41.659199999999998"/>
    <n v="13.651724369747896"/>
    <n v="9.4803641456582621"/>
    <s v="10.02.2024"/>
    <n v="173.07563025210086"/>
    <n v="107.375"/>
    <n v="65.700630252100865"/>
    <n v="10.512100840336139"/>
  </r>
  <r>
    <s v="C0756"/>
    <x v="1"/>
    <x v="1"/>
    <x v="1"/>
    <s v="18.03.2025"/>
    <n v="93"/>
    <n v="46.8"/>
    <n v="31.47"/>
    <n v="39.327731092436977"/>
    <n v="29.267099999999999"/>
    <n v="10.060631092436978"/>
    <n v="10.817882895093526"/>
    <s v="18.03.2025"/>
    <n v="55.310924369747895"/>
    <n v="41.659199999999998"/>
    <n v="13.651724369747896"/>
    <n v="9.4803641456582621"/>
  </r>
  <r>
    <s v="C0757"/>
    <x v="1"/>
    <x v="0"/>
    <x v="2"/>
    <s v="26.11.2024"/>
    <n v="317"/>
    <n v="111.96"/>
    <n v="25.71"/>
    <n v="94.084033613445371"/>
    <n v="81.500700000000009"/>
    <n v="12.583333613445362"/>
    <n v="3.9695058717493259"/>
    <s v="26.11.2024"/>
    <n v="39.327731092436977"/>
    <n v="29.267099999999999"/>
    <n v="10.060631092436978"/>
    <n v="10.817882895093526"/>
  </r>
  <r>
    <s v="C0758"/>
    <x v="0"/>
    <x v="0"/>
    <x v="0"/>
    <s v="13.09.2024"/>
    <n v="178"/>
    <n v="74.09"/>
    <n v="23.68"/>
    <n v="62.260504201680675"/>
    <n v="42.150399999999998"/>
    <n v="20.110104201680677"/>
    <n v="11.297811349258808"/>
    <s v="13.09.2024"/>
    <n v="94.084033613445371"/>
    <n v="81.500700000000009"/>
    <n v="12.583333613445362"/>
    <n v="3.9695058717493259"/>
  </r>
  <r>
    <s v="C0759"/>
    <x v="1"/>
    <x v="2"/>
    <x v="2"/>
    <s v="27.01.2024"/>
    <n v="511"/>
    <n v="171.34"/>
    <n v="16.75"/>
    <n v="143.98319327731093"/>
    <n v="85.592500000000001"/>
    <n v="58.39069327731093"/>
    <n v="11.426750152115641"/>
    <s v="27.01.2024"/>
    <n v="62.260504201680675"/>
    <n v="42.150399999999998"/>
    <n v="20.110104201680677"/>
    <n v="11.297811349258808"/>
  </r>
  <r>
    <s v="C0760"/>
    <x v="1"/>
    <x v="2"/>
    <x v="0"/>
    <s v="03.04.2024"/>
    <n v="380"/>
    <n v="139.21"/>
    <n v="16.7"/>
    <n v="116.98319327731093"/>
    <n v="63.46"/>
    <n v="53.523193277310931"/>
    <n v="14.085050862450247"/>
    <s v="03.04.2024"/>
    <n v="143.98319327731093"/>
    <n v="85.592500000000001"/>
    <n v="58.39069327731093"/>
    <n v="11.426750152115641"/>
  </r>
  <r>
    <s v="C0761"/>
    <x v="0"/>
    <x v="0"/>
    <x v="0"/>
    <s v="2024-08-22"/>
    <n v="169"/>
    <n v="67.319999999999993"/>
    <n v="24.3"/>
    <n v="56.571428571428569"/>
    <n v="41.067"/>
    <n v="15.504428571428569"/>
    <n v="9.1742180896027037"/>
    <s v="2024-08"/>
    <n v="116.98319327731093"/>
    <n v="63.46"/>
    <n v="53.523193277310931"/>
    <n v="14.085050862450247"/>
  </r>
  <r>
    <s v="C0762"/>
    <x v="0"/>
    <x v="1"/>
    <x v="0"/>
    <s v="22.01.2024"/>
    <n v="118"/>
    <n v="57.93"/>
    <n v="29.57"/>
    <n v="48.680672268907564"/>
    <n v="34.892600000000002"/>
    <n v="13.788072268907563"/>
    <n v="11.684807007548782"/>
    <s v="22.01.2024"/>
    <n v="56.571428571428569"/>
    <n v="41.067"/>
    <n v="15.504428571428569"/>
    <n v="9.1742180896027037"/>
  </r>
  <r>
    <s v="C0763"/>
    <x v="0"/>
    <x v="2"/>
    <x v="0"/>
    <s v="02.10.2024"/>
    <n v="432"/>
    <n v="148.18"/>
    <n v="16.64"/>
    <n v="124.52100840336135"/>
    <n v="71.884799999999998"/>
    <n v="52.636208403361351"/>
    <n v="12.184307500778091"/>
    <s v="02.10.2024"/>
    <n v="48.680672268907564"/>
    <n v="34.892600000000002"/>
    <n v="13.788072268907563"/>
    <n v="11.684807007548782"/>
  </r>
  <r>
    <s v="C0764"/>
    <x v="1"/>
    <x v="1"/>
    <x v="0"/>
    <s v="11.02.2024"/>
    <n v="124"/>
    <n v="53.21"/>
    <n v="30.33"/>
    <n v="44.714285714285715"/>
    <n v="37.609199999999994"/>
    <n v="7.1050857142857211"/>
    <n v="5.7299078341013878"/>
    <s v="11.02.2024"/>
    <n v="124.52100840336135"/>
    <n v="71.884799999999998"/>
    <n v="52.636208403361351"/>
    <n v="12.184307500778091"/>
  </r>
  <r>
    <s v="C0765"/>
    <x v="0"/>
    <x v="2"/>
    <x v="0"/>
    <s v="28.06.2024"/>
    <n v="526"/>
    <n v="177.38"/>
    <n v="18.559999999999999"/>
    <n v="149.05882352941177"/>
    <n v="97.625599999999991"/>
    <n v="51.433223529411777"/>
    <n v="9.7781793782151674"/>
    <s v="28.06.2024"/>
    <n v="44.714285714285715"/>
    <n v="37.609199999999994"/>
    <n v="7.1050857142857211"/>
    <n v="5.7299078341013878"/>
  </r>
  <r>
    <s v="C0766"/>
    <x v="1"/>
    <x v="0"/>
    <x v="0"/>
    <s v="26.04.2025"/>
    <n v="174"/>
    <n v="71.819999999999993"/>
    <n v="25.15"/>
    <n v="60.352941176470587"/>
    <n v="43.760999999999996"/>
    <n v="16.591941176470591"/>
    <n v="9.5355983772819499"/>
    <s v="26.04.2025"/>
    <n v="149.05882352941177"/>
    <n v="97.625599999999991"/>
    <n v="51.433223529411777"/>
    <n v="9.7781793782151674"/>
  </r>
  <r>
    <s v="C0767"/>
    <x v="1"/>
    <x v="0"/>
    <x v="2"/>
    <s v="2025-06-15"/>
    <n v="187"/>
    <n v="78.78"/>
    <n v="23.23"/>
    <n v="66.201680672268907"/>
    <n v="43.440100000000001"/>
    <n v="22.761580672268906"/>
    <n v="12.171968273940591"/>
    <s v="2025-06"/>
    <n v="60.352941176470587"/>
    <n v="43.760999999999996"/>
    <n v="16.591941176470591"/>
    <n v="9.5355983772819499"/>
  </r>
  <r>
    <s v="C0768"/>
    <x v="1"/>
    <x v="1"/>
    <x v="0"/>
    <s v="2025-03-28"/>
    <n v="130"/>
    <n v="56.7"/>
    <n v="28.16"/>
    <n v="47.647058823529413"/>
    <n v="36.608000000000004"/>
    <n v="11.039058823529409"/>
    <n v="8.4915837104072374"/>
    <s v="2025-03"/>
    <n v="66.201680672268907"/>
    <n v="43.440100000000001"/>
    <n v="22.761580672268906"/>
    <n v="12.171968273940591"/>
  </r>
  <r>
    <s v="C0769"/>
    <x v="0"/>
    <x v="0"/>
    <x v="1"/>
    <s v="11.10.2024"/>
    <n v="224"/>
    <n v="89.8"/>
    <n v="24.35"/>
    <n v="75.462184873949582"/>
    <n v="54.544000000000004"/>
    <n v="20.918184873949578"/>
    <n v="9.3384753901560611"/>
    <s v="11.10.2024"/>
    <n v="47.647058823529413"/>
    <n v="36.608000000000004"/>
    <n v="11.039058823529409"/>
    <n v="8.4915837104072374"/>
  </r>
  <r>
    <s v="C0770"/>
    <x v="1"/>
    <x v="0"/>
    <x v="0"/>
    <s v="04.07.2024"/>
    <n v="288"/>
    <n v="110.26"/>
    <n v="23.59"/>
    <n v="92.655462184873954"/>
    <n v="67.9392"/>
    <n v="24.716262184873955"/>
    <n v="8.5820354808590125"/>
    <s v="04.07.2024"/>
    <n v="75.462184873949582"/>
    <n v="54.544000000000004"/>
    <n v="20.918184873949578"/>
    <n v="9.3384753901560611"/>
  </r>
  <r>
    <s v="C0771"/>
    <x v="0"/>
    <x v="0"/>
    <x v="1"/>
    <s v="22.03.2025"/>
    <n v="275"/>
    <n v="101.04"/>
    <n v="25.9"/>
    <n v="84.907563025210095"/>
    <n v="71.224999999999994"/>
    <n v="13.682563025210101"/>
    <n v="4.9754774637127639"/>
    <s v="22.03.2025"/>
    <n v="92.655462184873954"/>
    <n v="67.9392"/>
    <n v="24.716262184873955"/>
    <n v="8.5820354808590125"/>
  </r>
  <r>
    <s v="C0772"/>
    <x v="1"/>
    <x v="1"/>
    <x v="0"/>
    <s v="18.05.2025"/>
    <n v="154"/>
    <n v="63.36"/>
    <n v="32.18"/>
    <n v="53.243697478991599"/>
    <n v="49.557200000000002"/>
    <n v="3.6864974789915976"/>
    <n v="2.3938295318127261"/>
    <s v="18.05.2025"/>
    <n v="84.907563025210095"/>
    <n v="71.224999999999994"/>
    <n v="13.682563025210101"/>
    <n v="4.9754774637127639"/>
  </r>
  <r>
    <s v="C0773"/>
    <x v="0"/>
    <x v="0"/>
    <x v="0"/>
    <s v="03.04.2024"/>
    <n v="282"/>
    <n v="104.71"/>
    <n v="23.1"/>
    <n v="87.991596638655466"/>
    <n v="65.14200000000001"/>
    <n v="22.849596638655456"/>
    <n v="8.1026938434948423"/>
    <s v="03.04.2024"/>
    <n v="53.243697478991599"/>
    <n v="49.557200000000002"/>
    <n v="3.6864974789915976"/>
    <n v="2.3938295318127261"/>
  </r>
  <r>
    <s v="C0774"/>
    <x v="0"/>
    <x v="2"/>
    <x v="0"/>
    <s v="26.04.2025"/>
    <n v="477"/>
    <n v="165.51"/>
    <n v="20.05"/>
    <n v="139.08403361344537"/>
    <n v="95.638500000000008"/>
    <n v="43.445533613445363"/>
    <n v="9.1080783256698865"/>
    <s v="26.04.2025"/>
    <n v="87.991596638655466"/>
    <n v="65.14200000000001"/>
    <n v="22.849596638655456"/>
    <n v="8.1026938434948423"/>
  </r>
  <r>
    <s v="C0775"/>
    <x v="1"/>
    <x v="1"/>
    <x v="0"/>
    <s v="22.12.2024"/>
    <n v="140"/>
    <n v="60.76"/>
    <n v="29.09"/>
    <n v="51.058823529411768"/>
    <n v="40.725999999999999"/>
    <n v="10.332823529411769"/>
    <n v="7.3805882352941206"/>
    <s v="22.12.2024"/>
    <n v="139.08403361344537"/>
    <n v="95.638500000000008"/>
    <n v="43.445533613445363"/>
    <n v="9.1080783256698865"/>
  </r>
  <r>
    <s v="C0776"/>
    <x v="0"/>
    <x v="1"/>
    <x v="0"/>
    <s v="22.02.2025"/>
    <n v="106"/>
    <n v="48.61"/>
    <n v="31.62"/>
    <n v="40.84873949579832"/>
    <n v="33.517200000000003"/>
    <n v="7.3315394957983173"/>
    <n v="6.9165466941493561"/>
    <s v="22.02.2025"/>
    <n v="51.058823529411768"/>
    <n v="40.725999999999999"/>
    <n v="10.332823529411769"/>
    <n v="7.3805882352941206"/>
  </r>
  <r>
    <s v="C0777"/>
    <x v="0"/>
    <x v="1"/>
    <x v="1"/>
    <s v="07.12.2024"/>
    <n v="109"/>
    <n v="48.83"/>
    <n v="29.5"/>
    <n v="41.033613445378151"/>
    <n v="32.155000000000001"/>
    <n v="8.87861344537815"/>
    <n v="8.1455169223652764"/>
    <s v="07.12.2024"/>
    <n v="40.84873949579832"/>
    <n v="33.517200000000003"/>
    <n v="7.3315394957983173"/>
    <n v="6.9165466941493561"/>
  </r>
  <r>
    <s v="C0778"/>
    <x v="1"/>
    <x v="0"/>
    <x v="2"/>
    <s v="24.11.2024"/>
    <n v="298"/>
    <n v="113.21"/>
    <n v="24.2"/>
    <n v="95.134453781512605"/>
    <n v="72.116"/>
    <n v="23.018453781512605"/>
    <n v="7.7243133495008749"/>
    <s v="24.11.2024"/>
    <n v="41.033613445378151"/>
    <n v="32.155000000000001"/>
    <n v="8.87861344537815"/>
    <n v="8.1455169223652764"/>
  </r>
  <r>
    <s v="C0779"/>
    <x v="1"/>
    <x v="0"/>
    <x v="2"/>
    <s v="17.04.2024"/>
    <n v="241"/>
    <n v="93.39"/>
    <n v="22.2"/>
    <n v="78.478991596638664"/>
    <n v="53.501999999999995"/>
    <n v="24.976991596638669"/>
    <n v="10.363896928065838"/>
    <s v="17.04.2024"/>
    <n v="95.134453781512605"/>
    <n v="72.116"/>
    <n v="23.018453781512605"/>
    <n v="7.7243133495008749"/>
  </r>
  <r>
    <s v="C0780"/>
    <x v="1"/>
    <x v="0"/>
    <x v="1"/>
    <s v="13.06.2024"/>
    <n v="300"/>
    <n v="110.34"/>
    <n v="25.7"/>
    <n v="92.722689075630257"/>
    <n v="77.099999999999994"/>
    <n v="15.622689075630262"/>
    <n v="5.2075630252100868"/>
    <s v="13.06.2024"/>
    <n v="78.478991596638664"/>
    <n v="53.501999999999995"/>
    <n v="24.976991596638669"/>
    <n v="10.363896928065838"/>
  </r>
  <r>
    <s v="C0781"/>
    <x v="1"/>
    <x v="1"/>
    <x v="0"/>
    <s v="03.12.2024"/>
    <n v="152"/>
    <n v="60.75"/>
    <n v="31.33"/>
    <n v="51.050420168067227"/>
    <n v="47.621600000000001"/>
    <n v="3.4288201680672259"/>
    <n v="2.2558027421494908"/>
    <s v="03.12.2024"/>
    <n v="92.722689075630257"/>
    <n v="77.099999999999994"/>
    <n v="15.622689075630262"/>
    <n v="5.2075630252100868"/>
  </r>
  <r>
    <s v="C0782"/>
    <x v="0"/>
    <x v="0"/>
    <x v="0"/>
    <s v="25.02.2025"/>
    <n v="309"/>
    <n v="110.88"/>
    <n v="25.22"/>
    <n v="93.17647058823529"/>
    <n v="77.9298"/>
    <n v="15.24667058823529"/>
    <n v="4.9341976013706441"/>
    <s v="25.02.2025"/>
    <n v="51.050420168067227"/>
    <n v="47.621600000000001"/>
    <n v="3.4288201680672259"/>
    <n v="2.2558027421494908"/>
  </r>
  <r>
    <s v="C0783"/>
    <x v="0"/>
    <x v="0"/>
    <x v="0"/>
    <s v="22.05.2025"/>
    <n v="319"/>
    <n v="120.46"/>
    <n v="24.9"/>
    <n v="101.22689075630252"/>
    <n v="79.430999999999997"/>
    <n v="21.795890756302526"/>
    <n v="6.832567635204553"/>
    <s v="22.05.2025"/>
    <n v="93.17647058823529"/>
    <n v="77.9298"/>
    <n v="15.24667058823529"/>
    <n v="4.9341976013706441"/>
  </r>
  <r>
    <s v="C0784"/>
    <x v="0"/>
    <x v="0"/>
    <x v="0"/>
    <s v="22.10.2024"/>
    <n v="238"/>
    <n v="90.54"/>
    <n v="22.9"/>
    <n v="76.084033613445385"/>
    <n v="54.501999999999995"/>
    <n v="21.58203361344539"/>
    <n v="9.0680813501871391"/>
    <s v="22.10.2024"/>
    <n v="101.22689075630252"/>
    <n v="79.430999999999997"/>
    <n v="21.795890756302526"/>
    <n v="6.832567635204553"/>
  </r>
  <r>
    <s v="C0785"/>
    <x v="0"/>
    <x v="2"/>
    <x v="0"/>
    <s v="14.02.2025"/>
    <n v="440"/>
    <n v="146.38"/>
    <n v="20.59"/>
    <n v="123.00840336134453"/>
    <n v="90.596000000000004"/>
    <n v="32.412403361344531"/>
    <n v="7.3664553093964846"/>
    <s v="14.02.2025"/>
    <n v="76.084033613445385"/>
    <n v="54.501999999999995"/>
    <n v="21.58203361344539"/>
    <n v="9.0680813501871391"/>
  </r>
  <r>
    <s v="C0786"/>
    <x v="1"/>
    <x v="1"/>
    <x v="0"/>
    <s v="07.02.2024"/>
    <n v="132"/>
    <n v="55.5"/>
    <n v="31.72"/>
    <n v="46.638655462184879"/>
    <n v="41.870399999999997"/>
    <n v="4.7682554621848823"/>
    <n v="3.6123147440794563"/>
    <s v="07.02.2024"/>
    <n v="123.00840336134453"/>
    <n v="90.596000000000004"/>
    <n v="32.412403361344531"/>
    <n v="7.3664553093964846"/>
  </r>
  <r>
    <s v="C0787"/>
    <x v="1"/>
    <x v="0"/>
    <x v="0"/>
    <s v="10.04.2025"/>
    <n v="229"/>
    <n v="92.16"/>
    <n v="22.38"/>
    <n v="77.445378151260499"/>
    <n v="51.250199999999992"/>
    <n v="26.195178151260507"/>
    <n v="11.438942424131225"/>
    <s v="10.04.2025"/>
    <n v="46.638655462184879"/>
    <n v="41.870399999999997"/>
    <n v="4.7682554621848823"/>
    <n v="3.6123147440794563"/>
  </r>
  <r>
    <s v="C0788"/>
    <x v="0"/>
    <x v="0"/>
    <x v="0"/>
    <s v="31.03.2024"/>
    <n v="267"/>
    <n v="104.53"/>
    <n v="23.8"/>
    <n v="87.840336134453793"/>
    <n v="63.546000000000006"/>
    <n v="24.294336134453786"/>
    <n v="9.0990022975482354"/>
    <s v="31.03.2024"/>
    <n v="77.445378151260499"/>
    <n v="51.250199999999992"/>
    <n v="26.195178151260507"/>
    <n v="11.438942424131225"/>
  </r>
  <r>
    <s v="C0789"/>
    <x v="0"/>
    <x v="0"/>
    <x v="2"/>
    <s v="18.11.2024"/>
    <n v="284"/>
    <n v="108.53"/>
    <n v="23.35"/>
    <n v="91.201680672268907"/>
    <n v="66.314000000000007"/>
    <n v="24.8876806722689"/>
    <n v="8.7632678423482044"/>
    <s v="18.11.2024"/>
    <n v="87.840336134453793"/>
    <n v="63.546000000000006"/>
    <n v="24.294336134453786"/>
    <n v="9.0990022975482354"/>
  </r>
  <r>
    <s v="C0790"/>
    <x v="1"/>
    <x v="0"/>
    <x v="1"/>
    <s v="15.09.2024"/>
    <n v="281"/>
    <n v="106.26"/>
    <n v="25.48"/>
    <n v="89.294117647058826"/>
    <n v="71.598799999999997"/>
    <n v="17.695317647058829"/>
    <n v="6.2972660665689784"/>
    <s v="15.09.2024"/>
    <n v="91.201680672268907"/>
    <n v="66.314000000000007"/>
    <n v="24.8876806722689"/>
    <n v="8.7632678423482044"/>
  </r>
  <r>
    <s v="C0791"/>
    <x v="0"/>
    <x v="0"/>
    <x v="0"/>
    <s v="27.11.2024"/>
    <n v="229"/>
    <n v="84.16"/>
    <n v="22.33"/>
    <n v="70.722689075630257"/>
    <n v="51.1357"/>
    <n v="19.586989075630257"/>
    <n v="8.5532703387031681"/>
    <s v="27.11.2024"/>
    <n v="89.294117647058826"/>
    <n v="71.598799999999997"/>
    <n v="17.695317647058829"/>
    <n v="6.2972660665689784"/>
  </r>
  <r>
    <s v="C0792"/>
    <x v="1"/>
    <x v="2"/>
    <x v="2"/>
    <s v="28.04.2024"/>
    <n v="389"/>
    <n v="140.88999999999999"/>
    <n v="17.559999999999999"/>
    <n v="118.39495798319327"/>
    <n v="68.308399999999992"/>
    <n v="50.086557983193273"/>
    <n v="12.875721846579246"/>
    <s v="28.04.2024"/>
    <n v="70.722689075630257"/>
    <n v="51.1357"/>
    <n v="19.586989075630257"/>
    <n v="8.5532703387031681"/>
  </r>
  <r>
    <s v="C0793"/>
    <x v="0"/>
    <x v="1"/>
    <x v="2"/>
    <s v="17.02.2025"/>
    <n v="119"/>
    <n v="49.8"/>
    <n v="31.01"/>
    <n v="41.84873949579832"/>
    <n v="36.901899999999998"/>
    <n v="4.9468394957983222"/>
    <n v="4.1570079796624553"/>
    <s v="17.02.2025"/>
    <n v="118.39495798319327"/>
    <n v="68.308399999999992"/>
    <n v="50.086557983193273"/>
    <n v="12.875721846579246"/>
  </r>
  <r>
    <s v="C0794"/>
    <x v="1"/>
    <x v="1"/>
    <x v="0"/>
    <s v="10.06.2025"/>
    <n v="95"/>
    <n v="46.81"/>
    <n v="28.21"/>
    <n v="39.336134453781519"/>
    <n v="26.799500000000002"/>
    <n v="12.536634453781517"/>
    <n v="13.196457319770015"/>
    <s v="10.06.2025"/>
    <n v="41.84873949579832"/>
    <n v="36.901899999999998"/>
    <n v="4.9468394957983222"/>
    <n v="4.1570079796624553"/>
  </r>
  <r>
    <s v="C0795"/>
    <x v="0"/>
    <x v="0"/>
    <x v="0"/>
    <s v="02.01.2024"/>
    <n v="315"/>
    <n v="113.84"/>
    <n v="23.97"/>
    <n v="95.663865546218489"/>
    <n v="75.505499999999998"/>
    <n v="20.158365546218491"/>
    <n v="6.3994811257836473"/>
    <s v="02.01.2024"/>
    <n v="39.336134453781519"/>
    <n v="26.799500000000002"/>
    <n v="12.536634453781517"/>
    <n v="13.196457319770015"/>
  </r>
  <r>
    <s v="C0796"/>
    <x v="1"/>
    <x v="0"/>
    <x v="0"/>
    <s v="18.04.2025"/>
    <n v="224"/>
    <n v="86.46"/>
    <n v="23.77"/>
    <n v="72.655462184873954"/>
    <n v="53.244799999999998"/>
    <n v="19.410662184873956"/>
    <n v="8.6654741896758729"/>
    <s v="18.04.2025"/>
    <n v="95.663865546218489"/>
    <n v="75.505499999999998"/>
    <n v="20.158365546218491"/>
    <n v="6.3994811257836473"/>
  </r>
  <r>
    <s v="C0797"/>
    <x v="1"/>
    <x v="1"/>
    <x v="2"/>
    <s v="27.02.2025"/>
    <n v="96"/>
    <n v="43.76"/>
    <n v="29.34"/>
    <n v="36.773109243697476"/>
    <n v="28.166399999999999"/>
    <n v="8.6067092436974768"/>
    <n v="8.9653221288515379"/>
    <s v="27.02.2025"/>
    <n v="72.655462184873954"/>
    <n v="53.244799999999998"/>
    <n v="19.410662184873956"/>
    <n v="8.6654741896758729"/>
  </r>
  <r>
    <s v="C0798"/>
    <x v="1"/>
    <x v="1"/>
    <x v="2"/>
    <s v="2024-02-25"/>
    <n v="85"/>
    <n v="43.5"/>
    <n v="29.58"/>
    <n v="36.554621848739501"/>
    <n v="25.142999999999997"/>
    <n v="11.411621848739504"/>
    <n v="13.425437469105297"/>
    <s v="2024-02"/>
    <n v="36.773109243697476"/>
    <n v="28.166399999999999"/>
    <n v="8.6067092436974768"/>
    <n v="8.9653221288515379"/>
  </r>
  <r>
    <s v="C0799"/>
    <x v="1"/>
    <x v="1"/>
    <x v="0"/>
    <s v="11.07.2024"/>
    <n v="137"/>
    <n v="58.99"/>
    <n v="30.12"/>
    <n v="49.571428571428577"/>
    <n v="41.264400000000002"/>
    <n v="8.3070285714285745"/>
    <n v="6.0635245046923902"/>
    <s v="11.07.2024"/>
    <n v="36.554621848739501"/>
    <n v="25.142999999999997"/>
    <n v="11.411621848739504"/>
    <n v="13.425437469105297"/>
  </r>
  <r>
    <s v="C0800"/>
    <x v="1"/>
    <x v="2"/>
    <x v="0"/>
    <s v="14.06.2025"/>
    <n v="546"/>
    <n v="187.61"/>
    <n v="17.309999999999999"/>
    <n v="157.65546218487395"/>
    <n v="94.512599999999978"/>
    <n v="63.142862184873977"/>
    <n v="11.564626773786442"/>
    <s v="14.06.2025"/>
    <n v="49.571428571428577"/>
    <n v="41.264400000000002"/>
    <n v="8.3070285714285745"/>
    <n v="6.0635245046923902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9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0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874BE2A-FEAC-4EF0-9BC1-5AF1A3CF58C6}" name="PivotTable2" cacheId="4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2">
  <location ref="A3:B6" firstHeaderRow="1" firstDataRow="1" firstDataCol="1"/>
  <pivotFields count="17">
    <pivotField showAll="0"/>
    <pivotField axis="axisRow" showAll="0">
      <items count="3">
        <item x="0"/>
        <item x="1"/>
        <item t="default"/>
      </items>
    </pivotField>
    <pivotField showAll="0"/>
    <pivotField showAll="0"/>
    <pivotField showAll="0"/>
    <pivotField showAll="0"/>
    <pivotField showAll="0"/>
    <pivotField showAll="0"/>
    <pivotField numFmtId="2" showAll="0"/>
    <pivotField numFmtId="2" showAll="0"/>
    <pivotField dataField="1" numFmtId="2" showAll="0"/>
    <pivotField showAll="0"/>
    <pivotField showAll="0"/>
    <pivotField showAll="0"/>
    <pivotField showAll="0"/>
    <pivotField showAll="0"/>
    <pivotField showAll="0"/>
  </pivotFields>
  <rowFields count="1">
    <field x="1"/>
  </rowFields>
  <rowItems count="3">
    <i>
      <x/>
    </i>
    <i>
      <x v="1"/>
    </i>
    <i t="grand">
      <x/>
    </i>
  </rowItems>
  <colItems count="1">
    <i/>
  </colItems>
  <dataFields count="1">
    <dataField name="Sum of ptofit_(€)" fld="10" baseField="0" baseItem="0"/>
  </dataFields>
  <chartFormats count="1">
    <chartFormat chart="1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62ADB51-7409-471F-BF65-EAA58EB56061}" name="PivotTable3" cacheId="4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">
  <location ref="A3:B7" firstHeaderRow="1" firstDataRow="1" firstDataCol="1"/>
  <pivotFields count="17">
    <pivotField showAll="0" defaultSubtotal="0"/>
    <pivotField showAll="0" defaultSubtotal="0"/>
    <pivotField showAll="0" defaultSubtotal="0"/>
    <pivotField axis="axisRow" showAll="0" defaultSubtotal="0">
      <items count="3">
        <item x="0"/>
        <item x="2"/>
        <item x="1"/>
      </items>
    </pivotField>
    <pivotField showAll="0" defaultSubtotal="0"/>
    <pivotField showAll="0" defaultSubtotal="0"/>
    <pivotField showAll="0" defaultSubtotal="0"/>
    <pivotField showAll="0" defaultSubtotal="0"/>
    <pivotField numFmtId="2" showAll="0" defaultSubtotal="0"/>
    <pivotField numFmtId="2" showAll="0" defaultSubtotal="0"/>
    <pivotField dataField="1" numFmtId="2"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</pivotFields>
  <rowFields count="1">
    <field x="3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Average of ptofit_(€)" fld="10" subtotal="average" baseField="3" baseItem="0" numFmtId="2"/>
  </dataFields>
  <formats count="2">
    <format dxfId="56">
      <pivotArea outline="0" collapsedLevelsAreSubtotals="1" fieldPosition="0"/>
    </format>
    <format dxfId="55">
      <pivotArea dataOnly="0" labelOnly="1" outline="0" axis="axisValues" fieldPosition="0"/>
    </format>
  </formats>
  <chartFormats count="4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0"/>
          </reference>
        </references>
      </pivotArea>
    </chartFormat>
    <chartFormat chart="0" format="2">
      <pivotArea type="data" outline="0" fieldPosition="0">
        <references count="2">
          <reference field="4294967294" count="1" selected="0">
            <x v="0"/>
          </reference>
          <reference field="3" count="1" selected="0">
            <x v="1"/>
          </reference>
        </references>
      </pivotArea>
    </chartFormat>
    <chartFormat chart="0" format="3">
      <pivotArea type="data" outline="0" fieldPosition="0">
        <references count="2">
          <reference field="4294967294" count="1" selected="0">
            <x v="0"/>
          </reference>
          <reference field="3" count="1" selected="0">
            <x v="2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EBACBD6-90F0-476A-99AC-2B91389D8EEA}" name="PivotTable1" cacheId="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rowHeaderCaption="Customer_Id">
  <location ref="A3:D801" firstHeaderRow="0" firstDataRow="1" firstDataCol="1"/>
  <pivotFields count="12">
    <pivotField axis="axisRow" showAll="0">
      <items count="798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t="default"/>
      </items>
    </pivotField>
    <pivotField showAll="0"/>
    <pivotField showAll="0"/>
    <pivotField showAll="0"/>
    <pivotField showAll="0"/>
    <pivotField dataField="1" showAll="0">
      <items count="374">
        <item x="171"/>
        <item x="230"/>
        <item x="363"/>
        <item x="121"/>
        <item x="81"/>
        <item x="43"/>
        <item x="193"/>
        <item x="20"/>
        <item x="80"/>
        <item x="37"/>
        <item x="126"/>
        <item x="124"/>
        <item x="166"/>
        <item x="39"/>
        <item x="296"/>
        <item x="128"/>
        <item x="194"/>
        <item x="66"/>
        <item x="211"/>
        <item x="24"/>
        <item x="90"/>
        <item x="178"/>
        <item x="97"/>
        <item x="206"/>
        <item x="45"/>
        <item x="295"/>
        <item x="259"/>
        <item x="162"/>
        <item x="63"/>
        <item x="1"/>
        <item x="233"/>
        <item x="68"/>
        <item x="353"/>
        <item x="109"/>
        <item x="164"/>
        <item x="220"/>
        <item x="244"/>
        <item x="114"/>
        <item x="85"/>
        <item x="136"/>
        <item x="50"/>
        <item x="139"/>
        <item x="115"/>
        <item x="74"/>
        <item x="255"/>
        <item x="103"/>
        <item x="35"/>
        <item x="9"/>
        <item x="84"/>
        <item x="17"/>
        <item x="246"/>
        <item x="175"/>
        <item x="335"/>
        <item x="75"/>
        <item x="91"/>
        <item x="140"/>
        <item x="70"/>
        <item x="157"/>
        <item x="29"/>
        <item x="314"/>
        <item x="67"/>
        <item x="276"/>
        <item x="18"/>
        <item x="210"/>
        <item x="27"/>
        <item x="76"/>
        <item x="62"/>
        <item x="30"/>
        <item x="176"/>
        <item x="71"/>
        <item x="307"/>
        <item x="196"/>
        <item x="73"/>
        <item x="202"/>
        <item x="59"/>
        <item x="107"/>
        <item x="260"/>
        <item x="290"/>
        <item x="55"/>
        <item x="47"/>
        <item x="134"/>
        <item x="83"/>
        <item x="173"/>
        <item x="208"/>
        <item x="217"/>
        <item x="205"/>
        <item x="151"/>
        <item x="249"/>
        <item x="287"/>
        <item x="262"/>
        <item x="148"/>
        <item x="333"/>
        <item x="258"/>
        <item x="94"/>
        <item x="4"/>
        <item x="351"/>
        <item x="64"/>
        <item x="160"/>
        <item x="224"/>
        <item x="25"/>
        <item x="309"/>
        <item x="357"/>
        <item x="339"/>
        <item x="99"/>
        <item x="195"/>
        <item x="118"/>
        <item x="78"/>
        <item x="33"/>
        <item x="256"/>
        <item x="282"/>
        <item x="22"/>
        <item x="298"/>
        <item x="0"/>
        <item x="281"/>
        <item x="165"/>
        <item x="320"/>
        <item x="120"/>
        <item x="2"/>
        <item x="8"/>
        <item x="181"/>
        <item x="137"/>
        <item x="266"/>
        <item x="251"/>
        <item x="318"/>
        <item x="356"/>
        <item x="153"/>
        <item x="44"/>
        <item x="48"/>
        <item x="303"/>
        <item x="129"/>
        <item x="355"/>
        <item x="177"/>
        <item x="369"/>
        <item x="28"/>
        <item x="3"/>
        <item x="248"/>
        <item x="79"/>
        <item x="130"/>
        <item x="58"/>
        <item x="245"/>
        <item x="131"/>
        <item x="49"/>
        <item x="65"/>
        <item x="279"/>
        <item x="110"/>
        <item x="106"/>
        <item x="344"/>
        <item x="87"/>
        <item x="345"/>
        <item x="26"/>
        <item x="93"/>
        <item x="204"/>
        <item x="304"/>
        <item x="225"/>
        <item x="127"/>
        <item x="53"/>
        <item x="86"/>
        <item x="319"/>
        <item x="5"/>
        <item x="288"/>
        <item x="170"/>
        <item x="119"/>
        <item x="198"/>
        <item x="125"/>
        <item x="228"/>
        <item x="359"/>
        <item x="227"/>
        <item x="337"/>
        <item x="199"/>
        <item x="239"/>
        <item x="174"/>
        <item x="269"/>
        <item x="144"/>
        <item x="312"/>
        <item x="143"/>
        <item x="226"/>
        <item x="92"/>
        <item x="141"/>
        <item x="16"/>
        <item x="14"/>
        <item x="229"/>
        <item x="147"/>
        <item x="135"/>
        <item x="102"/>
        <item x="234"/>
        <item x="42"/>
        <item x="218"/>
        <item x="188"/>
        <item x="111"/>
        <item x="325"/>
        <item x="311"/>
        <item x="38"/>
        <item x="283"/>
        <item x="112"/>
        <item x="155"/>
        <item x="41"/>
        <item x="370"/>
        <item x="223"/>
        <item x="123"/>
        <item x="61"/>
        <item x="104"/>
        <item x="305"/>
        <item x="231"/>
        <item x="342"/>
        <item x="34"/>
        <item x="54"/>
        <item x="293"/>
        <item x="60"/>
        <item x="329"/>
        <item x="285"/>
        <item x="133"/>
        <item x="142"/>
        <item x="334"/>
        <item x="340"/>
        <item x="326"/>
        <item x="52"/>
        <item x="31"/>
        <item x="264"/>
        <item x="192"/>
        <item x="21"/>
        <item x="354"/>
        <item x="69"/>
        <item x="191"/>
        <item x="15"/>
        <item x="240"/>
        <item x="221"/>
        <item x="213"/>
        <item x="113"/>
        <item x="321"/>
        <item x="214"/>
        <item x="265"/>
        <item x="232"/>
        <item x="6"/>
        <item x="150"/>
        <item x="254"/>
        <item x="209"/>
        <item x="101"/>
        <item x="88"/>
        <item x="270"/>
        <item x="56"/>
        <item x="313"/>
        <item x="72"/>
        <item x="82"/>
        <item x="98"/>
        <item x="146"/>
        <item x="203"/>
        <item x="300"/>
        <item x="372"/>
        <item x="316"/>
        <item x="190"/>
        <item x="156"/>
        <item x="108"/>
        <item x="268"/>
        <item x="297"/>
        <item x="284"/>
        <item x="238"/>
        <item x="271"/>
        <item x="347"/>
        <item x="310"/>
        <item x="122"/>
        <item x="352"/>
        <item x="267"/>
        <item x="116"/>
        <item x="159"/>
        <item x="327"/>
        <item x="183"/>
        <item x="289"/>
        <item x="172"/>
        <item x="367"/>
        <item x="332"/>
        <item x="100"/>
        <item x="216"/>
        <item x="292"/>
        <item x="371"/>
        <item x="12"/>
        <item x="236"/>
        <item x="13"/>
        <item x="308"/>
        <item x="358"/>
        <item x="360"/>
        <item x="154"/>
        <item x="152"/>
        <item x="212"/>
        <item x="46"/>
        <item x="215"/>
        <item x="361"/>
        <item x="32"/>
        <item x="362"/>
        <item x="242"/>
        <item x="179"/>
        <item x="237"/>
        <item x="235"/>
        <item x="323"/>
        <item x="286"/>
        <item x="278"/>
        <item x="19"/>
        <item x="330"/>
        <item x="253"/>
        <item x="261"/>
        <item x="306"/>
        <item x="77"/>
        <item x="349"/>
        <item x="280"/>
        <item x="145"/>
        <item x="274"/>
        <item x="105"/>
        <item x="291"/>
        <item x="277"/>
        <item x="273"/>
        <item x="200"/>
        <item x="343"/>
        <item x="368"/>
        <item x="247"/>
        <item x="219"/>
        <item x="331"/>
        <item x="51"/>
        <item x="346"/>
        <item x="167"/>
        <item x="222"/>
        <item x="36"/>
        <item x="163"/>
        <item x="350"/>
        <item x="243"/>
        <item x="89"/>
        <item x="169"/>
        <item x="11"/>
        <item x="189"/>
        <item x="341"/>
        <item x="365"/>
        <item x="315"/>
        <item x="201"/>
        <item x="23"/>
        <item x="95"/>
        <item x="302"/>
        <item x="149"/>
        <item x="301"/>
        <item x="207"/>
        <item x="197"/>
        <item x="348"/>
        <item x="187"/>
        <item x="117"/>
        <item x="158"/>
        <item x="168"/>
        <item x="132"/>
        <item x="322"/>
        <item x="336"/>
        <item x="7"/>
        <item x="57"/>
        <item x="40"/>
        <item x="250"/>
        <item x="317"/>
        <item x="185"/>
        <item x="272"/>
        <item x="338"/>
        <item x="275"/>
        <item x="184"/>
        <item x="252"/>
        <item x="366"/>
        <item x="10"/>
        <item x="182"/>
        <item x="299"/>
        <item x="138"/>
        <item x="294"/>
        <item x="328"/>
        <item x="186"/>
        <item x="241"/>
        <item x="180"/>
        <item x="257"/>
        <item x="263"/>
        <item x="161"/>
        <item x="96"/>
        <item x="324"/>
        <item x="364"/>
        <item t="default"/>
      </items>
    </pivotField>
    <pivotField showAll="0"/>
    <pivotField showAll="0"/>
    <pivotField showAll="0"/>
    <pivotField showAll="0"/>
    <pivotField dataField="1" showAll="0"/>
    <pivotField dataField="1" showAll="0">
      <items count="800">
        <item x="304"/>
        <item x="226"/>
        <item x="480"/>
        <item x="740"/>
        <item x="381"/>
        <item x="602"/>
        <item x="458"/>
        <item x="422"/>
        <item x="581"/>
        <item x="713"/>
        <item x="612"/>
        <item x="140"/>
        <item x="779"/>
        <item x="98"/>
        <item x="770"/>
        <item x="685"/>
        <item x="560"/>
        <item x="689"/>
        <item x="312"/>
        <item x="294"/>
        <item x="55"/>
        <item x="635"/>
        <item x="135"/>
        <item x="234"/>
        <item x="283"/>
        <item x="538"/>
        <item x="390"/>
        <item x="230"/>
        <item x="79"/>
        <item x="784"/>
        <item x="483"/>
        <item x="609"/>
        <item x="373"/>
        <item x="243"/>
        <item x="335"/>
        <item x="426"/>
        <item x="717"/>
        <item x="545"/>
        <item x="750"/>
        <item x="19"/>
        <item x="755"/>
        <item x="273"/>
        <item x="326"/>
        <item x="231"/>
        <item x="791"/>
        <item x="465"/>
        <item x="464"/>
        <item x="539"/>
        <item x="328"/>
        <item x="610"/>
        <item x="719"/>
        <item x="592"/>
        <item x="83"/>
        <item x="341"/>
        <item x="387"/>
        <item x="126"/>
        <item x="124"/>
        <item x="359"/>
        <item x="417"/>
        <item x="344"/>
        <item x="590"/>
        <item x="599"/>
        <item x="724"/>
        <item x="780"/>
        <item x="306"/>
        <item x="88"/>
        <item x="74"/>
        <item x="769"/>
        <item x="495"/>
        <item x="486"/>
        <item x="562"/>
        <item x="217"/>
        <item x="723"/>
        <item x="524"/>
        <item x="735"/>
        <item x="489"/>
        <item x="302"/>
        <item x="210"/>
        <item x="100"/>
        <item x="407"/>
        <item x="661"/>
        <item x="372"/>
        <item x="130"/>
        <item x="692"/>
        <item x="238"/>
        <item x="778"/>
        <item x="338"/>
        <item x="703"/>
        <item x="228"/>
        <item x="497"/>
        <item x="179"/>
        <item x="254"/>
        <item x="490"/>
        <item x="471"/>
        <item x="368"/>
        <item x="296"/>
        <item x="653"/>
        <item x="435"/>
        <item x="531"/>
        <item x="192"/>
        <item x="281"/>
        <item x="364"/>
        <item x="174"/>
        <item x="551"/>
        <item x="315"/>
        <item x="701"/>
        <item x="496"/>
        <item x="672"/>
        <item x="205"/>
        <item x="61"/>
        <item x="49"/>
        <item x="734"/>
        <item x="361"/>
        <item x="477"/>
        <item x="518"/>
        <item x="173"/>
        <item x="419"/>
        <item x="101"/>
        <item x="500"/>
        <item x="762"/>
        <item x="457"/>
        <item x="251"/>
        <item x="112"/>
        <item x="291"/>
        <item x="502"/>
        <item x="520"/>
        <item x="513"/>
        <item x="272"/>
        <item x="232"/>
        <item x="617"/>
        <item x="548"/>
        <item x="27"/>
        <item x="746"/>
        <item x="585"/>
        <item x="449"/>
        <item x="289"/>
        <item x="3"/>
        <item x="129"/>
        <item x="721"/>
        <item x="202"/>
        <item x="99"/>
        <item x="503"/>
        <item x="141"/>
        <item x="196"/>
        <item x="356"/>
        <item x="673"/>
        <item x="244"/>
        <item x="712"/>
        <item x="5"/>
        <item x="297"/>
        <item x="265"/>
        <item x="656"/>
        <item x="680"/>
        <item x="633"/>
        <item x="474"/>
        <item x="797"/>
        <item x="185"/>
        <item x="67"/>
        <item x="142"/>
        <item x="627"/>
        <item x="299"/>
        <item x="331"/>
        <item x="56"/>
        <item x="305"/>
        <item x="399"/>
        <item x="729"/>
        <item x="72"/>
        <item x="499"/>
        <item x="441"/>
        <item x="788"/>
        <item x="276"/>
        <item x="511"/>
        <item x="94"/>
        <item x="541"/>
        <item x="700"/>
        <item x="259"/>
        <item x="319"/>
        <item x="412"/>
        <item x="216"/>
        <item x="793"/>
        <item x="578"/>
        <item x="644"/>
        <item x="739"/>
        <item x="332"/>
        <item x="659"/>
        <item x="596"/>
        <item x="300"/>
        <item x="409"/>
        <item x="118"/>
        <item x="582"/>
        <item x="258"/>
        <item x="574"/>
        <item x="82"/>
        <item x="595"/>
        <item x="42"/>
        <item x="427"/>
        <item x="481"/>
        <item x="586"/>
        <item x="402"/>
        <item x="333"/>
        <item x="89"/>
        <item x="64"/>
        <item x="131"/>
        <item x="295"/>
        <item x="145"/>
        <item x="504"/>
        <item x="576"/>
        <item x="176"/>
        <item x="169"/>
        <item x="745"/>
        <item x="9"/>
        <item x="156"/>
        <item x="565"/>
        <item x="91"/>
        <item x="693"/>
        <item x="86"/>
        <item x="686"/>
        <item x="151"/>
        <item x="263"/>
        <item x="206"/>
        <item x="160"/>
        <item x="39"/>
        <item x="781"/>
        <item x="420"/>
        <item x="642"/>
        <item x="32"/>
        <item x="63"/>
        <item x="378"/>
        <item x="18"/>
        <item x="113"/>
        <item x="115"/>
        <item x="699"/>
        <item x="774"/>
        <item x="652"/>
        <item x="374"/>
        <item x="394"/>
        <item x="292"/>
        <item x="588"/>
        <item x="452"/>
        <item x="38"/>
        <item x="275"/>
        <item x="536"/>
        <item x="604"/>
        <item x="177"/>
        <item x="631"/>
        <item x="215"/>
        <item x="337"/>
        <item x="22"/>
        <item x="161"/>
        <item x="34"/>
        <item x="615"/>
        <item x="267"/>
        <item x="6"/>
        <item x="222"/>
        <item x="715"/>
        <item x="313"/>
        <item x="491"/>
        <item x="432"/>
        <item x="473"/>
        <item x="241"/>
        <item x="102"/>
        <item x="87"/>
        <item x="456"/>
        <item x="48"/>
        <item x="725"/>
        <item x="747"/>
        <item x="494"/>
        <item x="575"/>
        <item x="563"/>
        <item x="783"/>
        <item x="71"/>
        <item x="619"/>
        <item x="528"/>
        <item x="773"/>
        <item x="85"/>
        <item x="257"/>
        <item x="519"/>
        <item x="13"/>
        <item x="103"/>
        <item x="637"/>
        <item x="367"/>
        <item x="454"/>
        <item x="591"/>
        <item x="455"/>
        <item x="434"/>
        <item x="629"/>
        <item x="505"/>
        <item x="41"/>
        <item x="630"/>
        <item x="277"/>
        <item x="679"/>
        <item x="247"/>
        <item x="194"/>
        <item x="461"/>
        <item x="550"/>
        <item x="389"/>
        <item x="252"/>
        <item x="681"/>
        <item x="613"/>
        <item x="674"/>
        <item x="377"/>
        <item x="12"/>
        <item x="165"/>
        <item x="204"/>
        <item x="487"/>
        <item x="96"/>
        <item x="278"/>
        <item x="73"/>
        <item x="567"/>
        <item x="191"/>
        <item x="472"/>
        <item x="274"/>
        <item x="30"/>
        <item x="443"/>
        <item x="224"/>
        <item x="31"/>
        <item x="776"/>
        <item x="269"/>
        <item x="583"/>
        <item x="397"/>
        <item x="416"/>
        <item x="379"/>
        <item x="751"/>
        <item x="235"/>
        <item x="540"/>
        <item x="706"/>
        <item x="478"/>
        <item x="616"/>
        <item x="293"/>
        <item x="155"/>
        <item x="649"/>
        <item x="720"/>
        <item x="572"/>
        <item x="521"/>
        <item x="447"/>
        <item x="197"/>
        <item x="375"/>
        <item x="7"/>
        <item x="81"/>
        <item x="418"/>
        <item x="65"/>
        <item x="285"/>
        <item x="172"/>
        <item x="77"/>
        <item x="154"/>
        <item x="392"/>
        <item x="1"/>
        <item x="362"/>
        <item x="207"/>
        <item x="25"/>
        <item x="75"/>
        <item x="167"/>
        <item x="598"/>
        <item x="233"/>
        <item x="66"/>
        <item x="684"/>
        <item x="704"/>
        <item x="317"/>
        <item x="166"/>
        <item x="109"/>
        <item x="227"/>
        <item x="744"/>
        <item x="433"/>
        <item x="664"/>
        <item x="208"/>
        <item x="366"/>
        <item x="448"/>
        <item x="229"/>
        <item x="428"/>
        <item x="771"/>
        <item x="482"/>
        <item x="37"/>
        <item x="136"/>
        <item x="558"/>
        <item x="282"/>
        <item x="371"/>
        <item x="775"/>
        <item x="646"/>
        <item x="330"/>
        <item x="316"/>
        <item x="201"/>
        <item x="119"/>
        <item x="80"/>
        <item x="62"/>
        <item x="225"/>
        <item x="220"/>
        <item x="525"/>
        <item x="380"/>
        <item x="200"/>
        <item x="314"/>
        <item x="150"/>
        <item x="508"/>
        <item x="552"/>
        <item x="625"/>
        <item x="0"/>
        <item x="137"/>
        <item x="632"/>
        <item x="44"/>
        <item x="164"/>
        <item x="383"/>
        <item x="246"/>
        <item x="666"/>
        <item x="697"/>
        <item x="97"/>
        <item x="159"/>
        <item x="665"/>
        <item x="352"/>
        <item x="440"/>
        <item x="687"/>
        <item x="517"/>
        <item x="93"/>
        <item x="645"/>
        <item x="187"/>
        <item x="183"/>
        <item x="606"/>
        <item x="186"/>
        <item x="641"/>
        <item x="11"/>
        <item x="43"/>
        <item x="33"/>
        <item x="431"/>
        <item x="240"/>
        <item x="128"/>
        <item x="510"/>
        <item x="569"/>
        <item x="651"/>
        <item x="766"/>
        <item x="127"/>
        <item x="515"/>
        <item x="184"/>
        <item x="327"/>
        <item x="270"/>
        <item x="749"/>
        <item x="690"/>
        <item x="423"/>
        <item x="789"/>
        <item x="727"/>
        <item x="414"/>
        <item x="214"/>
        <item x="425"/>
        <item x="424"/>
        <item x="768"/>
        <item x="84"/>
        <item x="430"/>
        <item x="534"/>
        <item x="355"/>
        <item x="676"/>
        <item x="262"/>
        <item x="594"/>
        <item x="363"/>
        <item x="584"/>
        <item x="175"/>
        <item x="107"/>
        <item x="365"/>
        <item x="498"/>
        <item x="406"/>
        <item x="4"/>
        <item x="350"/>
        <item x="794"/>
        <item x="122"/>
        <item x="462"/>
        <item x="10"/>
        <item x="239"/>
        <item x="242"/>
        <item x="691"/>
        <item x="597"/>
        <item x="527"/>
        <item x="532"/>
        <item x="354"/>
        <item x="731"/>
        <item x="614"/>
        <item x="76"/>
        <item x="787"/>
        <item x="170"/>
        <item x="248"/>
        <item x="549"/>
        <item x="564"/>
        <item x="139"/>
        <item x="658"/>
        <item x="382"/>
        <item x="29"/>
        <item x="577"/>
        <item x="134"/>
        <item x="59"/>
        <item x="446"/>
        <item x="117"/>
        <item x="537"/>
        <item x="570"/>
        <item x="45"/>
        <item x="535"/>
        <item x="620"/>
        <item x="393"/>
        <item x="675"/>
        <item x="603"/>
        <item x="738"/>
        <item x="628"/>
        <item x="250"/>
        <item x="26"/>
        <item x="795"/>
        <item x="189"/>
        <item x="429"/>
        <item x="334"/>
        <item x="253"/>
        <item x="589"/>
        <item x="650"/>
        <item x="475"/>
        <item x="163"/>
        <item x="162"/>
        <item x="438"/>
        <item x="47"/>
        <item x="566"/>
        <item x="710"/>
        <item x="15"/>
        <item x="20"/>
        <item x="468"/>
        <item x="782"/>
        <item x="153"/>
        <item x="786"/>
        <item x="698"/>
        <item x="772"/>
        <item x="492"/>
        <item x="70"/>
        <item x="512"/>
        <item x="57"/>
        <item x="308"/>
        <item x="158"/>
        <item x="759"/>
        <item x="353"/>
        <item x="410"/>
        <item x="733"/>
        <item x="722"/>
        <item x="469"/>
        <item x="459"/>
        <item x="579"/>
        <item x="484"/>
        <item x="386"/>
        <item x="626"/>
        <item x="138"/>
        <item x="218"/>
        <item x="181"/>
        <item x="730"/>
        <item x="485"/>
        <item x="413"/>
        <item x="108"/>
        <item x="655"/>
        <item x="648"/>
        <item x="767"/>
        <item x="110"/>
        <item x="125"/>
        <item x="479"/>
        <item x="349"/>
        <item x="546"/>
        <item x="287"/>
        <item x="307"/>
        <item x="573"/>
        <item x="146"/>
        <item x="561"/>
        <item x="69"/>
        <item x="260"/>
        <item x="647"/>
        <item x="544"/>
        <item x="753"/>
        <item x="195"/>
        <item x="360"/>
        <item x="178"/>
        <item x="718"/>
        <item x="667"/>
        <item x="707"/>
        <item x="388"/>
        <item x="571"/>
        <item x="279"/>
        <item x="157"/>
        <item x="411"/>
        <item x="370"/>
        <item x="398"/>
        <item x="466"/>
        <item x="764"/>
        <item x="284"/>
        <item x="343"/>
        <item x="476"/>
        <item x="580"/>
        <item x="507"/>
        <item x="542"/>
        <item x="514"/>
        <item x="601"/>
        <item x="8"/>
        <item x="264"/>
        <item x="421"/>
        <item x="728"/>
        <item x="193"/>
        <item x="68"/>
        <item x="638"/>
        <item x="657"/>
        <item x="133"/>
        <item x="280"/>
        <item x="268"/>
        <item x="237"/>
        <item x="732"/>
        <item x="662"/>
        <item x="677"/>
        <item x="311"/>
        <item x="763"/>
        <item x="120"/>
        <item x="516"/>
        <item x="743"/>
        <item x="460"/>
        <item x="60"/>
        <item x="23"/>
        <item x="415"/>
        <item x="634"/>
        <item x="639"/>
        <item x="529"/>
        <item x="395"/>
        <item x="301"/>
        <item x="209"/>
        <item x="342"/>
        <item x="450"/>
        <item x="400"/>
        <item x="104"/>
        <item x="696"/>
        <item x="310"/>
        <item x="221"/>
        <item x="168"/>
        <item x="669"/>
        <item x="702"/>
        <item x="171"/>
        <item x="396"/>
        <item x="152"/>
        <item x="694"/>
        <item x="726"/>
        <item x="547"/>
        <item x="16"/>
        <item x="442"/>
        <item x="683"/>
        <item x="568"/>
        <item x="249"/>
        <item x="347"/>
        <item x="369"/>
        <item x="622"/>
        <item x="245"/>
        <item x="705"/>
        <item x="92"/>
        <item x="320"/>
        <item x="357"/>
        <item x="509"/>
        <item x="40"/>
        <item x="451"/>
        <item x="523"/>
        <item x="236"/>
        <item x="621"/>
        <item x="144"/>
        <item x="777"/>
        <item x="95"/>
        <item x="403"/>
        <item x="318"/>
        <item x="556"/>
        <item x="557"/>
        <item x="736"/>
        <item x="78"/>
        <item x="21"/>
        <item x="752"/>
        <item x="148"/>
        <item x="111"/>
        <item x="271"/>
        <item x="695"/>
        <item x="58"/>
        <item x="182"/>
        <item x="105"/>
        <item x="324"/>
        <item x="643"/>
        <item x="408"/>
        <item x="288"/>
        <item x="52"/>
        <item x="219"/>
        <item x="401"/>
        <item x="256"/>
        <item x="199"/>
        <item x="346"/>
        <item x="322"/>
        <item x="453"/>
        <item x="553"/>
        <item x="114"/>
        <item x="147"/>
        <item x="754"/>
        <item x="670"/>
        <item x="123"/>
        <item x="444"/>
        <item x="203"/>
        <item x="298"/>
        <item x="608"/>
        <item x="543"/>
        <item x="533"/>
        <item x="711"/>
        <item x="708"/>
        <item x="51"/>
        <item x="345"/>
        <item x="671"/>
        <item x="493"/>
        <item x="445"/>
        <item x="24"/>
        <item x="488"/>
        <item x="391"/>
        <item x="554"/>
        <item x="678"/>
        <item x="35"/>
        <item x="640"/>
        <item x="323"/>
        <item x="90"/>
        <item x="618"/>
        <item x="587"/>
        <item x="340"/>
        <item x="714"/>
        <item x="501"/>
        <item x="741"/>
        <item x="605"/>
        <item x="106"/>
        <item x="405"/>
        <item x="17"/>
        <item x="522"/>
        <item x="14"/>
        <item x="709"/>
        <item x="756"/>
        <item x="348"/>
        <item x="116"/>
        <item x="742"/>
        <item x="266"/>
        <item x="439"/>
        <item x="255"/>
        <item x="737"/>
        <item x="555"/>
        <item x="339"/>
        <item x="376"/>
        <item x="607"/>
        <item x="757"/>
        <item x="290"/>
        <item x="46"/>
        <item x="785"/>
        <item x="211"/>
        <item x="132"/>
        <item x="798"/>
        <item x="213"/>
        <item x="358"/>
        <item x="688"/>
        <item x="600"/>
        <item x="668"/>
        <item x="663"/>
        <item x="53"/>
        <item x="760"/>
        <item x="624"/>
        <item x="198"/>
        <item x="636"/>
        <item x="351"/>
        <item x="190"/>
        <item x="385"/>
        <item x="149"/>
        <item x="28"/>
        <item x="36"/>
        <item x="559"/>
        <item x="437"/>
        <item x="223"/>
        <item x="2"/>
        <item x="716"/>
        <item x="765"/>
        <item x="121"/>
        <item x="761"/>
        <item x="404"/>
        <item x="286"/>
        <item x="212"/>
        <item x="321"/>
        <item x="682"/>
        <item x="143"/>
        <item x="261"/>
        <item x="526"/>
        <item x="436"/>
        <item x="384"/>
        <item x="303"/>
        <item x="54"/>
        <item x="790"/>
        <item x="470"/>
        <item x="325"/>
        <item x="593"/>
        <item x="467"/>
        <item x="792"/>
        <item x="623"/>
        <item x="796"/>
        <item x="463"/>
        <item x="180"/>
        <item x="611"/>
        <item x="329"/>
        <item x="188"/>
        <item x="758"/>
        <item x="309"/>
        <item x="50"/>
        <item x="506"/>
        <item x="654"/>
        <item x="660"/>
        <item x="530"/>
        <item x="748"/>
        <item x="336"/>
        <item t="default"/>
      </items>
    </pivotField>
  </pivotFields>
  <rowFields count="1">
    <field x="0"/>
  </rowFields>
  <rowItems count="798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>
      <x v="48"/>
    </i>
    <i>
      <x v="49"/>
    </i>
    <i>
      <x v="50"/>
    </i>
    <i>
      <x v="51"/>
    </i>
    <i>
      <x v="52"/>
    </i>
    <i>
      <x v="53"/>
    </i>
    <i>
      <x v="54"/>
    </i>
    <i>
      <x v="55"/>
    </i>
    <i>
      <x v="56"/>
    </i>
    <i>
      <x v="57"/>
    </i>
    <i>
      <x v="58"/>
    </i>
    <i>
      <x v="59"/>
    </i>
    <i>
      <x v="60"/>
    </i>
    <i>
      <x v="61"/>
    </i>
    <i>
      <x v="62"/>
    </i>
    <i>
      <x v="63"/>
    </i>
    <i>
      <x v="64"/>
    </i>
    <i>
      <x v="65"/>
    </i>
    <i>
      <x v="66"/>
    </i>
    <i>
      <x v="67"/>
    </i>
    <i>
      <x v="68"/>
    </i>
    <i>
      <x v="69"/>
    </i>
    <i>
      <x v="70"/>
    </i>
    <i>
      <x v="71"/>
    </i>
    <i>
      <x v="72"/>
    </i>
    <i>
      <x v="73"/>
    </i>
    <i>
      <x v="74"/>
    </i>
    <i>
      <x v="75"/>
    </i>
    <i>
      <x v="76"/>
    </i>
    <i>
      <x v="77"/>
    </i>
    <i>
      <x v="78"/>
    </i>
    <i>
      <x v="79"/>
    </i>
    <i>
      <x v="80"/>
    </i>
    <i>
      <x v="81"/>
    </i>
    <i>
      <x v="82"/>
    </i>
    <i>
      <x v="83"/>
    </i>
    <i>
      <x v="84"/>
    </i>
    <i>
      <x v="85"/>
    </i>
    <i>
      <x v="86"/>
    </i>
    <i>
      <x v="87"/>
    </i>
    <i>
      <x v="88"/>
    </i>
    <i>
      <x v="89"/>
    </i>
    <i>
      <x v="90"/>
    </i>
    <i>
      <x v="91"/>
    </i>
    <i>
      <x v="92"/>
    </i>
    <i>
      <x v="93"/>
    </i>
    <i>
      <x v="94"/>
    </i>
    <i>
      <x v="95"/>
    </i>
    <i>
      <x v="96"/>
    </i>
    <i>
      <x v="97"/>
    </i>
    <i>
      <x v="98"/>
    </i>
    <i>
      <x v="99"/>
    </i>
    <i>
      <x v="100"/>
    </i>
    <i>
      <x v="101"/>
    </i>
    <i>
      <x v="102"/>
    </i>
    <i>
      <x v="103"/>
    </i>
    <i>
      <x v="104"/>
    </i>
    <i>
      <x v="105"/>
    </i>
    <i>
      <x v="106"/>
    </i>
    <i>
      <x v="107"/>
    </i>
    <i>
      <x v="108"/>
    </i>
    <i>
      <x v="109"/>
    </i>
    <i>
      <x v="110"/>
    </i>
    <i>
      <x v="111"/>
    </i>
    <i>
      <x v="112"/>
    </i>
    <i>
      <x v="113"/>
    </i>
    <i>
      <x v="114"/>
    </i>
    <i>
      <x v="115"/>
    </i>
    <i>
      <x v="116"/>
    </i>
    <i>
      <x v="117"/>
    </i>
    <i>
      <x v="118"/>
    </i>
    <i>
      <x v="119"/>
    </i>
    <i>
      <x v="120"/>
    </i>
    <i>
      <x v="121"/>
    </i>
    <i>
      <x v="122"/>
    </i>
    <i>
      <x v="123"/>
    </i>
    <i>
      <x v="124"/>
    </i>
    <i>
      <x v="125"/>
    </i>
    <i>
      <x v="126"/>
    </i>
    <i>
      <x v="127"/>
    </i>
    <i>
      <x v="128"/>
    </i>
    <i>
      <x v="129"/>
    </i>
    <i>
      <x v="130"/>
    </i>
    <i>
      <x v="131"/>
    </i>
    <i>
      <x v="132"/>
    </i>
    <i>
      <x v="133"/>
    </i>
    <i>
      <x v="134"/>
    </i>
    <i>
      <x v="135"/>
    </i>
    <i>
      <x v="136"/>
    </i>
    <i>
      <x v="137"/>
    </i>
    <i>
      <x v="138"/>
    </i>
    <i>
      <x v="139"/>
    </i>
    <i>
      <x v="140"/>
    </i>
    <i>
      <x v="141"/>
    </i>
    <i>
      <x v="142"/>
    </i>
    <i>
      <x v="143"/>
    </i>
    <i>
      <x v="144"/>
    </i>
    <i>
      <x v="145"/>
    </i>
    <i>
      <x v="146"/>
    </i>
    <i>
      <x v="147"/>
    </i>
    <i>
      <x v="148"/>
    </i>
    <i>
      <x v="149"/>
    </i>
    <i>
      <x v="150"/>
    </i>
    <i>
      <x v="151"/>
    </i>
    <i>
      <x v="152"/>
    </i>
    <i>
      <x v="153"/>
    </i>
    <i>
      <x v="154"/>
    </i>
    <i>
      <x v="155"/>
    </i>
    <i>
      <x v="156"/>
    </i>
    <i>
      <x v="157"/>
    </i>
    <i>
      <x v="158"/>
    </i>
    <i>
      <x v="159"/>
    </i>
    <i>
      <x v="160"/>
    </i>
    <i>
      <x v="161"/>
    </i>
    <i>
      <x v="162"/>
    </i>
    <i>
      <x v="163"/>
    </i>
    <i>
      <x v="164"/>
    </i>
    <i>
      <x v="165"/>
    </i>
    <i>
      <x v="166"/>
    </i>
    <i>
      <x v="167"/>
    </i>
    <i>
      <x v="168"/>
    </i>
    <i>
      <x v="169"/>
    </i>
    <i>
      <x v="170"/>
    </i>
    <i>
      <x v="171"/>
    </i>
    <i>
      <x v="172"/>
    </i>
    <i>
      <x v="173"/>
    </i>
    <i>
      <x v="174"/>
    </i>
    <i>
      <x v="175"/>
    </i>
    <i>
      <x v="176"/>
    </i>
    <i>
      <x v="177"/>
    </i>
    <i>
      <x v="178"/>
    </i>
    <i>
      <x v="179"/>
    </i>
    <i>
      <x v="180"/>
    </i>
    <i>
      <x v="181"/>
    </i>
    <i>
      <x v="182"/>
    </i>
    <i>
      <x v="183"/>
    </i>
    <i>
      <x v="184"/>
    </i>
    <i>
      <x v="185"/>
    </i>
    <i>
      <x v="186"/>
    </i>
    <i>
      <x v="187"/>
    </i>
    <i>
      <x v="188"/>
    </i>
    <i>
      <x v="189"/>
    </i>
    <i>
      <x v="190"/>
    </i>
    <i>
      <x v="191"/>
    </i>
    <i>
      <x v="192"/>
    </i>
    <i>
      <x v="193"/>
    </i>
    <i>
      <x v="194"/>
    </i>
    <i>
      <x v="195"/>
    </i>
    <i>
      <x v="196"/>
    </i>
    <i>
      <x v="197"/>
    </i>
    <i>
      <x v="198"/>
    </i>
    <i>
      <x v="199"/>
    </i>
    <i>
      <x v="200"/>
    </i>
    <i>
      <x v="201"/>
    </i>
    <i>
      <x v="202"/>
    </i>
    <i>
      <x v="203"/>
    </i>
    <i>
      <x v="204"/>
    </i>
    <i>
      <x v="205"/>
    </i>
    <i>
      <x v="206"/>
    </i>
    <i>
      <x v="207"/>
    </i>
    <i>
      <x v="208"/>
    </i>
    <i>
      <x v="209"/>
    </i>
    <i>
      <x v="210"/>
    </i>
    <i>
      <x v="211"/>
    </i>
    <i>
      <x v="212"/>
    </i>
    <i>
      <x v="213"/>
    </i>
    <i>
      <x v="214"/>
    </i>
    <i>
      <x v="215"/>
    </i>
    <i>
      <x v="216"/>
    </i>
    <i>
      <x v="217"/>
    </i>
    <i>
      <x v="218"/>
    </i>
    <i>
      <x v="219"/>
    </i>
    <i>
      <x v="220"/>
    </i>
    <i>
      <x v="221"/>
    </i>
    <i>
      <x v="222"/>
    </i>
    <i>
      <x v="223"/>
    </i>
    <i>
      <x v="224"/>
    </i>
    <i>
      <x v="225"/>
    </i>
    <i>
      <x v="226"/>
    </i>
    <i>
      <x v="227"/>
    </i>
    <i>
      <x v="228"/>
    </i>
    <i>
      <x v="229"/>
    </i>
    <i>
      <x v="230"/>
    </i>
    <i>
      <x v="231"/>
    </i>
    <i>
      <x v="232"/>
    </i>
    <i>
      <x v="233"/>
    </i>
    <i>
      <x v="234"/>
    </i>
    <i>
      <x v="235"/>
    </i>
    <i>
      <x v="236"/>
    </i>
    <i>
      <x v="237"/>
    </i>
    <i>
      <x v="238"/>
    </i>
    <i>
      <x v="239"/>
    </i>
    <i>
      <x v="240"/>
    </i>
    <i>
      <x v="241"/>
    </i>
    <i>
      <x v="242"/>
    </i>
    <i>
      <x v="243"/>
    </i>
    <i>
      <x v="244"/>
    </i>
    <i>
      <x v="245"/>
    </i>
    <i>
      <x v="246"/>
    </i>
    <i>
      <x v="247"/>
    </i>
    <i>
      <x v="248"/>
    </i>
    <i>
      <x v="249"/>
    </i>
    <i>
      <x v="250"/>
    </i>
    <i>
      <x v="251"/>
    </i>
    <i>
      <x v="252"/>
    </i>
    <i>
      <x v="253"/>
    </i>
    <i>
      <x v="254"/>
    </i>
    <i>
      <x v="255"/>
    </i>
    <i>
      <x v="256"/>
    </i>
    <i>
      <x v="257"/>
    </i>
    <i>
      <x v="258"/>
    </i>
    <i>
      <x v="259"/>
    </i>
    <i>
      <x v="260"/>
    </i>
    <i>
      <x v="261"/>
    </i>
    <i>
      <x v="262"/>
    </i>
    <i>
      <x v="263"/>
    </i>
    <i>
      <x v="264"/>
    </i>
    <i>
      <x v="265"/>
    </i>
    <i>
      <x v="266"/>
    </i>
    <i>
      <x v="267"/>
    </i>
    <i>
      <x v="268"/>
    </i>
    <i>
      <x v="269"/>
    </i>
    <i>
      <x v="270"/>
    </i>
    <i>
      <x v="271"/>
    </i>
    <i>
      <x v="272"/>
    </i>
    <i>
      <x v="273"/>
    </i>
    <i>
      <x v="274"/>
    </i>
    <i>
      <x v="275"/>
    </i>
    <i>
      <x v="276"/>
    </i>
    <i>
      <x v="277"/>
    </i>
    <i>
      <x v="278"/>
    </i>
    <i>
      <x v="279"/>
    </i>
    <i>
      <x v="280"/>
    </i>
    <i>
      <x v="281"/>
    </i>
    <i>
      <x v="282"/>
    </i>
    <i>
      <x v="283"/>
    </i>
    <i>
      <x v="284"/>
    </i>
    <i>
      <x v="285"/>
    </i>
    <i>
      <x v="286"/>
    </i>
    <i>
      <x v="287"/>
    </i>
    <i>
      <x v="288"/>
    </i>
    <i>
      <x v="289"/>
    </i>
    <i>
      <x v="290"/>
    </i>
    <i>
      <x v="291"/>
    </i>
    <i>
      <x v="292"/>
    </i>
    <i>
      <x v="293"/>
    </i>
    <i>
      <x v="294"/>
    </i>
    <i>
      <x v="295"/>
    </i>
    <i>
      <x v="296"/>
    </i>
    <i>
      <x v="297"/>
    </i>
    <i>
      <x v="298"/>
    </i>
    <i>
      <x v="299"/>
    </i>
    <i>
      <x v="300"/>
    </i>
    <i>
      <x v="301"/>
    </i>
    <i>
      <x v="302"/>
    </i>
    <i>
      <x v="303"/>
    </i>
    <i>
      <x v="304"/>
    </i>
    <i>
      <x v="305"/>
    </i>
    <i>
      <x v="306"/>
    </i>
    <i>
      <x v="307"/>
    </i>
    <i>
      <x v="308"/>
    </i>
    <i>
      <x v="309"/>
    </i>
    <i>
      <x v="310"/>
    </i>
    <i>
      <x v="311"/>
    </i>
    <i>
      <x v="312"/>
    </i>
    <i>
      <x v="313"/>
    </i>
    <i>
      <x v="314"/>
    </i>
    <i>
      <x v="315"/>
    </i>
    <i>
      <x v="316"/>
    </i>
    <i>
      <x v="317"/>
    </i>
    <i>
      <x v="318"/>
    </i>
    <i>
      <x v="319"/>
    </i>
    <i>
      <x v="320"/>
    </i>
    <i>
      <x v="321"/>
    </i>
    <i>
      <x v="322"/>
    </i>
    <i>
      <x v="323"/>
    </i>
    <i>
      <x v="324"/>
    </i>
    <i>
      <x v="325"/>
    </i>
    <i>
      <x v="326"/>
    </i>
    <i>
      <x v="327"/>
    </i>
    <i>
      <x v="328"/>
    </i>
    <i>
      <x v="329"/>
    </i>
    <i>
      <x v="330"/>
    </i>
    <i>
      <x v="331"/>
    </i>
    <i>
      <x v="332"/>
    </i>
    <i>
      <x v="333"/>
    </i>
    <i>
      <x v="334"/>
    </i>
    <i>
      <x v="335"/>
    </i>
    <i>
      <x v="336"/>
    </i>
    <i>
      <x v="337"/>
    </i>
    <i>
      <x v="338"/>
    </i>
    <i>
      <x v="339"/>
    </i>
    <i>
      <x v="340"/>
    </i>
    <i>
      <x v="341"/>
    </i>
    <i>
      <x v="342"/>
    </i>
    <i>
      <x v="343"/>
    </i>
    <i>
      <x v="344"/>
    </i>
    <i>
      <x v="345"/>
    </i>
    <i>
      <x v="346"/>
    </i>
    <i>
      <x v="347"/>
    </i>
    <i>
      <x v="348"/>
    </i>
    <i>
      <x v="349"/>
    </i>
    <i>
      <x v="350"/>
    </i>
    <i>
      <x v="351"/>
    </i>
    <i>
      <x v="352"/>
    </i>
    <i>
      <x v="353"/>
    </i>
    <i>
      <x v="354"/>
    </i>
    <i>
      <x v="355"/>
    </i>
    <i>
      <x v="356"/>
    </i>
    <i>
      <x v="357"/>
    </i>
    <i>
      <x v="358"/>
    </i>
    <i>
      <x v="359"/>
    </i>
    <i>
      <x v="360"/>
    </i>
    <i>
      <x v="361"/>
    </i>
    <i>
      <x v="362"/>
    </i>
    <i>
      <x v="363"/>
    </i>
    <i>
      <x v="364"/>
    </i>
    <i>
      <x v="365"/>
    </i>
    <i>
      <x v="366"/>
    </i>
    <i>
      <x v="367"/>
    </i>
    <i>
      <x v="368"/>
    </i>
    <i>
      <x v="369"/>
    </i>
    <i>
      <x v="370"/>
    </i>
    <i>
      <x v="371"/>
    </i>
    <i>
      <x v="372"/>
    </i>
    <i>
      <x v="373"/>
    </i>
    <i>
      <x v="374"/>
    </i>
    <i>
      <x v="375"/>
    </i>
    <i>
      <x v="376"/>
    </i>
    <i>
      <x v="377"/>
    </i>
    <i>
      <x v="378"/>
    </i>
    <i>
      <x v="379"/>
    </i>
    <i>
      <x v="380"/>
    </i>
    <i>
      <x v="381"/>
    </i>
    <i>
      <x v="382"/>
    </i>
    <i>
      <x v="383"/>
    </i>
    <i>
      <x v="384"/>
    </i>
    <i>
      <x v="385"/>
    </i>
    <i>
      <x v="386"/>
    </i>
    <i>
      <x v="387"/>
    </i>
    <i>
      <x v="388"/>
    </i>
    <i>
      <x v="389"/>
    </i>
    <i>
      <x v="390"/>
    </i>
    <i>
      <x v="391"/>
    </i>
    <i>
      <x v="392"/>
    </i>
    <i>
      <x v="393"/>
    </i>
    <i>
      <x v="394"/>
    </i>
    <i>
      <x v="395"/>
    </i>
    <i>
      <x v="396"/>
    </i>
    <i>
      <x v="397"/>
    </i>
    <i>
      <x v="398"/>
    </i>
    <i>
      <x v="399"/>
    </i>
    <i>
      <x v="400"/>
    </i>
    <i>
      <x v="401"/>
    </i>
    <i>
      <x v="402"/>
    </i>
    <i>
      <x v="403"/>
    </i>
    <i>
      <x v="404"/>
    </i>
    <i>
      <x v="405"/>
    </i>
    <i>
      <x v="406"/>
    </i>
    <i>
      <x v="407"/>
    </i>
    <i>
      <x v="408"/>
    </i>
    <i>
      <x v="409"/>
    </i>
    <i>
      <x v="410"/>
    </i>
    <i>
      <x v="411"/>
    </i>
    <i>
      <x v="412"/>
    </i>
    <i>
      <x v="413"/>
    </i>
    <i>
      <x v="414"/>
    </i>
    <i>
      <x v="415"/>
    </i>
    <i>
      <x v="416"/>
    </i>
    <i>
      <x v="417"/>
    </i>
    <i>
      <x v="418"/>
    </i>
    <i>
      <x v="419"/>
    </i>
    <i>
      <x v="420"/>
    </i>
    <i>
      <x v="421"/>
    </i>
    <i>
      <x v="422"/>
    </i>
    <i>
      <x v="423"/>
    </i>
    <i>
      <x v="424"/>
    </i>
    <i>
      <x v="425"/>
    </i>
    <i>
      <x v="426"/>
    </i>
    <i>
      <x v="427"/>
    </i>
    <i>
      <x v="428"/>
    </i>
    <i>
      <x v="429"/>
    </i>
    <i>
      <x v="430"/>
    </i>
    <i>
      <x v="431"/>
    </i>
    <i>
      <x v="432"/>
    </i>
    <i>
      <x v="433"/>
    </i>
    <i>
      <x v="434"/>
    </i>
    <i>
      <x v="435"/>
    </i>
    <i>
      <x v="436"/>
    </i>
    <i>
      <x v="437"/>
    </i>
    <i>
      <x v="438"/>
    </i>
    <i>
      <x v="439"/>
    </i>
    <i>
      <x v="440"/>
    </i>
    <i>
      <x v="441"/>
    </i>
    <i>
      <x v="442"/>
    </i>
    <i>
      <x v="443"/>
    </i>
    <i>
      <x v="444"/>
    </i>
    <i>
      <x v="445"/>
    </i>
    <i>
      <x v="446"/>
    </i>
    <i>
      <x v="447"/>
    </i>
    <i>
      <x v="448"/>
    </i>
    <i>
      <x v="449"/>
    </i>
    <i>
      <x v="450"/>
    </i>
    <i>
      <x v="451"/>
    </i>
    <i>
      <x v="452"/>
    </i>
    <i>
      <x v="453"/>
    </i>
    <i>
      <x v="454"/>
    </i>
    <i>
      <x v="455"/>
    </i>
    <i>
      <x v="456"/>
    </i>
    <i>
      <x v="457"/>
    </i>
    <i>
      <x v="458"/>
    </i>
    <i>
      <x v="459"/>
    </i>
    <i>
      <x v="460"/>
    </i>
    <i>
      <x v="461"/>
    </i>
    <i>
      <x v="462"/>
    </i>
    <i>
      <x v="463"/>
    </i>
    <i>
      <x v="464"/>
    </i>
    <i>
      <x v="465"/>
    </i>
    <i>
      <x v="466"/>
    </i>
    <i>
      <x v="467"/>
    </i>
    <i>
      <x v="468"/>
    </i>
    <i>
      <x v="469"/>
    </i>
    <i>
      <x v="470"/>
    </i>
    <i>
      <x v="471"/>
    </i>
    <i>
      <x v="472"/>
    </i>
    <i>
      <x v="473"/>
    </i>
    <i>
      <x v="474"/>
    </i>
    <i>
      <x v="475"/>
    </i>
    <i>
      <x v="476"/>
    </i>
    <i>
      <x v="477"/>
    </i>
    <i>
      <x v="478"/>
    </i>
    <i>
      <x v="479"/>
    </i>
    <i>
      <x v="480"/>
    </i>
    <i>
      <x v="481"/>
    </i>
    <i>
      <x v="482"/>
    </i>
    <i>
      <x v="483"/>
    </i>
    <i>
      <x v="484"/>
    </i>
    <i>
      <x v="485"/>
    </i>
    <i>
      <x v="486"/>
    </i>
    <i>
      <x v="487"/>
    </i>
    <i>
      <x v="488"/>
    </i>
    <i>
      <x v="489"/>
    </i>
    <i>
      <x v="490"/>
    </i>
    <i>
      <x v="491"/>
    </i>
    <i>
      <x v="492"/>
    </i>
    <i>
      <x v="493"/>
    </i>
    <i>
      <x v="494"/>
    </i>
    <i>
      <x v="495"/>
    </i>
    <i>
      <x v="496"/>
    </i>
    <i>
      <x v="497"/>
    </i>
    <i>
      <x v="498"/>
    </i>
    <i>
      <x v="499"/>
    </i>
    <i>
      <x v="500"/>
    </i>
    <i>
      <x v="501"/>
    </i>
    <i>
      <x v="502"/>
    </i>
    <i>
      <x v="503"/>
    </i>
    <i>
      <x v="504"/>
    </i>
    <i>
      <x v="505"/>
    </i>
    <i>
      <x v="506"/>
    </i>
    <i>
      <x v="507"/>
    </i>
    <i>
      <x v="508"/>
    </i>
    <i>
      <x v="509"/>
    </i>
    <i>
      <x v="510"/>
    </i>
    <i>
      <x v="511"/>
    </i>
    <i>
      <x v="512"/>
    </i>
    <i>
      <x v="513"/>
    </i>
    <i>
      <x v="514"/>
    </i>
    <i>
      <x v="515"/>
    </i>
    <i>
      <x v="516"/>
    </i>
    <i>
      <x v="517"/>
    </i>
    <i>
      <x v="518"/>
    </i>
    <i>
      <x v="519"/>
    </i>
    <i>
      <x v="520"/>
    </i>
    <i>
      <x v="521"/>
    </i>
    <i>
      <x v="522"/>
    </i>
    <i>
      <x v="523"/>
    </i>
    <i>
      <x v="524"/>
    </i>
    <i>
      <x v="525"/>
    </i>
    <i>
      <x v="526"/>
    </i>
    <i>
      <x v="527"/>
    </i>
    <i>
      <x v="528"/>
    </i>
    <i>
      <x v="529"/>
    </i>
    <i>
      <x v="530"/>
    </i>
    <i>
      <x v="531"/>
    </i>
    <i>
      <x v="532"/>
    </i>
    <i>
      <x v="533"/>
    </i>
    <i>
      <x v="534"/>
    </i>
    <i>
      <x v="535"/>
    </i>
    <i>
      <x v="536"/>
    </i>
    <i>
      <x v="537"/>
    </i>
    <i>
      <x v="538"/>
    </i>
    <i>
      <x v="539"/>
    </i>
    <i>
      <x v="540"/>
    </i>
    <i>
      <x v="541"/>
    </i>
    <i>
      <x v="542"/>
    </i>
    <i>
      <x v="543"/>
    </i>
    <i>
      <x v="544"/>
    </i>
    <i>
      <x v="545"/>
    </i>
    <i>
      <x v="546"/>
    </i>
    <i>
      <x v="547"/>
    </i>
    <i>
      <x v="548"/>
    </i>
    <i>
      <x v="549"/>
    </i>
    <i>
      <x v="550"/>
    </i>
    <i>
      <x v="551"/>
    </i>
    <i>
      <x v="552"/>
    </i>
    <i>
      <x v="553"/>
    </i>
    <i>
      <x v="554"/>
    </i>
    <i>
      <x v="555"/>
    </i>
    <i>
      <x v="556"/>
    </i>
    <i>
      <x v="557"/>
    </i>
    <i>
      <x v="558"/>
    </i>
    <i>
      <x v="559"/>
    </i>
    <i>
      <x v="560"/>
    </i>
    <i>
      <x v="561"/>
    </i>
    <i>
      <x v="562"/>
    </i>
    <i>
      <x v="563"/>
    </i>
    <i>
      <x v="564"/>
    </i>
    <i>
      <x v="565"/>
    </i>
    <i>
      <x v="566"/>
    </i>
    <i>
      <x v="567"/>
    </i>
    <i>
      <x v="568"/>
    </i>
    <i>
      <x v="569"/>
    </i>
    <i>
      <x v="570"/>
    </i>
    <i>
      <x v="571"/>
    </i>
    <i>
      <x v="572"/>
    </i>
    <i>
      <x v="573"/>
    </i>
    <i>
      <x v="574"/>
    </i>
    <i>
      <x v="575"/>
    </i>
    <i>
      <x v="576"/>
    </i>
    <i>
      <x v="577"/>
    </i>
    <i>
      <x v="578"/>
    </i>
    <i>
      <x v="579"/>
    </i>
    <i>
      <x v="580"/>
    </i>
    <i>
      <x v="581"/>
    </i>
    <i>
      <x v="582"/>
    </i>
    <i>
      <x v="583"/>
    </i>
    <i>
      <x v="584"/>
    </i>
    <i>
      <x v="585"/>
    </i>
    <i>
      <x v="586"/>
    </i>
    <i>
      <x v="587"/>
    </i>
    <i>
      <x v="588"/>
    </i>
    <i>
      <x v="589"/>
    </i>
    <i>
      <x v="590"/>
    </i>
    <i>
      <x v="591"/>
    </i>
    <i>
      <x v="592"/>
    </i>
    <i>
      <x v="593"/>
    </i>
    <i>
      <x v="594"/>
    </i>
    <i>
      <x v="595"/>
    </i>
    <i>
      <x v="596"/>
    </i>
    <i>
      <x v="597"/>
    </i>
    <i>
      <x v="598"/>
    </i>
    <i>
      <x v="599"/>
    </i>
    <i>
      <x v="600"/>
    </i>
    <i>
      <x v="601"/>
    </i>
    <i>
      <x v="602"/>
    </i>
    <i>
      <x v="603"/>
    </i>
    <i>
      <x v="604"/>
    </i>
    <i>
      <x v="605"/>
    </i>
    <i>
      <x v="606"/>
    </i>
    <i>
      <x v="607"/>
    </i>
    <i>
      <x v="608"/>
    </i>
    <i>
      <x v="609"/>
    </i>
    <i>
      <x v="610"/>
    </i>
    <i>
      <x v="611"/>
    </i>
    <i>
      <x v="612"/>
    </i>
    <i>
      <x v="613"/>
    </i>
    <i>
      <x v="614"/>
    </i>
    <i>
      <x v="615"/>
    </i>
    <i>
      <x v="616"/>
    </i>
    <i>
      <x v="617"/>
    </i>
    <i>
      <x v="618"/>
    </i>
    <i>
      <x v="619"/>
    </i>
    <i>
      <x v="620"/>
    </i>
    <i>
      <x v="621"/>
    </i>
    <i>
      <x v="622"/>
    </i>
    <i>
      <x v="623"/>
    </i>
    <i>
      <x v="624"/>
    </i>
    <i>
      <x v="625"/>
    </i>
    <i>
      <x v="626"/>
    </i>
    <i>
      <x v="627"/>
    </i>
    <i>
      <x v="628"/>
    </i>
    <i>
      <x v="629"/>
    </i>
    <i>
      <x v="630"/>
    </i>
    <i>
      <x v="631"/>
    </i>
    <i>
      <x v="632"/>
    </i>
    <i>
      <x v="633"/>
    </i>
    <i>
      <x v="634"/>
    </i>
    <i>
      <x v="635"/>
    </i>
    <i>
      <x v="636"/>
    </i>
    <i>
      <x v="637"/>
    </i>
    <i>
      <x v="638"/>
    </i>
    <i>
      <x v="639"/>
    </i>
    <i>
      <x v="640"/>
    </i>
    <i>
      <x v="641"/>
    </i>
    <i>
      <x v="642"/>
    </i>
    <i>
      <x v="643"/>
    </i>
    <i>
      <x v="644"/>
    </i>
    <i>
      <x v="645"/>
    </i>
    <i>
      <x v="646"/>
    </i>
    <i>
      <x v="647"/>
    </i>
    <i>
      <x v="648"/>
    </i>
    <i>
      <x v="649"/>
    </i>
    <i>
      <x v="650"/>
    </i>
    <i>
      <x v="651"/>
    </i>
    <i>
      <x v="652"/>
    </i>
    <i>
      <x v="653"/>
    </i>
    <i>
      <x v="654"/>
    </i>
    <i>
      <x v="655"/>
    </i>
    <i>
      <x v="656"/>
    </i>
    <i>
      <x v="657"/>
    </i>
    <i>
      <x v="658"/>
    </i>
    <i>
      <x v="659"/>
    </i>
    <i>
      <x v="660"/>
    </i>
    <i>
      <x v="661"/>
    </i>
    <i>
      <x v="662"/>
    </i>
    <i>
      <x v="663"/>
    </i>
    <i>
      <x v="664"/>
    </i>
    <i>
      <x v="665"/>
    </i>
    <i>
      <x v="666"/>
    </i>
    <i>
      <x v="667"/>
    </i>
    <i>
      <x v="668"/>
    </i>
    <i>
      <x v="669"/>
    </i>
    <i>
      <x v="670"/>
    </i>
    <i>
      <x v="671"/>
    </i>
    <i>
      <x v="672"/>
    </i>
    <i>
      <x v="673"/>
    </i>
    <i>
      <x v="674"/>
    </i>
    <i>
      <x v="675"/>
    </i>
    <i>
      <x v="676"/>
    </i>
    <i>
      <x v="677"/>
    </i>
    <i>
      <x v="678"/>
    </i>
    <i>
      <x v="679"/>
    </i>
    <i>
      <x v="680"/>
    </i>
    <i>
      <x v="681"/>
    </i>
    <i>
      <x v="682"/>
    </i>
    <i>
      <x v="683"/>
    </i>
    <i>
      <x v="684"/>
    </i>
    <i>
      <x v="685"/>
    </i>
    <i>
      <x v="686"/>
    </i>
    <i>
      <x v="687"/>
    </i>
    <i>
      <x v="688"/>
    </i>
    <i>
      <x v="689"/>
    </i>
    <i>
      <x v="690"/>
    </i>
    <i>
      <x v="691"/>
    </i>
    <i>
      <x v="692"/>
    </i>
    <i>
      <x v="693"/>
    </i>
    <i>
      <x v="694"/>
    </i>
    <i>
      <x v="695"/>
    </i>
    <i>
      <x v="696"/>
    </i>
    <i>
      <x v="697"/>
    </i>
    <i>
      <x v="698"/>
    </i>
    <i>
      <x v="699"/>
    </i>
    <i>
      <x v="700"/>
    </i>
    <i>
      <x v="701"/>
    </i>
    <i>
      <x v="702"/>
    </i>
    <i>
      <x v="703"/>
    </i>
    <i>
      <x v="704"/>
    </i>
    <i>
      <x v="705"/>
    </i>
    <i>
      <x v="706"/>
    </i>
    <i>
      <x v="707"/>
    </i>
    <i>
      <x v="708"/>
    </i>
    <i>
      <x v="709"/>
    </i>
    <i>
      <x v="710"/>
    </i>
    <i>
      <x v="711"/>
    </i>
    <i>
      <x v="712"/>
    </i>
    <i>
      <x v="713"/>
    </i>
    <i>
      <x v="714"/>
    </i>
    <i>
      <x v="715"/>
    </i>
    <i>
      <x v="716"/>
    </i>
    <i>
      <x v="717"/>
    </i>
    <i>
      <x v="718"/>
    </i>
    <i>
      <x v="719"/>
    </i>
    <i>
      <x v="720"/>
    </i>
    <i>
      <x v="721"/>
    </i>
    <i>
      <x v="722"/>
    </i>
    <i>
      <x v="723"/>
    </i>
    <i>
      <x v="724"/>
    </i>
    <i>
      <x v="725"/>
    </i>
    <i>
      <x v="726"/>
    </i>
    <i>
      <x v="727"/>
    </i>
    <i>
      <x v="728"/>
    </i>
    <i>
      <x v="729"/>
    </i>
    <i>
      <x v="730"/>
    </i>
    <i>
      <x v="731"/>
    </i>
    <i>
      <x v="732"/>
    </i>
    <i>
      <x v="733"/>
    </i>
    <i>
      <x v="734"/>
    </i>
    <i>
      <x v="735"/>
    </i>
    <i>
      <x v="736"/>
    </i>
    <i>
      <x v="737"/>
    </i>
    <i>
      <x v="738"/>
    </i>
    <i>
      <x v="739"/>
    </i>
    <i>
      <x v="740"/>
    </i>
    <i>
      <x v="741"/>
    </i>
    <i>
      <x v="742"/>
    </i>
    <i>
      <x v="743"/>
    </i>
    <i>
      <x v="744"/>
    </i>
    <i>
      <x v="745"/>
    </i>
    <i>
      <x v="746"/>
    </i>
    <i>
      <x v="747"/>
    </i>
    <i>
      <x v="748"/>
    </i>
    <i>
      <x v="749"/>
    </i>
    <i>
      <x v="750"/>
    </i>
    <i>
      <x v="751"/>
    </i>
    <i>
      <x v="752"/>
    </i>
    <i>
      <x v="753"/>
    </i>
    <i>
      <x v="754"/>
    </i>
    <i>
      <x v="755"/>
    </i>
    <i>
      <x v="756"/>
    </i>
    <i>
      <x v="757"/>
    </i>
    <i>
      <x v="758"/>
    </i>
    <i>
      <x v="759"/>
    </i>
    <i>
      <x v="760"/>
    </i>
    <i>
      <x v="761"/>
    </i>
    <i>
      <x v="762"/>
    </i>
    <i>
      <x v="763"/>
    </i>
    <i>
      <x v="764"/>
    </i>
    <i>
      <x v="765"/>
    </i>
    <i>
      <x v="766"/>
    </i>
    <i>
      <x v="767"/>
    </i>
    <i>
      <x v="768"/>
    </i>
    <i>
      <x v="769"/>
    </i>
    <i>
      <x v="770"/>
    </i>
    <i>
      <x v="771"/>
    </i>
    <i>
      <x v="772"/>
    </i>
    <i>
      <x v="773"/>
    </i>
    <i>
      <x v="774"/>
    </i>
    <i>
      <x v="775"/>
    </i>
    <i>
      <x v="776"/>
    </i>
    <i>
      <x v="777"/>
    </i>
    <i>
      <x v="778"/>
    </i>
    <i>
      <x v="779"/>
    </i>
    <i>
      <x v="780"/>
    </i>
    <i>
      <x v="781"/>
    </i>
    <i>
      <x v="782"/>
    </i>
    <i>
      <x v="783"/>
    </i>
    <i>
      <x v="784"/>
    </i>
    <i>
      <x v="785"/>
    </i>
    <i>
      <x v="786"/>
    </i>
    <i>
      <x v="787"/>
    </i>
    <i>
      <x v="788"/>
    </i>
    <i>
      <x v="789"/>
    </i>
    <i>
      <x v="790"/>
    </i>
    <i>
      <x v="791"/>
    </i>
    <i>
      <x v="792"/>
    </i>
    <i>
      <x v="793"/>
    </i>
    <i>
      <x v="794"/>
    </i>
    <i>
      <x v="795"/>
    </i>
    <i>
      <x v="796"/>
    </i>
    <i t="grand">
      <x/>
    </i>
  </rowItems>
  <colFields count="1">
    <field x="-2"/>
  </colFields>
  <colItems count="3">
    <i>
      <x/>
    </i>
    <i i="1">
      <x v="1"/>
    </i>
    <i i="2">
      <x v="2"/>
    </i>
  </colItems>
  <dataFields count="3">
    <dataField name="Sum of monthly_consumption_kwh" fld="5" baseField="0" baseItem="0"/>
    <dataField name="Sum of Profit(€)" fld="10" baseField="0" baseItem="0" numFmtId="2"/>
    <dataField name="Sum of Profit(ct/kWh)" fld="11" baseField="0" baseItem="23" numFmtId="2"/>
  </dataFields>
  <formats count="4">
    <format dxfId="39">
      <pivotArea outline="0" collapsedLevelsAreSubtotals="1" fieldPosition="0">
        <references count="1">
          <reference field="4294967294" count="1" selected="0">
            <x v="2"/>
          </reference>
        </references>
      </pivotArea>
    </format>
    <format dxfId="38">
      <pivotArea dataOnly="0" labelOnly="1" outline="0" fieldPosition="0">
        <references count="1">
          <reference field="4294967294" count="1">
            <x v="2"/>
          </reference>
        </references>
      </pivotArea>
    </format>
    <format dxfId="37">
      <pivotArea outline="0" collapsedLevelsAreSubtotals="1" fieldPosition="0">
        <references count="1">
          <reference field="4294967294" count="1" selected="0">
            <x v="1"/>
          </reference>
        </references>
      </pivotArea>
    </format>
    <format dxfId="36">
      <pivotArea dataOnly="0" labelOnly="1" outline="0" fieldPosition="0">
        <references count="1">
          <reference field="4294967294" count="1">
            <x v="1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92E4587-F2BB-43CB-855C-80AF6C8A6551}" name="PivotTable5" cacheId="4" applyNumberFormats="0" applyBorderFormats="0" applyFontFormats="0" applyPatternFormats="0" applyAlignmentFormats="0" applyWidthHeightFormats="1" dataCaption="Values" updatedVersion="8" minRefreshableVersion="3" useAutoFormatting="1" rowGrandTotals="0" colGrandTotals="0" itemPrintTitles="1" createdVersion="8" indent="0" outline="1" outlineData="1" multipleFieldFilters="0" chartFormat="11" rowHeaderCaption="Contract Duration in Months">
  <location ref="A14:B16" firstHeaderRow="1" firstDataRow="1" firstDataCol="1"/>
  <pivotFields count="17">
    <pivotField showAll="0"/>
    <pivotField axis="axisRow" showAll="0">
      <items count="3">
        <item x="0"/>
        <item x="1"/>
        <item t="default"/>
      </items>
    </pivotField>
    <pivotField showAll="0"/>
    <pivotField showAll="0"/>
    <pivotField showAll="0"/>
    <pivotField showAll="0"/>
    <pivotField showAll="0"/>
    <pivotField showAll="0"/>
    <pivotField numFmtId="2" showAll="0"/>
    <pivotField numFmtId="2" showAll="0"/>
    <pivotField dataField="1" numFmtId="2" showAll="0"/>
    <pivotField showAll="0"/>
    <pivotField showAll="0"/>
    <pivotField showAll="0"/>
    <pivotField showAll="0"/>
    <pivotField showAll="0"/>
    <pivotField showAll="0"/>
  </pivotFields>
  <rowFields count="1">
    <field x="1"/>
  </rowFields>
  <rowItems count="2">
    <i>
      <x/>
    </i>
    <i>
      <x v="1"/>
    </i>
  </rowItems>
  <colItems count="1">
    <i/>
  </colItems>
  <dataFields count="1">
    <dataField name="Average of ptofit_(€)" fld="10" subtotal="average" baseField="1" baseItem="0" numFmtId="2"/>
  </dataFields>
  <formats count="1">
    <format dxfId="32">
      <pivotArea outline="0" collapsedLevelsAreSubtotals="1" fieldPosition="0"/>
    </format>
  </formats>
  <chartFormats count="1">
    <chartFormat chart="4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58D0FFD-1C0D-49C1-ACBB-E6CAC2111833}" name="PivotTable7" cacheId="4" applyNumberFormats="0" applyBorderFormats="0" applyFontFormats="0" applyPatternFormats="0" applyAlignmentFormats="0" applyWidthHeightFormats="1" dataCaption="Values" updatedVersion="8" minRefreshableVersion="3" useAutoFormatting="1" rowGrandTotals="0" colGrandTotals="0" itemPrintTitles="1" createdVersion="8" indent="0" outline="1" outlineData="1" multipleFieldFilters="0" chartFormat="5" rowHeaderCaption="Consumption Tier">
  <location ref="A48:B51" firstHeaderRow="1" firstDataRow="1" firstDataCol="1"/>
  <pivotFields count="17">
    <pivotField showAll="0"/>
    <pivotField showAll="0"/>
    <pivotField axis="axisRow" showAll="0">
      <items count="4">
        <item x="2"/>
        <item x="1"/>
        <item x="0"/>
        <item t="default"/>
      </items>
    </pivotField>
    <pivotField showAll="0"/>
    <pivotField showAll="0"/>
    <pivotField showAll="0"/>
    <pivotField showAll="0"/>
    <pivotField showAll="0"/>
    <pivotField numFmtId="2" showAll="0"/>
    <pivotField numFmtId="2" showAll="0"/>
    <pivotField dataField="1" numFmtId="2" showAll="0"/>
    <pivotField showAll="0"/>
    <pivotField showAll="0"/>
    <pivotField showAll="0"/>
    <pivotField showAll="0"/>
    <pivotField showAll="0"/>
    <pivotField showAll="0"/>
  </pivotFields>
  <rowFields count="1">
    <field x="2"/>
  </rowFields>
  <rowItems count="3">
    <i>
      <x/>
    </i>
    <i>
      <x v="1"/>
    </i>
    <i>
      <x v="2"/>
    </i>
  </rowItems>
  <colItems count="1">
    <i/>
  </colItems>
  <dataFields count="1">
    <dataField name="Average of ptofit_(€)" fld="10" subtotal="average" baseField="2" baseItem="0" numFmtId="2"/>
  </dataFields>
  <formats count="1">
    <format dxfId="33">
      <pivotArea outline="0" collapsedLevelsAreSubtotals="1" fieldPosition="0"/>
    </format>
  </formats>
  <chartFormats count="1">
    <chartFormat chart="4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E031522-2ECD-4541-ADD7-7BF820B75D73}" name="PivotTable6" cacheId="4" applyNumberFormats="0" applyBorderFormats="0" applyFontFormats="0" applyPatternFormats="0" applyAlignmentFormats="0" applyWidthHeightFormats="1" dataCaption="Values" updatedVersion="8" minRefreshableVersion="3" useAutoFormatting="1" rowGrandTotals="0" colGrandTotals="0" itemPrintTitles="1" createdVersion="8" indent="0" outline="1" outlineData="1" multipleFieldFilters="0" chartFormat="7" rowHeaderCaption="Acquisition Channel">
  <location ref="A31:B34" firstHeaderRow="1" firstDataRow="1" firstDataCol="1"/>
  <pivotFields count="17">
    <pivotField showAll="0"/>
    <pivotField showAll="0"/>
    <pivotField showAll="0"/>
    <pivotField axis="axisRow" showAll="0">
      <items count="4">
        <item x="0"/>
        <item x="2"/>
        <item x="1"/>
        <item t="default"/>
      </items>
    </pivotField>
    <pivotField showAll="0"/>
    <pivotField showAll="0"/>
    <pivotField showAll="0"/>
    <pivotField showAll="0"/>
    <pivotField numFmtId="2" showAll="0"/>
    <pivotField numFmtId="2" showAll="0"/>
    <pivotField dataField="1" numFmtId="2" showAll="0"/>
    <pivotField showAll="0"/>
    <pivotField showAll="0"/>
    <pivotField showAll="0"/>
    <pivotField showAll="0"/>
    <pivotField showAll="0"/>
    <pivotField showAll="0"/>
  </pivotFields>
  <rowFields count="1">
    <field x="3"/>
  </rowFields>
  <rowItems count="3">
    <i>
      <x/>
    </i>
    <i>
      <x v="1"/>
    </i>
    <i>
      <x v="2"/>
    </i>
  </rowItems>
  <colItems count="1">
    <i/>
  </colItems>
  <dataFields count="1">
    <dataField name="Average of ptofit_(€)" fld="10" subtotal="average" baseField="3" baseItem="0" numFmtId="2"/>
  </dataFields>
  <formats count="2">
    <format dxfId="35">
      <pivotArea outline="0" collapsedLevelsAreSubtotals="1" fieldPosition="0"/>
    </format>
    <format dxfId="34">
      <pivotArea dataOnly="0" labelOnly="1" outline="0" axis="axisValues" fieldPosition="0"/>
    </format>
  </formats>
  <chartFormats count="1">
    <chartFormat chart="6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22799A2-11E0-443D-958B-4F887D8FFA43}" name="PivotTable13" cacheId="5" applyNumberFormats="0" applyBorderFormats="0" applyFontFormats="0" applyPatternFormats="0" applyAlignmentFormats="0" applyWidthHeightFormats="1" dataCaption="Values" tag="dbe7cf24-2b99-4b6c-811f-f01199b3d277" updatedVersion="8" minRefreshableVersion="3" useAutoFormatting="1" rowGrandTotals="0" colGrandTotals="0" itemPrintTitles="1" createdVersion="8" indent="0" outline="1" outlineData="1" multipleFieldFilters="0" chartFormat="20" rowHeaderCaption="Contract Start Month">
  <location ref="A3:B15" firstHeaderRow="1" firstDataRow="1" firstDataCol="1"/>
  <pivotFields count="2">
    <pivotField axis="axisRow" allDrilled="1" subtotalTop="0" showAll="0" sortType="ascending" defaultSubtotal="0" defaultAttributeDrillState="1">
      <items count="12">
        <item x="4"/>
        <item x="3"/>
        <item x="7"/>
        <item x="0"/>
        <item x="8"/>
        <item x="6"/>
        <item x="5"/>
        <item x="1"/>
        <item x="11"/>
        <item x="10"/>
        <item x="9"/>
        <item x="2"/>
      </items>
    </pivotField>
    <pivotField dataField="1" subtotalTop="0" showAll="0" defaultSubtotal="0"/>
  </pivotFields>
  <rowFields count="1">
    <field x="0"/>
  </rowFields>
  <rowItems count="12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</rowItems>
  <colItems count="1">
    <i/>
  </colItems>
  <dataFields count="1">
    <dataField name="Average of Profit(€)" fld="1" subtotal="average" baseField="0" baseItem="0" numFmtId="2"/>
  </dataFields>
  <formats count="4">
    <format dxfId="31">
      <pivotArea outline="0" collapsedLevelsAreSubtotals="1" fieldPosition="0"/>
    </format>
    <format dxfId="30">
      <pivotArea dataOnly="0" labelOnly="1" outline="0" axis="axisValues" fieldPosition="0"/>
    </format>
    <format dxfId="29">
      <pivotArea outline="0" collapsedLevelsAreSubtotals="1" fieldPosition="0"/>
    </format>
    <format dxfId="28">
      <pivotArea dataOnly="0" labelOnly="1" fieldPosition="0">
        <references count="1">
          <reference field="0" count="0"/>
        </references>
      </pivotArea>
    </format>
  </formats>
  <chartFormats count="1">
    <chartFormat chart="16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Hierarchies count="17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Data="1"/>
    <pivotHierarchy dragToData="1" caption="Average of Profit(€)"/>
  </pivotHierarchies>
  <pivotTableStyleInfo name="PivotStyleLight16" showRowHeaders="1" showColHeaders="1" showRowStripes="0" showColStripes="0" showLastColumn="1"/>
  <rowHierarchiesUsage count="1">
    <rowHierarchyUsage hierarchyUsage="12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 sourceDataName="WorksheetConnection_Rabot Energy - Pricing Associate case.xlsx!Q4_Q5_Table">
        <x15:activeTabTopLevelEntity name="[Q4_Q5_Table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8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60E997C-4273-4728-9238-0E621A9C09E7}" name="PivotTable15" cacheId="3" applyNumberFormats="0" applyBorderFormats="0" applyFontFormats="0" applyPatternFormats="0" applyAlignmentFormats="0" applyWidthHeightFormats="1" dataCaption="Values" updatedVersion="8" minRefreshableVersion="3" useAutoFormatting="1" rowGrandTotals="0" colGrandTotals="0" itemPrintTitles="1" createdVersion="8" indent="0" outline="1" outlineData="1" multipleFieldFilters="0" chartFormat="5" rowHeaderCaption="Contract Duration">
  <location ref="A34:B36" firstHeaderRow="1" firstDataRow="1" firstDataCol="1"/>
  <pivotFields count="12">
    <pivotField showAll="0"/>
    <pivotField axis="axisRow" showAll="0">
      <items count="3">
        <item x="0"/>
        <item x="1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</pivotFields>
  <rowFields count="1">
    <field x="1"/>
  </rowFields>
  <rowItems count="2">
    <i>
      <x/>
    </i>
    <i>
      <x v="1"/>
    </i>
  </rowItems>
  <colItems count="1">
    <i/>
  </colItems>
  <dataFields count="1">
    <dataField name="Average of Profit(€)" fld="10" subtotal="average" baseField="1" baseItem="0" numFmtId="2"/>
  </dataFields>
  <formats count="3">
    <format dxfId="20">
      <pivotArea outline="0" collapsedLevelsAreSubtotals="1" fieldPosition="0"/>
    </format>
    <format dxfId="19">
      <pivotArea outline="0" collapsedLevelsAreSubtotals="1" fieldPosition="0"/>
    </format>
    <format dxfId="18">
      <pivotArea dataOnly="0" labelOnly="1" fieldPosition="0">
        <references count="1">
          <reference field="1" count="0"/>
        </references>
      </pivotArea>
    </format>
  </formats>
  <chartFormats count="6">
    <chartFormat chart="2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5">
      <pivotArea type="data" outline="0" fieldPosition="0">
        <references count="2">
          <reference field="4294967294" count="1" selected="0">
            <x v="0"/>
          </reference>
          <reference field="1" count="1" selected="0">
            <x v="0"/>
          </reference>
        </references>
      </pivotArea>
    </chartFormat>
    <chartFormat chart="2" format="6">
      <pivotArea type="data" outline="0" fieldPosition="0">
        <references count="2">
          <reference field="4294967294" count="1" selected="0">
            <x v="0"/>
          </reference>
          <reference field="1" count="1" selected="0">
            <x v="1"/>
          </reference>
        </references>
      </pivotArea>
    </chartFormat>
    <chartFormat chart="4" format="1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11">
      <pivotArea type="data" outline="0" fieldPosition="0">
        <references count="2">
          <reference field="4294967294" count="1" selected="0">
            <x v="0"/>
          </reference>
          <reference field="1" count="1" selected="0">
            <x v="0"/>
          </reference>
        </references>
      </pivotArea>
    </chartFormat>
    <chartFormat chart="4" format="12">
      <pivotArea type="data" outline="0" fieldPosition="0">
        <references count="2">
          <reference field="4294967294" count="1" selected="0">
            <x v="0"/>
          </reference>
          <reference field="1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9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433BAEC-D4F9-4E3E-8059-1A6A68A61C01}" name="PivotTable14" cacheId="3" applyNumberFormats="0" applyBorderFormats="0" applyFontFormats="0" applyPatternFormats="0" applyAlignmentFormats="0" applyWidthHeightFormats="1" dataCaption="Values" updatedVersion="8" minRefreshableVersion="3" useAutoFormatting="1" rowGrandTotals="0" colGrandTotals="0" itemPrintTitles="1" createdVersion="8" indent="0" outline="1" outlineData="1" multipleFieldFilters="0" chartFormat="12" rowHeaderCaption="Acquisition Channel">
  <location ref="A2:B5" firstHeaderRow="1" firstDataRow="1" firstDataCol="1"/>
  <pivotFields count="12">
    <pivotField showAll="0" defaultSubtotal="0"/>
    <pivotField showAll="0" defaultSubtotal="0"/>
    <pivotField showAll="0" defaultSubtotal="0"/>
    <pivotField axis="axisRow" showAll="0" defaultSubtotal="0">
      <items count="3">
        <item x="0"/>
        <item x="2"/>
        <item x="1"/>
      </items>
    </pivotField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dataField="1" showAll="0" defaultSubtotal="0"/>
    <pivotField showAll="0" defaultSubtotal="0"/>
  </pivotFields>
  <rowFields count="1">
    <field x="3"/>
  </rowFields>
  <rowItems count="3">
    <i>
      <x/>
    </i>
    <i>
      <x v="1"/>
    </i>
    <i>
      <x v="2"/>
    </i>
  </rowItems>
  <colItems count="1">
    <i/>
  </colItems>
  <dataFields count="1">
    <dataField name="Average of Profit(€)" fld="10" subtotal="average" baseField="3" baseItem="0" numFmtId="2"/>
  </dataFields>
  <formats count="6">
    <format dxfId="26">
      <pivotArea outline="0" collapsedLevelsAreSubtotals="1" fieldPosition="0"/>
    </format>
    <format dxfId="25">
      <pivotArea type="all" dataOnly="0" outline="0" fieldPosition="0"/>
    </format>
    <format dxfId="24">
      <pivotArea outline="0" collapsedLevelsAreSubtotals="1" fieldPosition="0"/>
    </format>
    <format dxfId="23">
      <pivotArea field="3" type="button" dataOnly="0" labelOnly="1" outline="0" axis="axisRow" fieldPosition="0"/>
    </format>
    <format dxfId="22">
      <pivotArea dataOnly="0" labelOnly="1" fieldPosition="0">
        <references count="1">
          <reference field="3" count="0"/>
        </references>
      </pivotArea>
    </format>
    <format dxfId="21">
      <pivotArea dataOnly="0" labelOnly="1" outline="0" axis="axisValues" fieldPosition="0"/>
    </format>
  </formats>
  <chartFormats count="1">
    <chartFormat chart="10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10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97608FD-EE2E-4760-B25B-672C6E846916}" name="PivotTable16" cacheId="3" applyNumberFormats="0" applyBorderFormats="0" applyFontFormats="0" applyPatternFormats="0" applyAlignmentFormats="0" applyWidthHeightFormats="1" dataCaption="Values" updatedVersion="8" minRefreshableVersion="3" useAutoFormatting="1" rowGrandTotals="0" colGrandTotals="0" itemPrintTitles="1" createdVersion="8" indent="0" outline="1" outlineData="1" multipleFieldFilters="0" chartFormat="5" rowHeaderCaption="Consumption Tier">
  <location ref="A18:B21" firstHeaderRow="1" firstDataRow="1" firstDataCol="1"/>
  <pivotFields count="12">
    <pivotField showAll="0"/>
    <pivotField showAll="0"/>
    <pivotField axis="axisRow" showAll="0">
      <items count="4">
        <item x="2"/>
        <item x="1"/>
        <item x="0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</pivotFields>
  <rowFields count="1">
    <field x="2"/>
  </rowFields>
  <rowItems count="3">
    <i>
      <x/>
    </i>
    <i>
      <x v="1"/>
    </i>
    <i>
      <x v="2"/>
    </i>
  </rowItems>
  <colItems count="1">
    <i/>
  </colItems>
  <dataFields count="1">
    <dataField name="Average of Profit(€)" fld="10" subtotal="average" baseField="2" baseItem="0" numFmtId="2"/>
  </dataFields>
  <formats count="1">
    <format dxfId="27">
      <pivotArea outline="0" collapsedLevelsAreSubtotals="1" fieldPosition="0"/>
    </format>
  </formats>
  <chartFormats count="3">
    <chartFormat chart="1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211900D8-730A-4250-9ADA-6AB2BC599367}" name="Table1" displayName="Table1" ref="A1:N801" totalsRowShown="0" headerRowDxfId="75" dataDxfId="73" headerRowBorderDxfId="74" tableBorderDxfId="72" totalsRowBorderDxfId="71">
  <autoFilter ref="A1:N801" xr:uid="{211900D8-730A-4250-9ADA-6AB2BC599367}"/>
  <tableColumns count="14">
    <tableColumn id="1" xr3:uid="{77922975-B575-4B57-9468-AFDD97DEC0BD}" name="customer_id" dataDxfId="70"/>
    <tableColumn id="2" xr3:uid="{68650DEC-12FC-45A9-AF0D-D106B6C3A5EA}" name="contract_duration_months" dataDxfId="69"/>
    <tableColumn id="3" xr3:uid="{8AAC821A-3A0D-4E1C-8381-097AE4FE72BF}" name="consumption_tier" dataDxfId="68"/>
    <tableColumn id="4" xr3:uid="{D93BAFD6-A6F5-4B16-AF35-A847EE676E20}" name="acquisition_channel" dataDxfId="67"/>
    <tableColumn id="5" xr3:uid="{E1A44811-614A-4928-9D4F-905A4D3BC57A}" name="contract_start_date" dataDxfId="66"/>
    <tableColumn id="6" xr3:uid="{1835F170-D31B-4135-BAF3-D63A6731431F}" name="monthly_consumption_kwh" dataDxfId="65"/>
    <tableColumn id="7" xr3:uid="{63BF386E-AED0-4DBF-BF10-0C066745D8CA}" name="BRUTTO_monthly_bill_eur" dataDxfId="64"/>
    <tableColumn id="8" xr3:uid="{216F78B0-65E6-4C39-B309-9269993ABB3C}" name="NETTO_procurement_cost_ct_per_kwh" dataDxfId="63"/>
    <tableColumn id="9" xr3:uid="{FD839B96-ECFE-42C4-A4BA-9BED2679E7D0}" name="NETTO_monthly_revenue(€)" dataDxfId="62">
      <calculatedColumnFormula>Table1[[#This Row],[BRUTTO_monthly_bill_eur]]/1.19</calculatedColumnFormula>
    </tableColumn>
    <tableColumn id="10" xr3:uid="{BBEE702F-4BF3-4986-8D90-9D93DD5DFFAD}" name="procurement_cost_(€)" dataDxfId="61">
      <calculatedColumnFormula>Table1[[#This Row],[monthly_consumption_kwh]]*Table1[[#This Row],[NETTO_procurement_cost_ct_per_kwh]]/100</calculatedColumnFormula>
    </tableColumn>
    <tableColumn id="11" xr3:uid="{24C889C1-5362-4516-A2D7-D0E8E844311C}" name="ptofit_(€)" dataDxfId="60">
      <calculatedColumnFormula>Table1[[#This Row],[NETTO_monthly_revenue(€)]]-Table1[[#This Row],[procurement_cost_(€)]]</calculatedColumnFormula>
    </tableColumn>
    <tableColumn id="12" xr3:uid="{BB7B51A0-3FB4-467D-BD1B-EA31BC53A2E3}" name="profit_(ct/kWh)" dataDxfId="59">
      <calculatedColumnFormula>IF(F2=0,"",K2/F2*100)</calculatedColumnFormula>
    </tableColumn>
    <tableColumn id="13" xr3:uid="{5F2728B9-18FF-495D-9B43-926E026C4557}" name="contract_start_month" dataDxfId="58">
      <calculatedColumnFormula>TEXT(E2,"yyyy-mm")</calculatedColumnFormula>
    </tableColumn>
    <tableColumn id="14" xr3:uid="{5BC4A620-ABED-4172-B888-6AFC0EA5869C}" name="net_revenue_(€)" dataDxfId="57">
      <calculatedColumnFormula>G2/1.19</calculatedColumnFormula>
    </tableColumn>
  </tableColumns>
  <tableStyleInfo name="TableStyleMedium9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4EF74398-904F-4095-9CEC-CA7D247E3EC3}" name="Table2" displayName="Table2" ref="A1:L801" totalsRowShown="0" headerRowDxfId="54" dataDxfId="52" headerRowBorderDxfId="53">
  <autoFilter ref="A1:L801" xr:uid="{4EF74398-904F-4095-9CEC-CA7D247E3EC3}"/>
  <tableColumns count="12">
    <tableColumn id="1" xr3:uid="{7EF4D931-F32A-48BF-A0A3-E91C5202A715}" name="customer_id" dataDxfId="51"/>
    <tableColumn id="2" xr3:uid="{3D0BBE8C-12F9-4B1F-8DAE-74254D5DF766}" name="contract_duration_months" dataDxfId="50"/>
    <tableColumn id="3" xr3:uid="{9D24E163-AEDE-4AAC-B882-179AD90308A2}" name="consumption_tier" dataDxfId="49"/>
    <tableColumn id="4" xr3:uid="{CF0D8BA0-7BC7-4165-8821-20291B9F786A}" name="acquisition_channel" dataDxfId="48"/>
    <tableColumn id="5" xr3:uid="{F91CCC6C-7089-4A16-8BFA-60FEF58EA161}" name="contract_start_date" dataDxfId="47"/>
    <tableColumn id="6" xr3:uid="{453EB89C-7074-4742-AEBF-7AF1983929B6}" name="monthly_consumption_kwh" dataDxfId="46"/>
    <tableColumn id="7" xr3:uid="{4F512B41-D406-4D3F-80FA-CC89B592065E}" name="BRUTTO_monthly_bill_eur" dataDxfId="45"/>
    <tableColumn id="8" xr3:uid="{4C7FA1F3-E6F3-4C68-8394-5B96403937E4}" name="NETTO_procurement_cost_ct_per_kwh" dataDxfId="44"/>
    <tableColumn id="9" xr3:uid="{E47AEF34-A656-45AB-9FD2-B6921F0626D9}" name="duplicate" dataDxfId="43">
      <calculatedColumnFormula>COUNTIF($A:$A,A2)</calculatedColumnFormula>
    </tableColumn>
    <tableColumn id="10" xr3:uid="{090E5DF2-EAA4-4054-8FA2-874FF840B20C}" name="zero_consumption" dataDxfId="42">
      <calculatedColumnFormula>IF(F2=0,"Yes","No")</calculatedColumnFormula>
    </tableColumn>
    <tableColumn id="11" xr3:uid="{04572709-0C36-4426-8B03-B6B5876746A6}" name="negative_consumption" dataDxfId="41">
      <calculatedColumnFormula>IF(F2&lt;0,"Yes","No")</calculatedColumnFormula>
    </tableColumn>
    <tableColumn id="12" xr3:uid="{3FDF3E1A-A974-4FFC-BE99-73B588D7C53A}" name="net_revenue" dataDxfId="40">
      <calculatedColumnFormula>G2/1.19</calculatedColumnFormula>
    </tableColumn>
  </tableColumns>
  <tableStyleInfo name="TableStyleMedium9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87D93254-0EA9-4AF0-AF73-5D6F78661952}" name="Q4_Q5_Table" displayName="Q4_Q5_Table" ref="A1:M801" totalsRowShown="0" headerRowDxfId="17" dataDxfId="15" headerRowBorderDxfId="16">
  <autoFilter ref="A1:M801" xr:uid="{87D93254-0EA9-4AF0-AF73-5D6F78661952}"/>
  <tableColumns count="13">
    <tableColumn id="1" xr3:uid="{492030D9-8891-41E6-8A62-34FB6A39B6E1}" name="customer_id" dataDxfId="14"/>
    <tableColumn id="2" xr3:uid="{419F6D7B-EFD8-4D52-86E1-ED9A156871D0}" name="contract_duration_months" dataDxfId="13"/>
    <tableColumn id="3" xr3:uid="{295B37D2-45EA-4626-95D4-16122BC00C5B}" name="consumption_tier" dataDxfId="12"/>
    <tableColumn id="4" xr3:uid="{35C9EEC4-EAD1-46CF-9649-3BB707D591B9}" name="acquisition_channel" dataDxfId="11"/>
    <tableColumn id="5" xr3:uid="{C4FEBD66-F3EF-4B64-9B8A-9CBD9D2C34DB}" name="contract_start_date" dataDxfId="10"/>
    <tableColumn id="6" xr3:uid="{AC04DAC8-4B97-411E-A5E0-C4074111B1FE}" name="monthly_consumption_kwh" dataDxfId="9"/>
    <tableColumn id="7" xr3:uid="{BFE8331E-45AB-4D8A-9758-C22CC59D6E67}" name="BRUTTO_monthly_bill_eur" dataDxfId="8"/>
    <tableColumn id="8" xr3:uid="{4D53A03F-51BE-4277-9B4D-DA871788BA58}" name="NETTO_procurement_cost_ct_per_kwh" dataDxfId="7"/>
    <tableColumn id="9" xr3:uid="{7C3C0D0F-1936-4F93-8648-8A4A8BF2E24B}" name="net_revenue_(€)" dataDxfId="6">
      <calculatedColumnFormula>G2/1.19</calculatedColumnFormula>
    </tableColumn>
    <tableColumn id="10" xr3:uid="{10B149B9-B0FC-4045-872F-338D345F46B5}" name="procurement_cost_(€)" dataDxfId="5">
      <calculatedColumnFormula>F2*H2/100</calculatedColumnFormula>
    </tableColumn>
    <tableColumn id="11" xr3:uid="{BB6EC41B-D19E-4B57-BFE8-27E031F3F1E7}" name="Profit(€)" dataDxfId="4">
      <calculatedColumnFormula>I2-J2</calculatedColumnFormula>
    </tableColumn>
    <tableColumn id="12" xr3:uid="{F1E91A04-BCFC-472E-8E81-00978DE70626}" name="Profit(ct/kWh)" dataDxfId="3">
      <calculatedColumnFormula>IF(F2=0,"",K2/F2*100)</calculatedColumnFormula>
    </tableColumn>
    <tableColumn id="13" xr3:uid="{4C7DD5A2-C393-4EF6-8DEB-F655B136C65F}" name="contract_start_month" dataDxfId="2">
      <calculatedColumnFormula>TEXT(DATE(RIGHT(E2,4),MID(E2,4,2),LEFT(E2,2)),"mmmm")</calculatedColumnFormula>
    </tableColumn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ivotTable" Target="../pivotTables/pivotTable1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ivotTable" Target="../pivotTables/pivotTable2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3.xml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6.xml"/><Relationship Id="rId2" Type="http://schemas.openxmlformats.org/officeDocument/2006/relationships/pivotTable" Target="../pivotTables/pivotTable5.xml"/><Relationship Id="rId1" Type="http://schemas.openxmlformats.org/officeDocument/2006/relationships/pivotTable" Target="../pivotTables/pivotTable4.xml"/><Relationship Id="rId4" Type="http://schemas.openxmlformats.org/officeDocument/2006/relationships/drawing" Target="../drawings/drawing4.xml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ivotTable" Target="../pivotTables/pivotTable7.xml"/></Relationships>
</file>

<file path=xl/worksheets/_rels/sheet9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10.xml"/><Relationship Id="rId2" Type="http://schemas.openxmlformats.org/officeDocument/2006/relationships/pivotTable" Target="../pivotTables/pivotTable9.xml"/><Relationship Id="rId1" Type="http://schemas.openxmlformats.org/officeDocument/2006/relationships/pivotTable" Target="../pivotTables/pivotTable8.xml"/><Relationship Id="rId4" Type="http://schemas.openxmlformats.org/officeDocument/2006/relationships/drawing" Target="../drawings/drawing6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C30"/>
  <sheetViews>
    <sheetView showGridLines="0" tabSelected="1" zoomScale="115" zoomScaleNormal="115" workbookViewId="0">
      <selection activeCell="C20" sqref="C20"/>
    </sheetView>
  </sheetViews>
  <sheetFormatPr defaultRowHeight="14.4"/>
  <cols>
    <col min="1" max="1" width="3" customWidth="1"/>
    <col min="2" max="2" width="31.109375" customWidth="1"/>
    <col min="3" max="3" width="114.109375" customWidth="1"/>
  </cols>
  <sheetData>
    <row r="1" spans="2:3" ht="36" customHeight="1">
      <c r="B1" s="55" t="s">
        <v>0</v>
      </c>
      <c r="C1" s="54"/>
    </row>
    <row r="2" spans="2:3" ht="9.9" customHeight="1"/>
    <row r="3" spans="2:3" ht="24" customHeight="1">
      <c r="B3" s="53" t="s">
        <v>1</v>
      </c>
      <c r="C3" s="54"/>
    </row>
    <row r="4" spans="2:3" ht="39.9" customHeight="1">
      <c r="B4" s="61" t="s">
        <v>1389</v>
      </c>
      <c r="C4" s="56"/>
    </row>
    <row r="5" spans="2:3" ht="8.1" customHeight="1"/>
    <row r="6" spans="2:3" ht="24" customHeight="1">
      <c r="B6" s="53" t="s">
        <v>2</v>
      </c>
      <c r="C6" s="54"/>
    </row>
    <row r="7" spans="2:3" ht="41.25" customHeight="1">
      <c r="B7" s="4">
        <v>1</v>
      </c>
      <c r="C7" s="3" t="s">
        <v>3</v>
      </c>
    </row>
    <row r="8" spans="2:3" ht="44.1" customHeight="1">
      <c r="B8" s="4">
        <v>2</v>
      </c>
      <c r="C8" s="1" t="s">
        <v>4</v>
      </c>
    </row>
    <row r="9" spans="2:3" ht="36" customHeight="1">
      <c r="B9" s="4">
        <v>3</v>
      </c>
      <c r="C9" s="3" t="s">
        <v>5</v>
      </c>
    </row>
    <row r="10" spans="2:3" ht="44.1" customHeight="1">
      <c r="B10" s="4">
        <v>4</v>
      </c>
      <c r="C10" s="3" t="s">
        <v>6</v>
      </c>
    </row>
    <row r="11" spans="2:3" ht="36" customHeight="1">
      <c r="B11" s="4">
        <v>5</v>
      </c>
      <c r="C11" s="3" t="s">
        <v>7</v>
      </c>
    </row>
    <row r="12" spans="2:3" ht="8.1" customHeight="1"/>
    <row r="13" spans="2:3" ht="24" customHeight="1">
      <c r="B13" s="53" t="s">
        <v>8</v>
      </c>
      <c r="C13" s="54"/>
    </row>
    <row r="14" spans="2:3">
      <c r="B14" s="6" t="s">
        <v>9</v>
      </c>
      <c r="C14" s="3" t="s">
        <v>10</v>
      </c>
    </row>
    <row r="15" spans="2:3" ht="26.4">
      <c r="B15" s="6" t="s">
        <v>11</v>
      </c>
      <c r="C15" s="3" t="s">
        <v>12</v>
      </c>
    </row>
    <row r="16" spans="2:3">
      <c r="B16" s="6" t="s">
        <v>13</v>
      </c>
      <c r="C16" s="3" t="s">
        <v>14</v>
      </c>
    </row>
    <row r="17" spans="2:3">
      <c r="B17" s="2" t="s">
        <v>15</v>
      </c>
      <c r="C17" s="1" t="s">
        <v>16</v>
      </c>
    </row>
    <row r="18" spans="2:3">
      <c r="B18" s="2" t="s">
        <v>17</v>
      </c>
      <c r="C18" s="3" t="s">
        <v>1391</v>
      </c>
    </row>
    <row r="19" spans="2:3">
      <c r="B19" s="2" t="s">
        <v>18</v>
      </c>
      <c r="C19" s="1" t="s">
        <v>1390</v>
      </c>
    </row>
    <row r="20" spans="2:3">
      <c r="B20" s="6" t="s">
        <v>19</v>
      </c>
      <c r="C20" s="1" t="s">
        <v>1392</v>
      </c>
    </row>
    <row r="21" spans="2:3" ht="8.1" customHeight="1"/>
    <row r="22" spans="2:3" ht="24" customHeight="1">
      <c r="B22" s="53" t="s">
        <v>20</v>
      </c>
      <c r="C22" s="54"/>
    </row>
    <row r="23" spans="2:3">
      <c r="B23" s="7" t="s">
        <v>21</v>
      </c>
    </row>
    <row r="24" spans="2:3">
      <c r="B24" s="7" t="s">
        <v>22</v>
      </c>
    </row>
    <row r="25" spans="2:3">
      <c r="B25" s="7" t="s">
        <v>23</v>
      </c>
    </row>
    <row r="26" spans="2:3">
      <c r="B26" s="7" t="s">
        <v>24</v>
      </c>
    </row>
    <row r="27" spans="2:3">
      <c r="B27" s="7" t="s">
        <v>25</v>
      </c>
    </row>
    <row r="28" spans="2:3">
      <c r="B28" s="7" t="s">
        <v>26</v>
      </c>
    </row>
    <row r="29" spans="2:3" ht="20.100000000000001" customHeight="1"/>
    <row r="30" spans="2:3">
      <c r="B30" s="53"/>
      <c r="C30" s="54"/>
    </row>
  </sheetData>
  <mergeCells count="7">
    <mergeCell ref="B30:C30"/>
    <mergeCell ref="B1:C1"/>
    <mergeCell ref="B22:C22"/>
    <mergeCell ref="B13:C13"/>
    <mergeCell ref="B6:C6"/>
    <mergeCell ref="B3:C3"/>
    <mergeCell ref="B4:C4"/>
  </mergeCells>
  <pageMargins left="0.75" right="0.75" top="1" bottom="1" header="0.5" footer="0.5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N801"/>
  <sheetViews>
    <sheetView showGridLines="0" topLeftCell="G1" workbookViewId="0">
      <pane ySplit="1" topLeftCell="A2" activePane="bottomLeft" state="frozen"/>
      <selection pane="bottomLeft" activeCell="M2" sqref="M2"/>
    </sheetView>
  </sheetViews>
  <sheetFormatPr defaultRowHeight="14.4"/>
  <cols>
    <col min="1" max="1" width="13.6640625" customWidth="1"/>
    <col min="2" max="2" width="26.109375" customWidth="1"/>
    <col min="3" max="3" width="18.109375" customWidth="1"/>
    <col min="4" max="5" width="20.109375" customWidth="1"/>
    <col min="6" max="6" width="26.77734375" customWidth="1"/>
    <col min="7" max="7" width="25.88671875" customWidth="1"/>
    <col min="8" max="8" width="37.21875" customWidth="1"/>
    <col min="9" max="9" width="27.6640625" style="20" bestFit="1" customWidth="1"/>
    <col min="10" max="10" width="21.77734375" style="20" bestFit="1" customWidth="1"/>
    <col min="11" max="11" width="10.109375" style="20" bestFit="1" customWidth="1"/>
    <col min="12" max="12" width="16.5546875" style="20" bestFit="1" customWidth="1"/>
    <col min="13" max="13" width="22.44140625" style="20" bestFit="1" customWidth="1"/>
    <col min="14" max="14" width="17.44140625" bestFit="1" customWidth="1"/>
  </cols>
  <sheetData>
    <row r="1" spans="1:14" ht="20.100000000000001" customHeight="1">
      <c r="A1" s="11" t="s">
        <v>27</v>
      </c>
      <c r="B1" s="12" t="s">
        <v>11</v>
      </c>
      <c r="C1" s="12" t="s">
        <v>28</v>
      </c>
      <c r="D1" s="12" t="s">
        <v>29</v>
      </c>
      <c r="E1" s="12" t="s">
        <v>30</v>
      </c>
      <c r="F1" s="12" t="s">
        <v>31</v>
      </c>
      <c r="G1" s="12" t="s">
        <v>32</v>
      </c>
      <c r="H1" s="13" t="s">
        <v>33</v>
      </c>
      <c r="I1" s="19" t="s">
        <v>1316</v>
      </c>
      <c r="J1" s="19" t="s">
        <v>1315</v>
      </c>
      <c r="K1" s="19" t="s">
        <v>1317</v>
      </c>
      <c r="L1" s="19" t="s">
        <v>1318</v>
      </c>
      <c r="M1" s="19" t="s">
        <v>1319</v>
      </c>
      <c r="N1" s="17" t="s">
        <v>1324</v>
      </c>
    </row>
    <row r="2" spans="1:14">
      <c r="A2" s="9" t="s">
        <v>34</v>
      </c>
      <c r="B2" s="8">
        <v>12</v>
      </c>
      <c r="C2" s="8" t="s">
        <v>35</v>
      </c>
      <c r="D2" s="8" t="s">
        <v>36</v>
      </c>
      <c r="E2" s="8" t="s">
        <v>37</v>
      </c>
      <c r="F2" s="8">
        <v>199</v>
      </c>
      <c r="G2" s="8">
        <v>76.88</v>
      </c>
      <c r="H2" s="10">
        <v>24.21</v>
      </c>
      <c r="I2" s="20">
        <f>Table1[[#This Row],[BRUTTO_monthly_bill_eur]]/1.19</f>
        <v>64.605042016806721</v>
      </c>
      <c r="J2" s="23">
        <f>Table1[[#This Row],[monthly_consumption_kwh]]*Table1[[#This Row],[NETTO_procurement_cost_ct_per_kwh]]/100</f>
        <v>48.177900000000001</v>
      </c>
      <c r="K2" s="23">
        <f>Table1[[#This Row],[NETTO_monthly_revenue(€)]]-Table1[[#This Row],[procurement_cost_(€)]]</f>
        <v>16.427142016806719</v>
      </c>
      <c r="L2" s="24">
        <f>IF(F2=0,"",K2/F2*100)</f>
        <v>8.2548452345762406</v>
      </c>
      <c r="M2" s="24" t="str">
        <f t="shared" ref="M2:M65" si="0">TEXT(E2,"yyyy-mm")</f>
        <v>24.04.2024</v>
      </c>
      <c r="N2" s="23">
        <f t="shared" ref="N2:N65" si="1">G2/1.19</f>
        <v>64.605042016806721</v>
      </c>
    </row>
    <row r="3" spans="1:14">
      <c r="A3" s="9" t="s">
        <v>38</v>
      </c>
      <c r="B3" s="8">
        <v>24</v>
      </c>
      <c r="C3" s="8" t="s">
        <v>39</v>
      </c>
      <c r="D3" s="8" t="s">
        <v>36</v>
      </c>
      <c r="E3" s="8" t="s">
        <v>40</v>
      </c>
      <c r="F3" s="8">
        <v>110</v>
      </c>
      <c r="G3" s="8">
        <v>49.75</v>
      </c>
      <c r="H3" s="10">
        <v>30.01</v>
      </c>
      <c r="I3" s="21">
        <f>Table1[[#This Row],[BRUTTO_monthly_bill_eur]]/1.19</f>
        <v>41.806722689075634</v>
      </c>
      <c r="J3" s="21">
        <f>Table1[[#This Row],[monthly_consumption_kwh]]*Table1[[#This Row],[NETTO_procurement_cost_ct_per_kwh]]/100</f>
        <v>33.011000000000003</v>
      </c>
      <c r="K3" s="21">
        <f>Table1[[#This Row],[NETTO_monthly_revenue(€)]]-Table1[[#This Row],[procurement_cost_(€)]]</f>
        <v>8.7957226890756317</v>
      </c>
      <c r="L3" s="21">
        <f t="shared" ref="L3:L65" si="2">IF(F3=0,"",K3/F3*100)</f>
        <v>7.9961115355233012</v>
      </c>
      <c r="M3" s="21" t="str">
        <f t="shared" si="0"/>
        <v>26.01.2024</v>
      </c>
      <c r="N3" s="21">
        <f t="shared" si="1"/>
        <v>41.806722689075634</v>
      </c>
    </row>
    <row r="4" spans="1:14">
      <c r="A4" s="9" t="s">
        <v>41</v>
      </c>
      <c r="B4" s="8">
        <v>24</v>
      </c>
      <c r="C4" s="8" t="s">
        <v>35</v>
      </c>
      <c r="D4" s="8" t="s">
        <v>36</v>
      </c>
      <c r="E4" s="8" t="s">
        <v>42</v>
      </c>
      <c r="F4" s="8">
        <v>205</v>
      </c>
      <c r="G4" s="8">
        <v>85.14</v>
      </c>
      <c r="H4" s="10">
        <v>22.78</v>
      </c>
      <c r="I4" s="21">
        <f>Table1[[#This Row],[BRUTTO_monthly_bill_eur]]/1.19</f>
        <v>71.546218487394967</v>
      </c>
      <c r="J4" s="21">
        <f>Table1[[#This Row],[monthly_consumption_kwh]]*Table1[[#This Row],[NETTO_procurement_cost_ct_per_kwh]]/100</f>
        <v>46.699000000000005</v>
      </c>
      <c r="K4" s="21">
        <f>Table1[[#This Row],[NETTO_monthly_revenue(€)]]-Table1[[#This Row],[procurement_cost_(€)]]</f>
        <v>24.847218487394962</v>
      </c>
      <c r="L4" s="21">
        <f t="shared" si="2"/>
        <v>12.120594384095103</v>
      </c>
      <c r="M4" s="21" t="str">
        <f t="shared" si="0"/>
        <v>08.10.2024</v>
      </c>
      <c r="N4" s="21">
        <f t="shared" si="1"/>
        <v>71.546218487394967</v>
      </c>
    </row>
    <row r="5" spans="1:14">
      <c r="A5" s="9" t="s">
        <v>43</v>
      </c>
      <c r="B5" s="8">
        <v>24</v>
      </c>
      <c r="C5" s="8" t="s">
        <v>35</v>
      </c>
      <c r="D5" s="8" t="s">
        <v>36</v>
      </c>
      <c r="E5" s="8" t="s">
        <v>44</v>
      </c>
      <c r="F5" s="8">
        <v>226</v>
      </c>
      <c r="G5" s="8">
        <v>84.24</v>
      </c>
      <c r="H5" s="10">
        <v>25.44</v>
      </c>
      <c r="I5" s="21">
        <f>Table1[[#This Row],[BRUTTO_monthly_bill_eur]]/1.19</f>
        <v>70.789915966386559</v>
      </c>
      <c r="J5" s="21">
        <f>Table1[[#This Row],[monthly_consumption_kwh]]*Table1[[#This Row],[NETTO_procurement_cost_ct_per_kwh]]/100</f>
        <v>57.494400000000006</v>
      </c>
      <c r="K5" s="21">
        <f>Table1[[#This Row],[NETTO_monthly_revenue(€)]]-Table1[[#This Row],[procurement_cost_(€)]]</f>
        <v>13.295515966386553</v>
      </c>
      <c r="L5" s="21">
        <f t="shared" si="2"/>
        <v>5.8829716665427227</v>
      </c>
      <c r="M5" s="21" t="str">
        <f t="shared" si="0"/>
        <v>07.09.2024</v>
      </c>
      <c r="N5" s="21">
        <f t="shared" si="1"/>
        <v>70.789915966386559</v>
      </c>
    </row>
    <row r="6" spans="1:14">
      <c r="A6" s="9" t="s">
        <v>45</v>
      </c>
      <c r="B6" s="8">
        <v>12</v>
      </c>
      <c r="C6" s="8" t="s">
        <v>35</v>
      </c>
      <c r="D6" s="8" t="s">
        <v>46</v>
      </c>
      <c r="E6" s="8" t="s">
        <v>47</v>
      </c>
      <c r="F6" s="8">
        <v>178</v>
      </c>
      <c r="G6" s="8">
        <v>70.680000000000007</v>
      </c>
      <c r="H6" s="10">
        <v>24.71</v>
      </c>
      <c r="I6" s="21">
        <f>Table1[[#This Row],[BRUTTO_monthly_bill_eur]]/1.19</f>
        <v>59.394957983193287</v>
      </c>
      <c r="J6" s="21">
        <f>Table1[[#This Row],[monthly_consumption_kwh]]*Table1[[#This Row],[NETTO_procurement_cost_ct_per_kwh]]/100</f>
        <v>43.983800000000002</v>
      </c>
      <c r="K6" s="21">
        <f>Table1[[#This Row],[NETTO_monthly_revenue(€)]]-Table1[[#This Row],[procurement_cost_(€)]]</f>
        <v>15.411157983193284</v>
      </c>
      <c r="L6" s="21">
        <f t="shared" si="2"/>
        <v>8.6579539231422942</v>
      </c>
      <c r="M6" s="21" t="str">
        <f t="shared" si="0"/>
        <v>16.08.2024</v>
      </c>
      <c r="N6" s="21">
        <f t="shared" si="1"/>
        <v>59.394957983193287</v>
      </c>
    </row>
    <row r="7" spans="1:14">
      <c r="A7" s="9" t="s">
        <v>48</v>
      </c>
      <c r="B7" s="8">
        <v>12</v>
      </c>
      <c r="C7" s="8" t="s">
        <v>35</v>
      </c>
      <c r="D7" s="8" t="s">
        <v>46</v>
      </c>
      <c r="E7" s="8" t="s">
        <v>49</v>
      </c>
      <c r="F7" s="8">
        <v>253</v>
      </c>
      <c r="G7" s="8">
        <v>94.37</v>
      </c>
      <c r="H7" s="10">
        <v>25.35</v>
      </c>
      <c r="I7" s="21">
        <f>Table1[[#This Row],[BRUTTO_monthly_bill_eur]]/1.19</f>
        <v>79.302521008403374</v>
      </c>
      <c r="J7" s="21">
        <f>Table1[[#This Row],[monthly_consumption_kwh]]*Table1[[#This Row],[NETTO_procurement_cost_ct_per_kwh]]/100</f>
        <v>64.135500000000008</v>
      </c>
      <c r="K7" s="21">
        <f>Table1[[#This Row],[NETTO_monthly_revenue(€)]]-Table1[[#This Row],[procurement_cost_(€)]]</f>
        <v>15.167021008403367</v>
      </c>
      <c r="L7" s="21">
        <f t="shared" si="2"/>
        <v>5.9948699637957974</v>
      </c>
      <c r="M7" s="21" t="str">
        <f t="shared" si="0"/>
        <v>22.05.2024</v>
      </c>
      <c r="N7" s="21">
        <f t="shared" si="1"/>
        <v>79.302521008403374</v>
      </c>
    </row>
    <row r="8" spans="1:14">
      <c r="A8" s="9" t="s">
        <v>50</v>
      </c>
      <c r="B8" s="8">
        <v>12</v>
      </c>
      <c r="C8" s="8" t="s">
        <v>51</v>
      </c>
      <c r="D8" s="8" t="s">
        <v>36</v>
      </c>
      <c r="E8" s="8" t="s">
        <v>52</v>
      </c>
      <c r="F8" s="8">
        <v>356</v>
      </c>
      <c r="G8" s="8">
        <v>118.13</v>
      </c>
      <c r="H8" s="10">
        <v>20.79</v>
      </c>
      <c r="I8" s="21">
        <f>Table1[[#This Row],[BRUTTO_monthly_bill_eur]]/1.19</f>
        <v>99.268907563025209</v>
      </c>
      <c r="J8" s="21">
        <f>Table1[[#This Row],[monthly_consumption_kwh]]*Table1[[#This Row],[NETTO_procurement_cost_ct_per_kwh]]/100</f>
        <v>74.0124</v>
      </c>
      <c r="K8" s="21">
        <f>Table1[[#This Row],[NETTO_monthly_revenue(€)]]-Table1[[#This Row],[procurement_cost_(€)]]</f>
        <v>25.25650756302521</v>
      </c>
      <c r="L8" s="21">
        <f t="shared" si="2"/>
        <v>7.094524596355396</v>
      </c>
      <c r="M8" s="21" t="str">
        <f t="shared" si="0"/>
        <v>14.04.2024</v>
      </c>
      <c r="N8" s="21">
        <f t="shared" si="1"/>
        <v>99.268907563025209</v>
      </c>
    </row>
    <row r="9" spans="1:14">
      <c r="A9" s="9" t="s">
        <v>53</v>
      </c>
      <c r="B9" s="8">
        <v>24</v>
      </c>
      <c r="C9" s="8" t="s">
        <v>51</v>
      </c>
      <c r="D9" s="8" t="s">
        <v>36</v>
      </c>
      <c r="E9" s="8" t="s">
        <v>54</v>
      </c>
      <c r="F9" s="8">
        <v>600</v>
      </c>
      <c r="G9" s="8">
        <v>201.44</v>
      </c>
      <c r="H9" s="10">
        <v>20.239999999999998</v>
      </c>
      <c r="I9" s="21">
        <f>Table1[[#This Row],[BRUTTO_monthly_bill_eur]]/1.19</f>
        <v>169.27731092436974</v>
      </c>
      <c r="J9" s="21">
        <f>Table1[[#This Row],[monthly_consumption_kwh]]*Table1[[#This Row],[NETTO_procurement_cost_ct_per_kwh]]/100</f>
        <v>121.43999999999998</v>
      </c>
      <c r="K9" s="21">
        <f>Table1[[#This Row],[NETTO_monthly_revenue(€)]]-Table1[[#This Row],[procurement_cost_(€)]]</f>
        <v>47.83731092436976</v>
      </c>
      <c r="L9" s="21">
        <f t="shared" si="2"/>
        <v>7.9728851540616263</v>
      </c>
      <c r="M9" s="21" t="str">
        <f t="shared" si="0"/>
        <v>30.03.2024</v>
      </c>
      <c r="N9" s="21">
        <f t="shared" si="1"/>
        <v>169.27731092436974</v>
      </c>
    </row>
    <row r="10" spans="1:14">
      <c r="A10" s="9" t="s">
        <v>55</v>
      </c>
      <c r="B10" s="8">
        <v>24</v>
      </c>
      <c r="C10" s="8" t="s">
        <v>35</v>
      </c>
      <c r="D10" s="8" t="s">
        <v>56</v>
      </c>
      <c r="E10" s="8" t="s">
        <v>57</v>
      </c>
      <c r="F10" s="8">
        <v>206</v>
      </c>
      <c r="G10" s="8">
        <v>81.819999999999993</v>
      </c>
      <c r="H10" s="10">
        <v>23.76</v>
      </c>
      <c r="I10" s="21">
        <f>Table1[[#This Row],[BRUTTO_monthly_bill_eur]]/1.19</f>
        <v>68.756302521008408</v>
      </c>
      <c r="J10" s="21">
        <f>Table1[[#This Row],[monthly_consumption_kwh]]*Table1[[#This Row],[NETTO_procurement_cost_ct_per_kwh]]/100</f>
        <v>48.945600000000006</v>
      </c>
      <c r="K10" s="21">
        <f>Table1[[#This Row],[NETTO_monthly_revenue(€)]]-Table1[[#This Row],[procurement_cost_(€)]]</f>
        <v>19.810702521008402</v>
      </c>
      <c r="L10" s="21">
        <f t="shared" si="2"/>
        <v>9.6168458839846611</v>
      </c>
      <c r="M10" s="21" t="str">
        <f t="shared" si="0"/>
        <v>08.03.2025</v>
      </c>
      <c r="N10" s="21">
        <f t="shared" si="1"/>
        <v>68.756302521008408</v>
      </c>
    </row>
    <row r="11" spans="1:14">
      <c r="A11" s="9" t="s">
        <v>58</v>
      </c>
      <c r="B11" s="8">
        <v>24</v>
      </c>
      <c r="C11" s="8" t="s">
        <v>39</v>
      </c>
      <c r="D11" s="8" t="s">
        <v>36</v>
      </c>
      <c r="E11" s="8" t="s">
        <v>59</v>
      </c>
      <c r="F11" s="8">
        <v>128</v>
      </c>
      <c r="G11" s="8">
        <v>56.66</v>
      </c>
      <c r="H11" s="10">
        <v>30.44</v>
      </c>
      <c r="I11" s="21">
        <f>Table1[[#This Row],[BRUTTO_monthly_bill_eur]]/1.19</f>
        <v>47.613445378151262</v>
      </c>
      <c r="J11" s="21">
        <f>Table1[[#This Row],[monthly_consumption_kwh]]*Table1[[#This Row],[NETTO_procurement_cost_ct_per_kwh]]/100</f>
        <v>38.963200000000001</v>
      </c>
      <c r="K11" s="21">
        <f>Table1[[#This Row],[NETTO_monthly_revenue(€)]]-Table1[[#This Row],[procurement_cost_(€)]]</f>
        <v>8.6502453781512614</v>
      </c>
      <c r="L11" s="21">
        <f t="shared" si="2"/>
        <v>6.7580042016806727</v>
      </c>
      <c r="M11" s="21" t="str">
        <f t="shared" si="0"/>
        <v>02.02.2024</v>
      </c>
      <c r="N11" s="21">
        <f t="shared" si="1"/>
        <v>47.613445378151262</v>
      </c>
    </row>
    <row r="12" spans="1:14">
      <c r="A12" s="9" t="s">
        <v>60</v>
      </c>
      <c r="B12" s="8">
        <v>12</v>
      </c>
      <c r="C12" s="8" t="s">
        <v>51</v>
      </c>
      <c r="D12" s="8" t="s">
        <v>46</v>
      </c>
      <c r="E12" s="8" t="s">
        <v>61</v>
      </c>
      <c r="F12" s="8">
        <v>627</v>
      </c>
      <c r="G12" s="8">
        <v>193.85</v>
      </c>
      <c r="H12" s="10">
        <v>17.3</v>
      </c>
      <c r="I12" s="21">
        <f>Table1[[#This Row],[BRUTTO_monthly_bill_eur]]/1.19</f>
        <v>162.89915966386556</v>
      </c>
      <c r="J12" s="21">
        <f>Table1[[#This Row],[monthly_consumption_kwh]]*Table1[[#This Row],[NETTO_procurement_cost_ct_per_kwh]]/100</f>
        <v>108.471</v>
      </c>
      <c r="K12" s="21">
        <f>Table1[[#This Row],[NETTO_monthly_revenue(€)]]-Table1[[#This Row],[procurement_cost_(€)]]</f>
        <v>54.428159663865557</v>
      </c>
      <c r="L12" s="21">
        <f t="shared" si="2"/>
        <v>8.6807272191173137</v>
      </c>
      <c r="M12" s="21" t="str">
        <f t="shared" si="0"/>
        <v>31.01.2024</v>
      </c>
      <c r="N12" s="21">
        <f t="shared" si="1"/>
        <v>162.89915966386556</v>
      </c>
    </row>
    <row r="13" spans="1:14">
      <c r="A13" s="9" t="s">
        <v>62</v>
      </c>
      <c r="B13" s="8">
        <v>24</v>
      </c>
      <c r="C13" s="8" t="s">
        <v>51</v>
      </c>
      <c r="D13" s="8" t="s">
        <v>36</v>
      </c>
      <c r="E13" s="8" t="s">
        <v>63</v>
      </c>
      <c r="F13" s="8">
        <v>550</v>
      </c>
      <c r="G13" s="8">
        <v>185.06</v>
      </c>
      <c r="H13" s="10">
        <v>19.87</v>
      </c>
      <c r="I13" s="21">
        <f>Table1[[#This Row],[BRUTTO_monthly_bill_eur]]/1.19</f>
        <v>155.51260504201682</v>
      </c>
      <c r="J13" s="21">
        <f>Table1[[#This Row],[monthly_consumption_kwh]]*Table1[[#This Row],[NETTO_procurement_cost_ct_per_kwh]]/100</f>
        <v>109.285</v>
      </c>
      <c r="K13" s="21">
        <f>Table1[[#This Row],[NETTO_monthly_revenue(€)]]-Table1[[#This Row],[procurement_cost_(€)]]</f>
        <v>46.227605042016819</v>
      </c>
      <c r="L13" s="21">
        <f t="shared" si="2"/>
        <v>8.4050190985485127</v>
      </c>
      <c r="M13" s="21" t="str">
        <f t="shared" si="0"/>
        <v>05.04.2024</v>
      </c>
      <c r="N13" s="21">
        <f t="shared" si="1"/>
        <v>155.51260504201682</v>
      </c>
    </row>
    <row r="14" spans="1:14">
      <c r="A14" s="9" t="s">
        <v>64</v>
      </c>
      <c r="B14" s="8">
        <v>24</v>
      </c>
      <c r="C14" s="8" t="s">
        <v>39</v>
      </c>
      <c r="D14" s="8" t="s">
        <v>36</v>
      </c>
      <c r="E14" s="8" t="s">
        <v>65</v>
      </c>
      <c r="F14" s="8">
        <v>128</v>
      </c>
      <c r="G14" s="8">
        <v>55.34</v>
      </c>
      <c r="H14" s="10">
        <v>28.72</v>
      </c>
      <c r="I14" s="21">
        <f>Table1[[#This Row],[BRUTTO_monthly_bill_eur]]/1.19</f>
        <v>46.504201680672274</v>
      </c>
      <c r="J14" s="21">
        <f>Table1[[#This Row],[monthly_consumption_kwh]]*Table1[[#This Row],[NETTO_procurement_cost_ct_per_kwh]]/100</f>
        <v>36.761600000000001</v>
      </c>
      <c r="K14" s="21">
        <f>Table1[[#This Row],[NETTO_monthly_revenue(€)]]-Table1[[#This Row],[procurement_cost_(€)]]</f>
        <v>9.7426016806722728</v>
      </c>
      <c r="L14" s="21">
        <f t="shared" si="2"/>
        <v>7.6114075630252129</v>
      </c>
      <c r="M14" s="21" t="str">
        <f t="shared" si="0"/>
        <v>11.08.2024</v>
      </c>
      <c r="N14" s="21">
        <f t="shared" si="1"/>
        <v>46.504201680672274</v>
      </c>
    </row>
    <row r="15" spans="1:14">
      <c r="A15" s="9" t="s">
        <v>66</v>
      </c>
      <c r="B15" s="8">
        <v>12</v>
      </c>
      <c r="C15" s="8" t="s">
        <v>51</v>
      </c>
      <c r="D15" s="8" t="s">
        <v>36</v>
      </c>
      <c r="E15" s="8" t="s">
        <v>67</v>
      </c>
      <c r="F15" s="8">
        <v>441</v>
      </c>
      <c r="G15" s="8">
        <v>143.66999999999999</v>
      </c>
      <c r="H15" s="10">
        <v>19.97</v>
      </c>
      <c r="I15" s="21">
        <f>Table1[[#This Row],[BRUTTO_monthly_bill_eur]]/1.19</f>
        <v>120.73109243697479</v>
      </c>
      <c r="J15" s="21">
        <f>Table1[[#This Row],[monthly_consumption_kwh]]*Table1[[#This Row],[NETTO_procurement_cost_ct_per_kwh]]/100</f>
        <v>88.067699999999988</v>
      </c>
      <c r="K15" s="21">
        <f>Table1[[#This Row],[NETTO_monthly_revenue(€)]]-Table1[[#This Row],[procurement_cost_(€)]]</f>
        <v>32.663392436974803</v>
      </c>
      <c r="L15" s="21">
        <f t="shared" si="2"/>
        <v>7.4066649516949665</v>
      </c>
      <c r="M15" s="21" t="str">
        <f t="shared" si="0"/>
        <v>26.08.2024</v>
      </c>
      <c r="N15" s="21">
        <f t="shared" si="1"/>
        <v>120.73109243697479</v>
      </c>
    </row>
    <row r="16" spans="1:14">
      <c r="A16" s="9" t="s">
        <v>68</v>
      </c>
      <c r="B16" s="8">
        <v>12</v>
      </c>
      <c r="C16" s="8" t="s">
        <v>51</v>
      </c>
      <c r="D16" s="8" t="s">
        <v>36</v>
      </c>
      <c r="E16" s="8" t="s">
        <v>69</v>
      </c>
      <c r="F16" s="8">
        <v>444</v>
      </c>
      <c r="G16" s="8">
        <v>152.84</v>
      </c>
      <c r="H16" s="10">
        <v>17.649999999999999</v>
      </c>
      <c r="I16" s="21">
        <f>Table1[[#This Row],[BRUTTO_monthly_bill_eur]]/1.19</f>
        <v>128.43697478991598</v>
      </c>
      <c r="J16" s="21">
        <f>Table1[[#This Row],[monthly_consumption_kwh]]*Table1[[#This Row],[NETTO_procurement_cost_ct_per_kwh]]/100</f>
        <v>78.366</v>
      </c>
      <c r="K16" s="21">
        <f>Table1[[#This Row],[NETTO_monthly_revenue(€)]]-Table1[[#This Row],[procurement_cost_(€)]]</f>
        <v>50.070974789915979</v>
      </c>
      <c r="L16" s="21">
        <f t="shared" si="2"/>
        <v>11.277246574305401</v>
      </c>
      <c r="M16" s="21" t="str">
        <f t="shared" si="0"/>
        <v>01.06.2025</v>
      </c>
      <c r="N16" s="21">
        <f t="shared" si="1"/>
        <v>128.43697478991598</v>
      </c>
    </row>
    <row r="17" spans="1:14">
      <c r="A17" s="9" t="s">
        <v>70</v>
      </c>
      <c r="B17" s="8">
        <v>12</v>
      </c>
      <c r="C17" s="8" t="s">
        <v>35</v>
      </c>
      <c r="D17" s="8" t="s">
        <v>56</v>
      </c>
      <c r="E17" s="8" t="s">
        <v>71</v>
      </c>
      <c r="F17" s="8">
        <v>278</v>
      </c>
      <c r="G17" s="8">
        <v>104.25</v>
      </c>
      <c r="H17" s="10">
        <v>22.47</v>
      </c>
      <c r="I17" s="21">
        <f>Table1[[#This Row],[BRUTTO_monthly_bill_eur]]/1.19</f>
        <v>87.605042016806721</v>
      </c>
      <c r="J17" s="21">
        <f>Table1[[#This Row],[monthly_consumption_kwh]]*Table1[[#This Row],[NETTO_procurement_cost_ct_per_kwh]]/100</f>
        <v>62.4666</v>
      </c>
      <c r="K17" s="21">
        <f>Table1[[#This Row],[NETTO_monthly_revenue(€)]]-Table1[[#This Row],[procurement_cost_(€)]]</f>
        <v>25.138442016806721</v>
      </c>
      <c r="L17" s="21">
        <f t="shared" si="2"/>
        <v>9.042605042016806</v>
      </c>
      <c r="M17" s="21" t="str">
        <f t="shared" si="0"/>
        <v>28.01.2024</v>
      </c>
      <c r="N17" s="21">
        <f t="shared" si="1"/>
        <v>87.605042016806721</v>
      </c>
    </row>
    <row r="18" spans="1:14">
      <c r="A18" s="9" t="s">
        <v>72</v>
      </c>
      <c r="B18" s="8">
        <v>12</v>
      </c>
      <c r="C18" s="8" t="s">
        <v>35</v>
      </c>
      <c r="D18" s="8" t="s">
        <v>36</v>
      </c>
      <c r="E18" s="8" t="s">
        <v>73</v>
      </c>
      <c r="F18" s="8">
        <v>332</v>
      </c>
      <c r="G18" s="8">
        <v>129.06</v>
      </c>
      <c r="H18" s="10">
        <v>22.66</v>
      </c>
      <c r="I18" s="21">
        <f>Table1[[#This Row],[BRUTTO_monthly_bill_eur]]/1.19</f>
        <v>108.45378151260505</v>
      </c>
      <c r="J18" s="21">
        <f>Table1[[#This Row],[monthly_consumption_kwh]]*Table1[[#This Row],[NETTO_procurement_cost_ct_per_kwh]]/100</f>
        <v>75.231200000000001</v>
      </c>
      <c r="K18" s="21">
        <f>Table1[[#This Row],[NETTO_monthly_revenue(€)]]-Table1[[#This Row],[procurement_cost_(€)]]</f>
        <v>33.222581512605046</v>
      </c>
      <c r="L18" s="21">
        <f t="shared" si="2"/>
        <v>10.006801660423207</v>
      </c>
      <c r="M18" s="21" t="str">
        <f t="shared" si="0"/>
        <v>2024-07</v>
      </c>
      <c r="N18" s="21">
        <f t="shared" si="1"/>
        <v>108.45378151260505</v>
      </c>
    </row>
    <row r="19" spans="1:14">
      <c r="A19" s="9" t="s">
        <v>74</v>
      </c>
      <c r="B19" s="8">
        <v>12</v>
      </c>
      <c r="C19" s="8" t="s">
        <v>35</v>
      </c>
      <c r="D19" s="8" t="s">
        <v>36</v>
      </c>
      <c r="E19" s="8" t="s">
        <v>75</v>
      </c>
      <c r="F19" s="8">
        <v>277</v>
      </c>
      <c r="G19" s="8">
        <v>109.61</v>
      </c>
      <c r="H19" s="10">
        <v>22.01</v>
      </c>
      <c r="I19" s="21">
        <f>Table1[[#This Row],[BRUTTO_monthly_bill_eur]]/1.19</f>
        <v>92.109243697479002</v>
      </c>
      <c r="J19" s="21">
        <f>Table1[[#This Row],[monthly_consumption_kwh]]*Table1[[#This Row],[NETTO_procurement_cost_ct_per_kwh]]/100</f>
        <v>60.967700000000008</v>
      </c>
      <c r="K19" s="21">
        <f>Table1[[#This Row],[NETTO_monthly_revenue(€)]]-Table1[[#This Row],[procurement_cost_(€)]]</f>
        <v>31.141543697478994</v>
      </c>
      <c r="L19" s="21">
        <f t="shared" si="2"/>
        <v>11.242434547826353</v>
      </c>
      <c r="M19" s="21" t="str">
        <f t="shared" si="0"/>
        <v>05.03.2025</v>
      </c>
      <c r="N19" s="21">
        <f t="shared" si="1"/>
        <v>92.109243697479002</v>
      </c>
    </row>
    <row r="20" spans="1:14">
      <c r="A20" s="9" t="s">
        <v>76</v>
      </c>
      <c r="B20" s="8">
        <v>12</v>
      </c>
      <c r="C20" s="8" t="s">
        <v>39</v>
      </c>
      <c r="D20" s="8" t="s">
        <v>36</v>
      </c>
      <c r="E20" s="8" t="s">
        <v>77</v>
      </c>
      <c r="F20" s="8">
        <v>130</v>
      </c>
      <c r="G20" s="8">
        <v>58.4</v>
      </c>
      <c r="H20" s="10">
        <v>30.87</v>
      </c>
      <c r="I20" s="21">
        <f>Table1[[#This Row],[BRUTTO_monthly_bill_eur]]/1.19</f>
        <v>49.075630252100844</v>
      </c>
      <c r="J20" s="21">
        <f>Table1[[#This Row],[monthly_consumption_kwh]]*Table1[[#This Row],[NETTO_procurement_cost_ct_per_kwh]]/100</f>
        <v>40.131</v>
      </c>
      <c r="K20" s="21">
        <f>Table1[[#This Row],[NETTO_monthly_revenue(€)]]-Table1[[#This Row],[procurement_cost_(€)]]</f>
        <v>8.9446302521008434</v>
      </c>
      <c r="L20" s="21">
        <f t="shared" si="2"/>
        <v>6.8804848093083404</v>
      </c>
      <c r="M20" s="21" t="str">
        <f t="shared" si="0"/>
        <v>13.08.2024</v>
      </c>
      <c r="N20" s="21">
        <f t="shared" si="1"/>
        <v>49.075630252100844</v>
      </c>
    </row>
    <row r="21" spans="1:14">
      <c r="A21" s="9" t="s">
        <v>78</v>
      </c>
      <c r="B21" s="8">
        <v>12</v>
      </c>
      <c r="C21" s="8" t="s">
        <v>39</v>
      </c>
      <c r="D21" s="8" t="s">
        <v>36</v>
      </c>
      <c r="E21" s="8" t="s">
        <v>79</v>
      </c>
      <c r="F21" s="8">
        <v>144</v>
      </c>
      <c r="G21" s="8">
        <v>59.77</v>
      </c>
      <c r="H21" s="10">
        <v>30.93</v>
      </c>
      <c r="I21" s="21">
        <f>Table1[[#This Row],[BRUTTO_monthly_bill_eur]]/1.19</f>
        <v>50.226890756302524</v>
      </c>
      <c r="J21" s="21">
        <f>Table1[[#This Row],[monthly_consumption_kwh]]*Table1[[#This Row],[NETTO_procurement_cost_ct_per_kwh]]/100</f>
        <v>44.539200000000001</v>
      </c>
      <c r="K21" s="21">
        <f>Table1[[#This Row],[NETTO_monthly_revenue(€)]]-Table1[[#This Row],[procurement_cost_(€)]]</f>
        <v>5.6876907563025227</v>
      </c>
      <c r="L21" s="21">
        <f t="shared" si="2"/>
        <v>3.9497852474323074</v>
      </c>
      <c r="M21" s="21" t="str">
        <f t="shared" si="0"/>
        <v>04.04.2025</v>
      </c>
      <c r="N21" s="21">
        <f t="shared" si="1"/>
        <v>50.226890756302524</v>
      </c>
    </row>
    <row r="22" spans="1:14">
      <c r="A22" s="9" t="s">
        <v>80</v>
      </c>
      <c r="B22" s="8">
        <v>24</v>
      </c>
      <c r="C22" s="8" t="s">
        <v>51</v>
      </c>
      <c r="D22" s="8" t="s">
        <v>36</v>
      </c>
      <c r="E22" s="8" t="s">
        <v>81</v>
      </c>
      <c r="F22" s="8">
        <v>488</v>
      </c>
      <c r="G22" s="8">
        <v>163.32</v>
      </c>
      <c r="H22" s="10">
        <v>19.07</v>
      </c>
      <c r="I22" s="21">
        <f>Table1[[#This Row],[BRUTTO_monthly_bill_eur]]/1.19</f>
        <v>137.24369747899161</v>
      </c>
      <c r="J22" s="21">
        <f>Table1[[#This Row],[monthly_consumption_kwh]]*Table1[[#This Row],[NETTO_procurement_cost_ct_per_kwh]]/100</f>
        <v>93.061599999999999</v>
      </c>
      <c r="K22" s="21">
        <f>Table1[[#This Row],[NETTO_monthly_revenue(€)]]-Table1[[#This Row],[procurement_cost_(€)]]</f>
        <v>44.182097478991608</v>
      </c>
      <c r="L22" s="21">
        <f t="shared" si="2"/>
        <v>9.0537084997933626</v>
      </c>
      <c r="M22" s="21" t="str">
        <f t="shared" si="0"/>
        <v>11.10.2024</v>
      </c>
      <c r="N22" s="21">
        <f t="shared" si="1"/>
        <v>137.24369747899161</v>
      </c>
    </row>
    <row r="23" spans="1:14">
      <c r="A23" s="9" t="s">
        <v>82</v>
      </c>
      <c r="B23" s="8">
        <v>12</v>
      </c>
      <c r="C23" s="8" t="s">
        <v>39</v>
      </c>
      <c r="D23" s="8" t="s">
        <v>36</v>
      </c>
      <c r="E23" s="8" t="s">
        <v>83</v>
      </c>
      <c r="F23" s="8">
        <v>88</v>
      </c>
      <c r="G23" s="8">
        <v>41.01</v>
      </c>
      <c r="H23" s="10">
        <v>28.65</v>
      </c>
      <c r="I23" s="21">
        <f>Table1[[#This Row],[BRUTTO_monthly_bill_eur]]/1.19</f>
        <v>34.462184873949582</v>
      </c>
      <c r="J23" s="21">
        <f>Table1[[#This Row],[monthly_consumption_kwh]]*Table1[[#This Row],[NETTO_procurement_cost_ct_per_kwh]]/100</f>
        <v>25.212</v>
      </c>
      <c r="K23" s="21">
        <f>Table1[[#This Row],[NETTO_monthly_revenue(€)]]-Table1[[#This Row],[procurement_cost_(€)]]</f>
        <v>9.250184873949582</v>
      </c>
      <c r="L23" s="21">
        <f t="shared" si="2"/>
        <v>10.511573720397251</v>
      </c>
      <c r="M23" s="21" t="str">
        <f t="shared" si="0"/>
        <v>07.01.2024</v>
      </c>
      <c r="N23" s="21">
        <f t="shared" si="1"/>
        <v>34.462184873949582</v>
      </c>
    </row>
    <row r="24" spans="1:14">
      <c r="A24" s="9" t="s">
        <v>84</v>
      </c>
      <c r="B24" s="8">
        <v>12</v>
      </c>
      <c r="C24" s="8" t="s">
        <v>39</v>
      </c>
      <c r="D24" s="8" t="s">
        <v>46</v>
      </c>
      <c r="E24" s="8" t="s">
        <v>85</v>
      </c>
      <c r="F24" s="8">
        <v>130</v>
      </c>
      <c r="G24" s="8">
        <v>57.83</v>
      </c>
      <c r="H24" s="10">
        <v>30.33</v>
      </c>
      <c r="I24" s="21">
        <f>Table1[[#This Row],[BRUTTO_monthly_bill_eur]]/1.19</f>
        <v>48.596638655462186</v>
      </c>
      <c r="J24" s="21">
        <f>Table1[[#This Row],[monthly_consumption_kwh]]*Table1[[#This Row],[NETTO_procurement_cost_ct_per_kwh]]/100</f>
        <v>39.428999999999995</v>
      </c>
      <c r="K24" s="21">
        <f>Table1[[#This Row],[NETTO_monthly_revenue(€)]]-Table1[[#This Row],[procurement_cost_(€)]]</f>
        <v>9.1676386554621914</v>
      </c>
      <c r="L24" s="21">
        <f t="shared" si="2"/>
        <v>7.0520297349709162</v>
      </c>
      <c r="M24" s="21" t="str">
        <f t="shared" si="0"/>
        <v>12.06.2024</v>
      </c>
      <c r="N24" s="21">
        <f t="shared" si="1"/>
        <v>48.596638655462186</v>
      </c>
    </row>
    <row r="25" spans="1:14">
      <c r="A25" s="9" t="s">
        <v>86</v>
      </c>
      <c r="B25" s="8">
        <v>12</v>
      </c>
      <c r="C25" s="8" t="s">
        <v>35</v>
      </c>
      <c r="D25" s="8" t="s">
        <v>36</v>
      </c>
      <c r="E25" s="8" t="s">
        <v>57</v>
      </c>
      <c r="F25" s="8">
        <v>326</v>
      </c>
      <c r="G25" s="8">
        <v>123.81</v>
      </c>
      <c r="H25" s="10">
        <v>22.08</v>
      </c>
      <c r="I25" s="21">
        <f>Table1[[#This Row],[BRUTTO_monthly_bill_eur]]/1.19</f>
        <v>104.0420168067227</v>
      </c>
      <c r="J25" s="21">
        <f>Table1[[#This Row],[monthly_consumption_kwh]]*Table1[[#This Row],[NETTO_procurement_cost_ct_per_kwh]]/100</f>
        <v>71.980799999999988</v>
      </c>
      <c r="K25" s="21">
        <f>Table1[[#This Row],[NETTO_monthly_revenue(€)]]-Table1[[#This Row],[procurement_cost_(€)]]</f>
        <v>32.061216806722712</v>
      </c>
      <c r="L25" s="21">
        <f t="shared" si="2"/>
        <v>9.8347290818167821</v>
      </c>
      <c r="M25" s="21" t="str">
        <f t="shared" si="0"/>
        <v>08.03.2025</v>
      </c>
      <c r="N25" s="21">
        <f t="shared" si="1"/>
        <v>104.0420168067227</v>
      </c>
    </row>
    <row r="26" spans="1:14">
      <c r="A26" s="9" t="s">
        <v>87</v>
      </c>
      <c r="B26" s="8">
        <v>12</v>
      </c>
      <c r="C26" s="8" t="s">
        <v>35</v>
      </c>
      <c r="D26" s="8" t="s">
        <v>36</v>
      </c>
      <c r="E26" s="8" t="s">
        <v>88</v>
      </c>
      <c r="F26" s="8">
        <v>196</v>
      </c>
      <c r="G26" s="8">
        <v>78.67</v>
      </c>
      <c r="H26" s="10">
        <v>22.66</v>
      </c>
      <c r="I26" s="21">
        <f>Table1[[#This Row],[BRUTTO_monthly_bill_eur]]/1.19</f>
        <v>66.109243697479002</v>
      </c>
      <c r="J26" s="21">
        <f>Table1[[#This Row],[monthly_consumption_kwh]]*Table1[[#This Row],[NETTO_procurement_cost_ct_per_kwh]]/100</f>
        <v>44.413599999999995</v>
      </c>
      <c r="K26" s="21">
        <f>Table1[[#This Row],[NETTO_monthly_revenue(€)]]-Table1[[#This Row],[procurement_cost_(€)]]</f>
        <v>21.695643697479007</v>
      </c>
      <c r="L26" s="21">
        <f t="shared" si="2"/>
        <v>11.069205968101533</v>
      </c>
      <c r="M26" s="21" t="str">
        <f t="shared" si="0"/>
        <v>14.12.2024</v>
      </c>
      <c r="N26" s="21">
        <f t="shared" si="1"/>
        <v>66.109243697479002</v>
      </c>
    </row>
    <row r="27" spans="1:14">
      <c r="A27" s="9" t="s">
        <v>89</v>
      </c>
      <c r="B27" s="8">
        <v>24</v>
      </c>
      <c r="C27" s="8" t="s">
        <v>51</v>
      </c>
      <c r="D27" s="8" t="s">
        <v>56</v>
      </c>
      <c r="E27" s="8" t="s">
        <v>81</v>
      </c>
      <c r="F27" s="8">
        <v>564</v>
      </c>
      <c r="G27" s="8">
        <v>194.49</v>
      </c>
      <c r="H27" s="10">
        <v>20.95</v>
      </c>
      <c r="I27" s="21">
        <f>Table1[[#This Row],[BRUTTO_monthly_bill_eur]]/1.19</f>
        <v>163.43697478991598</v>
      </c>
      <c r="J27" s="21">
        <f>Table1[[#This Row],[monthly_consumption_kwh]]*Table1[[#This Row],[NETTO_procurement_cost_ct_per_kwh]]/100</f>
        <v>118.15799999999999</v>
      </c>
      <c r="K27" s="21">
        <f>Table1[[#This Row],[NETTO_monthly_revenue(€)]]-Table1[[#This Row],[procurement_cost_(€)]]</f>
        <v>45.278974789915992</v>
      </c>
      <c r="L27" s="21">
        <f t="shared" si="2"/>
        <v>8.0281870194886515</v>
      </c>
      <c r="M27" s="21" t="str">
        <f t="shared" si="0"/>
        <v>11.10.2024</v>
      </c>
      <c r="N27" s="21">
        <f t="shared" si="1"/>
        <v>163.43697478991598</v>
      </c>
    </row>
    <row r="28" spans="1:14">
      <c r="A28" s="9" t="s">
        <v>90</v>
      </c>
      <c r="B28" s="8">
        <v>12</v>
      </c>
      <c r="C28" s="8" t="s">
        <v>39</v>
      </c>
      <c r="D28" s="8" t="s">
        <v>36</v>
      </c>
      <c r="E28" s="8" t="s">
        <v>91</v>
      </c>
      <c r="F28" s="8">
        <v>100</v>
      </c>
      <c r="G28" s="8">
        <v>47.51</v>
      </c>
      <c r="H28" s="10">
        <v>30.97</v>
      </c>
      <c r="I28" s="21">
        <f>Table1[[#This Row],[BRUTTO_monthly_bill_eur]]/1.19</f>
        <v>39.924369747899156</v>
      </c>
      <c r="J28" s="21">
        <f>Table1[[#This Row],[monthly_consumption_kwh]]*Table1[[#This Row],[NETTO_procurement_cost_ct_per_kwh]]/100</f>
        <v>30.97</v>
      </c>
      <c r="K28" s="21">
        <f>Table1[[#This Row],[NETTO_monthly_revenue(€)]]-Table1[[#This Row],[procurement_cost_(€)]]</f>
        <v>8.9543697478991575</v>
      </c>
      <c r="L28" s="21">
        <f t="shared" si="2"/>
        <v>8.9543697478991575</v>
      </c>
      <c r="M28" s="21" t="str">
        <f t="shared" si="0"/>
        <v>08.06.2024</v>
      </c>
      <c r="N28" s="21">
        <f t="shared" si="1"/>
        <v>39.924369747899156</v>
      </c>
    </row>
    <row r="29" spans="1:14">
      <c r="A29" s="9" t="s">
        <v>92</v>
      </c>
      <c r="B29" s="8">
        <v>12</v>
      </c>
      <c r="C29" s="8" t="s">
        <v>39</v>
      </c>
      <c r="D29" s="8" t="s">
        <v>56</v>
      </c>
      <c r="E29" s="8" t="s">
        <v>93</v>
      </c>
      <c r="F29" s="8">
        <v>128</v>
      </c>
      <c r="G29" s="8">
        <v>53.68</v>
      </c>
      <c r="H29" s="10">
        <v>29.42</v>
      </c>
      <c r="I29" s="21">
        <f>Table1[[#This Row],[BRUTTO_monthly_bill_eur]]/1.19</f>
        <v>45.109243697478995</v>
      </c>
      <c r="J29" s="21">
        <f>Table1[[#This Row],[monthly_consumption_kwh]]*Table1[[#This Row],[NETTO_procurement_cost_ct_per_kwh]]/100</f>
        <v>37.657600000000002</v>
      </c>
      <c r="K29" s="21">
        <f>Table1[[#This Row],[NETTO_monthly_revenue(€)]]-Table1[[#This Row],[procurement_cost_(€)]]</f>
        <v>7.4516436974789926</v>
      </c>
      <c r="L29" s="21">
        <f t="shared" si="2"/>
        <v>5.8215966386554632</v>
      </c>
      <c r="M29" s="21" t="str">
        <f t="shared" si="0"/>
        <v>08.08.2024</v>
      </c>
      <c r="N29" s="21">
        <f t="shared" si="1"/>
        <v>45.109243697478995</v>
      </c>
    </row>
    <row r="30" spans="1:14">
      <c r="A30" s="9" t="s">
        <v>94</v>
      </c>
      <c r="B30" s="8">
        <v>24</v>
      </c>
      <c r="C30" s="8" t="s">
        <v>35</v>
      </c>
      <c r="D30" s="8" t="s">
        <v>36</v>
      </c>
      <c r="E30" s="8" t="s">
        <v>95</v>
      </c>
      <c r="F30" s="8">
        <v>183</v>
      </c>
      <c r="G30" s="8">
        <v>74.61</v>
      </c>
      <c r="H30" s="10">
        <v>22.42</v>
      </c>
      <c r="I30" s="21">
        <f>Table1[[#This Row],[BRUTTO_monthly_bill_eur]]/1.19</f>
        <v>62.69747899159664</v>
      </c>
      <c r="J30" s="21">
        <f>Table1[[#This Row],[monthly_consumption_kwh]]*Table1[[#This Row],[NETTO_procurement_cost_ct_per_kwh]]/100</f>
        <v>41.028600000000004</v>
      </c>
      <c r="K30" s="21">
        <f>Table1[[#This Row],[NETTO_monthly_revenue(€)]]-Table1[[#This Row],[procurement_cost_(€)]]</f>
        <v>21.668878991596635</v>
      </c>
      <c r="L30" s="21">
        <f t="shared" si="2"/>
        <v>11.840917481746795</v>
      </c>
      <c r="M30" s="21" t="str">
        <f t="shared" si="0"/>
        <v>10.12.2024</v>
      </c>
      <c r="N30" s="21">
        <f t="shared" si="1"/>
        <v>62.69747899159664</v>
      </c>
    </row>
    <row r="31" spans="1:14">
      <c r="A31" s="9" t="s">
        <v>96</v>
      </c>
      <c r="B31" s="8">
        <v>12</v>
      </c>
      <c r="C31" s="8" t="s">
        <v>35</v>
      </c>
      <c r="D31" s="8" t="s">
        <v>56</v>
      </c>
      <c r="E31" s="8" t="s">
        <v>52</v>
      </c>
      <c r="F31" s="8">
        <v>242</v>
      </c>
      <c r="G31" s="8">
        <v>91.27</v>
      </c>
      <c r="H31" s="10">
        <v>22.89</v>
      </c>
      <c r="I31" s="21">
        <f>Table1[[#This Row],[BRUTTO_monthly_bill_eur]]/1.19</f>
        <v>76.69747899159664</v>
      </c>
      <c r="J31" s="21">
        <f>Table1[[#This Row],[monthly_consumption_kwh]]*Table1[[#This Row],[NETTO_procurement_cost_ct_per_kwh]]/100</f>
        <v>55.393799999999999</v>
      </c>
      <c r="K31" s="21">
        <f>Table1[[#This Row],[NETTO_monthly_revenue(€)]]-Table1[[#This Row],[procurement_cost_(€)]]</f>
        <v>21.303678991596641</v>
      </c>
      <c r="L31" s="21">
        <f t="shared" si="2"/>
        <v>8.8031731370234052</v>
      </c>
      <c r="M31" s="21" t="str">
        <f t="shared" si="0"/>
        <v>14.04.2024</v>
      </c>
      <c r="N31" s="21">
        <f t="shared" si="1"/>
        <v>76.69747899159664</v>
      </c>
    </row>
    <row r="32" spans="1:14">
      <c r="A32" s="9" t="s">
        <v>97</v>
      </c>
      <c r="B32" s="8">
        <v>24</v>
      </c>
      <c r="C32" s="8" t="s">
        <v>39</v>
      </c>
      <c r="D32" s="8" t="s">
        <v>46</v>
      </c>
      <c r="E32" s="8" t="s">
        <v>98</v>
      </c>
      <c r="F32" s="8">
        <v>146</v>
      </c>
      <c r="G32" s="8">
        <v>65.63</v>
      </c>
      <c r="H32" s="10">
        <v>30.08</v>
      </c>
      <c r="I32" s="21">
        <f>Table1[[#This Row],[BRUTTO_monthly_bill_eur]]/1.19</f>
        <v>55.15126050420168</v>
      </c>
      <c r="J32" s="21">
        <f>Table1[[#This Row],[monthly_consumption_kwh]]*Table1[[#This Row],[NETTO_procurement_cost_ct_per_kwh]]/100</f>
        <v>43.916799999999995</v>
      </c>
      <c r="K32" s="21">
        <f>Table1[[#This Row],[NETTO_monthly_revenue(€)]]-Table1[[#This Row],[procurement_cost_(€)]]</f>
        <v>11.234460504201685</v>
      </c>
      <c r="L32" s="21">
        <f t="shared" si="2"/>
        <v>7.6948359617819762</v>
      </c>
      <c r="M32" s="21" t="str">
        <f t="shared" si="0"/>
        <v>04.04.2024</v>
      </c>
      <c r="N32" s="21">
        <f t="shared" si="1"/>
        <v>55.15126050420168</v>
      </c>
    </row>
    <row r="33" spans="1:14">
      <c r="A33" s="9" t="s">
        <v>99</v>
      </c>
      <c r="B33" s="8">
        <v>12</v>
      </c>
      <c r="C33" s="8" t="s">
        <v>35</v>
      </c>
      <c r="D33" s="8" t="s">
        <v>56</v>
      </c>
      <c r="E33" s="8" t="s">
        <v>100</v>
      </c>
      <c r="F33" s="8">
        <v>225</v>
      </c>
      <c r="G33" s="8">
        <v>86.07</v>
      </c>
      <c r="H33" s="10">
        <v>24.43</v>
      </c>
      <c r="I33" s="21">
        <f>Table1[[#This Row],[BRUTTO_monthly_bill_eur]]/1.19</f>
        <v>72.327731092436977</v>
      </c>
      <c r="J33" s="21">
        <f>Table1[[#This Row],[monthly_consumption_kwh]]*Table1[[#This Row],[NETTO_procurement_cost_ct_per_kwh]]/100</f>
        <v>54.967500000000001</v>
      </c>
      <c r="K33" s="21">
        <f>Table1[[#This Row],[NETTO_monthly_revenue(€)]]-Table1[[#This Row],[procurement_cost_(€)]]</f>
        <v>17.360231092436976</v>
      </c>
      <c r="L33" s="21">
        <f t="shared" si="2"/>
        <v>7.7156582633053219</v>
      </c>
      <c r="M33" s="21" t="str">
        <f t="shared" si="0"/>
        <v>24.01.2025</v>
      </c>
      <c r="N33" s="21">
        <f t="shared" si="1"/>
        <v>72.327731092436977</v>
      </c>
    </row>
    <row r="34" spans="1:14">
      <c r="A34" s="9" t="s">
        <v>101</v>
      </c>
      <c r="B34" s="8">
        <v>12</v>
      </c>
      <c r="C34" s="8" t="s">
        <v>39</v>
      </c>
      <c r="D34" s="8" t="s">
        <v>56</v>
      </c>
      <c r="E34" s="8" t="s">
        <v>102</v>
      </c>
      <c r="F34" s="8">
        <v>139</v>
      </c>
      <c r="G34" s="8">
        <v>59.27</v>
      </c>
      <c r="H34" s="10">
        <v>28.98</v>
      </c>
      <c r="I34" s="21">
        <f>Table1[[#This Row],[BRUTTO_monthly_bill_eur]]/1.19</f>
        <v>49.806722689075634</v>
      </c>
      <c r="J34" s="21">
        <f>Table1[[#This Row],[monthly_consumption_kwh]]*Table1[[#This Row],[NETTO_procurement_cost_ct_per_kwh]]/100</f>
        <v>40.282200000000003</v>
      </c>
      <c r="K34" s="21">
        <f>Table1[[#This Row],[NETTO_monthly_revenue(€)]]-Table1[[#This Row],[procurement_cost_(€)]]</f>
        <v>9.5245226890756314</v>
      </c>
      <c r="L34" s="21">
        <f t="shared" si="2"/>
        <v>6.8521745964572887</v>
      </c>
      <c r="M34" s="21" t="str">
        <f t="shared" si="0"/>
        <v>09.04.2024</v>
      </c>
      <c r="N34" s="21">
        <f t="shared" si="1"/>
        <v>49.806722689075634</v>
      </c>
    </row>
    <row r="35" spans="1:14">
      <c r="A35" s="9" t="s">
        <v>103</v>
      </c>
      <c r="B35" s="8">
        <v>24</v>
      </c>
      <c r="C35" s="8" t="s">
        <v>39</v>
      </c>
      <c r="D35" s="8" t="s">
        <v>36</v>
      </c>
      <c r="E35" s="8" t="s">
        <v>104</v>
      </c>
      <c r="F35" s="8">
        <v>150</v>
      </c>
      <c r="G35" s="8">
        <v>65.48</v>
      </c>
      <c r="H35" s="10">
        <v>28.23</v>
      </c>
      <c r="I35" s="21">
        <f>Table1[[#This Row],[BRUTTO_monthly_bill_eur]]/1.19</f>
        <v>55.025210084033617</v>
      </c>
      <c r="J35" s="21">
        <f>Table1[[#This Row],[monthly_consumption_kwh]]*Table1[[#This Row],[NETTO_procurement_cost_ct_per_kwh]]/100</f>
        <v>42.344999999999999</v>
      </c>
      <c r="K35" s="21">
        <f>Table1[[#This Row],[NETTO_monthly_revenue(€)]]-Table1[[#This Row],[procurement_cost_(€)]]</f>
        <v>12.680210084033618</v>
      </c>
      <c r="L35" s="21">
        <f t="shared" si="2"/>
        <v>8.4534733893557448</v>
      </c>
      <c r="M35" s="21" t="str">
        <f t="shared" si="0"/>
        <v>02.01.2025</v>
      </c>
      <c r="N35" s="21">
        <f t="shared" si="1"/>
        <v>55.025210084033617</v>
      </c>
    </row>
    <row r="36" spans="1:14">
      <c r="A36" s="9" t="s">
        <v>105</v>
      </c>
      <c r="B36" s="8">
        <v>24</v>
      </c>
      <c r="C36" s="8" t="s">
        <v>35</v>
      </c>
      <c r="D36" s="8" t="s">
        <v>56</v>
      </c>
      <c r="E36" s="8" t="s">
        <v>106</v>
      </c>
      <c r="F36" s="8">
        <v>321</v>
      </c>
      <c r="G36" s="8">
        <v>117.03</v>
      </c>
      <c r="H36" s="10">
        <v>23.56</v>
      </c>
      <c r="I36" s="21">
        <f>Table1[[#This Row],[BRUTTO_monthly_bill_eur]]/1.19</f>
        <v>98.34453781512606</v>
      </c>
      <c r="J36" s="21">
        <f>Table1[[#This Row],[monthly_consumption_kwh]]*Table1[[#This Row],[NETTO_procurement_cost_ct_per_kwh]]/100</f>
        <v>75.627599999999987</v>
      </c>
      <c r="K36" s="21">
        <f>Table1[[#This Row],[NETTO_monthly_revenue(€)]]-Table1[[#This Row],[procurement_cost_(€)]]</f>
        <v>22.716937815126073</v>
      </c>
      <c r="L36" s="21">
        <f t="shared" si="2"/>
        <v>7.0769276682635747</v>
      </c>
      <c r="M36" s="21" t="str">
        <f t="shared" si="0"/>
        <v>18.12.2024</v>
      </c>
      <c r="N36" s="21">
        <f t="shared" si="1"/>
        <v>98.34453781512606</v>
      </c>
    </row>
    <row r="37" spans="1:14">
      <c r="A37" s="9" t="s">
        <v>107</v>
      </c>
      <c r="B37" s="8">
        <v>24</v>
      </c>
      <c r="C37" s="8" t="s">
        <v>35</v>
      </c>
      <c r="D37" s="8" t="s">
        <v>36</v>
      </c>
      <c r="E37" s="8" t="s">
        <v>108</v>
      </c>
      <c r="F37" s="8">
        <v>206</v>
      </c>
      <c r="G37" s="8">
        <v>83.4</v>
      </c>
      <c r="H37" s="10">
        <v>22.94</v>
      </c>
      <c r="I37" s="21">
        <f>Table1[[#This Row],[BRUTTO_monthly_bill_eur]]/1.19</f>
        <v>70.084033613445385</v>
      </c>
      <c r="J37" s="21">
        <f>Table1[[#This Row],[monthly_consumption_kwh]]*Table1[[#This Row],[NETTO_procurement_cost_ct_per_kwh]]/100</f>
        <v>47.256400000000006</v>
      </c>
      <c r="K37" s="21">
        <f>Table1[[#This Row],[NETTO_monthly_revenue(€)]]-Table1[[#This Row],[procurement_cost_(€)]]</f>
        <v>22.827633613445379</v>
      </c>
      <c r="L37" s="21">
        <f t="shared" si="2"/>
        <v>11.081375540507466</v>
      </c>
      <c r="M37" s="21" t="str">
        <f t="shared" si="0"/>
        <v>27.09.2024</v>
      </c>
      <c r="N37" s="21">
        <f t="shared" si="1"/>
        <v>70.084033613445385</v>
      </c>
    </row>
    <row r="38" spans="1:14">
      <c r="A38" s="9" t="s">
        <v>109</v>
      </c>
      <c r="B38" s="8">
        <v>12</v>
      </c>
      <c r="C38" s="8" t="s">
        <v>51</v>
      </c>
      <c r="D38" s="8" t="s">
        <v>36</v>
      </c>
      <c r="E38" s="8" t="s">
        <v>110</v>
      </c>
      <c r="F38" s="8">
        <v>466</v>
      </c>
      <c r="G38" s="8">
        <v>163.56</v>
      </c>
      <c r="H38" s="10">
        <v>17.600000000000001</v>
      </c>
      <c r="I38" s="21">
        <f>Table1[[#This Row],[BRUTTO_monthly_bill_eur]]/1.19</f>
        <v>137.44537815126051</v>
      </c>
      <c r="J38" s="21">
        <f>Table1[[#This Row],[monthly_consumption_kwh]]*Table1[[#This Row],[NETTO_procurement_cost_ct_per_kwh]]/100</f>
        <v>82.016000000000005</v>
      </c>
      <c r="K38" s="21">
        <f>Table1[[#This Row],[NETTO_monthly_revenue(€)]]-Table1[[#This Row],[procurement_cost_(€)]]</f>
        <v>55.429378151260508</v>
      </c>
      <c r="L38" s="21">
        <f t="shared" si="2"/>
        <v>11.894716341472213</v>
      </c>
      <c r="M38" s="21" t="str">
        <f t="shared" si="0"/>
        <v>14.02.2024</v>
      </c>
      <c r="N38" s="21">
        <f t="shared" si="1"/>
        <v>137.44537815126051</v>
      </c>
    </row>
    <row r="39" spans="1:14">
      <c r="A39" s="9" t="s">
        <v>111</v>
      </c>
      <c r="B39" s="8">
        <v>12</v>
      </c>
      <c r="C39" s="8" t="s">
        <v>35</v>
      </c>
      <c r="D39" s="8" t="s">
        <v>36</v>
      </c>
      <c r="E39" s="8" t="s">
        <v>112</v>
      </c>
      <c r="F39" s="8">
        <v>192</v>
      </c>
      <c r="G39" s="8">
        <v>77.569999999999993</v>
      </c>
      <c r="H39" s="10">
        <v>25.84</v>
      </c>
      <c r="I39" s="21">
        <f>Table1[[#This Row],[BRUTTO_monthly_bill_eur]]/1.19</f>
        <v>65.184873949579824</v>
      </c>
      <c r="J39" s="21">
        <f>Table1[[#This Row],[monthly_consumption_kwh]]*Table1[[#This Row],[NETTO_procurement_cost_ct_per_kwh]]/100</f>
        <v>49.6128</v>
      </c>
      <c r="K39" s="21">
        <f>Table1[[#This Row],[NETTO_monthly_revenue(€)]]-Table1[[#This Row],[procurement_cost_(€)]]</f>
        <v>15.572073949579824</v>
      </c>
      <c r="L39" s="21">
        <f t="shared" si="2"/>
        <v>8.1104551820728243</v>
      </c>
      <c r="M39" s="21" t="str">
        <f t="shared" si="0"/>
        <v>15.04.2025</v>
      </c>
      <c r="N39" s="21">
        <f t="shared" si="1"/>
        <v>65.184873949579824</v>
      </c>
    </row>
    <row r="40" spans="1:14">
      <c r="A40" s="9" t="s">
        <v>113</v>
      </c>
      <c r="B40" s="8">
        <v>24</v>
      </c>
      <c r="C40" s="8" t="s">
        <v>35</v>
      </c>
      <c r="D40" s="8" t="s">
        <v>36</v>
      </c>
      <c r="E40" s="8" t="s">
        <v>114</v>
      </c>
      <c r="F40" s="8">
        <v>332</v>
      </c>
      <c r="G40" s="8">
        <v>124.14</v>
      </c>
      <c r="H40" s="10">
        <v>24.47</v>
      </c>
      <c r="I40" s="21">
        <f>Table1[[#This Row],[BRUTTO_monthly_bill_eur]]/1.19</f>
        <v>104.31932773109244</v>
      </c>
      <c r="J40" s="21">
        <f>Table1[[#This Row],[monthly_consumption_kwh]]*Table1[[#This Row],[NETTO_procurement_cost_ct_per_kwh]]/100</f>
        <v>81.240399999999994</v>
      </c>
      <c r="K40" s="21">
        <f>Table1[[#This Row],[NETTO_monthly_revenue(€)]]-Table1[[#This Row],[procurement_cost_(€)]]</f>
        <v>23.078927731092449</v>
      </c>
      <c r="L40" s="21">
        <f t="shared" si="2"/>
        <v>6.9514842563531483</v>
      </c>
      <c r="M40" s="21" t="str">
        <f t="shared" si="0"/>
        <v>07.05.2024</v>
      </c>
      <c r="N40" s="21">
        <f t="shared" si="1"/>
        <v>104.31932773109244</v>
      </c>
    </row>
    <row r="41" spans="1:14">
      <c r="A41" s="9" t="s">
        <v>115</v>
      </c>
      <c r="B41" s="8">
        <v>12</v>
      </c>
      <c r="C41" s="8" t="s">
        <v>35</v>
      </c>
      <c r="D41" s="8" t="s">
        <v>36</v>
      </c>
      <c r="E41" s="8" t="s">
        <v>116</v>
      </c>
      <c r="F41" s="8">
        <v>321</v>
      </c>
      <c r="G41" s="8">
        <v>118.63</v>
      </c>
      <c r="H41" s="10">
        <v>24.23</v>
      </c>
      <c r="I41" s="21">
        <f>Table1[[#This Row],[BRUTTO_monthly_bill_eur]]/1.19</f>
        <v>99.689075630252105</v>
      </c>
      <c r="J41" s="21">
        <f>Table1[[#This Row],[monthly_consumption_kwh]]*Table1[[#This Row],[NETTO_procurement_cost_ct_per_kwh]]/100</f>
        <v>77.778300000000002</v>
      </c>
      <c r="K41" s="21">
        <f>Table1[[#This Row],[NETTO_monthly_revenue(€)]]-Table1[[#This Row],[procurement_cost_(€)]]</f>
        <v>21.910775630252104</v>
      </c>
      <c r="L41" s="21">
        <f t="shared" si="2"/>
        <v>6.8257868007015903</v>
      </c>
      <c r="M41" s="21" t="str">
        <f t="shared" si="0"/>
        <v>22.01.2025</v>
      </c>
      <c r="N41" s="21">
        <f t="shared" si="1"/>
        <v>99.689075630252105</v>
      </c>
    </row>
    <row r="42" spans="1:14">
      <c r="A42" s="9" t="s">
        <v>117</v>
      </c>
      <c r="B42" s="8">
        <v>12</v>
      </c>
      <c r="C42" s="8" t="s">
        <v>39</v>
      </c>
      <c r="D42" s="8" t="s">
        <v>46</v>
      </c>
      <c r="E42" s="8" t="s">
        <v>118</v>
      </c>
      <c r="F42" s="8">
        <v>128</v>
      </c>
      <c r="G42" s="8">
        <v>60.82</v>
      </c>
      <c r="H42" s="10">
        <v>29.66</v>
      </c>
      <c r="I42" s="21">
        <f>Table1[[#This Row],[BRUTTO_monthly_bill_eur]]/1.19</f>
        <v>51.109243697478995</v>
      </c>
      <c r="J42" s="21">
        <f>Table1[[#This Row],[monthly_consumption_kwh]]*Table1[[#This Row],[NETTO_procurement_cost_ct_per_kwh]]/100</f>
        <v>37.964799999999997</v>
      </c>
      <c r="K42" s="21">
        <f>Table1[[#This Row],[NETTO_monthly_revenue(€)]]-Table1[[#This Row],[procurement_cost_(€)]]</f>
        <v>13.144443697478998</v>
      </c>
      <c r="L42" s="21">
        <f t="shared" si="2"/>
        <v>10.269096638655467</v>
      </c>
      <c r="M42" s="21" t="str">
        <f t="shared" si="0"/>
        <v>21.03.2024</v>
      </c>
      <c r="N42" s="21">
        <f t="shared" si="1"/>
        <v>51.109243697478995</v>
      </c>
    </row>
    <row r="43" spans="1:14">
      <c r="A43" s="9" t="s">
        <v>119</v>
      </c>
      <c r="B43" s="8">
        <v>12</v>
      </c>
      <c r="C43" s="8" t="s">
        <v>35</v>
      </c>
      <c r="D43" s="8" t="s">
        <v>36</v>
      </c>
      <c r="E43" s="8" t="s">
        <v>120</v>
      </c>
      <c r="F43" s="8">
        <v>307</v>
      </c>
      <c r="G43" s="8">
        <v>113.98</v>
      </c>
      <c r="H43" s="10">
        <v>23.72</v>
      </c>
      <c r="I43" s="21">
        <f>Table1[[#This Row],[BRUTTO_monthly_bill_eur]]/1.19</f>
        <v>95.781512605042025</v>
      </c>
      <c r="J43" s="21">
        <f>Table1[[#This Row],[monthly_consumption_kwh]]*Table1[[#This Row],[NETTO_procurement_cost_ct_per_kwh]]/100</f>
        <v>72.820400000000006</v>
      </c>
      <c r="K43" s="21">
        <f>Table1[[#This Row],[NETTO_monthly_revenue(€)]]-Table1[[#This Row],[procurement_cost_(€)]]</f>
        <v>22.961112605042018</v>
      </c>
      <c r="L43" s="21">
        <f t="shared" si="2"/>
        <v>7.4791897736293214</v>
      </c>
      <c r="M43" s="21" t="str">
        <f t="shared" si="0"/>
        <v>27.10.2024</v>
      </c>
      <c r="N43" s="21">
        <f t="shared" si="1"/>
        <v>95.781512605042025</v>
      </c>
    </row>
    <row r="44" spans="1:14">
      <c r="A44" s="9" t="s">
        <v>121</v>
      </c>
      <c r="B44" s="8">
        <v>12</v>
      </c>
      <c r="C44" s="8" t="s">
        <v>39</v>
      </c>
      <c r="D44" s="8" t="s">
        <v>46</v>
      </c>
      <c r="E44" s="8" t="s">
        <v>122</v>
      </c>
      <c r="F44" s="8">
        <v>127</v>
      </c>
      <c r="G44" s="8">
        <v>55.56</v>
      </c>
      <c r="H44" s="10">
        <v>30.16</v>
      </c>
      <c r="I44" s="21">
        <f>Table1[[#This Row],[BRUTTO_monthly_bill_eur]]/1.19</f>
        <v>46.689075630252105</v>
      </c>
      <c r="J44" s="21">
        <f>Table1[[#This Row],[monthly_consumption_kwh]]*Table1[[#This Row],[NETTO_procurement_cost_ct_per_kwh]]/100</f>
        <v>38.303200000000004</v>
      </c>
      <c r="K44" s="21">
        <f>Table1[[#This Row],[NETTO_monthly_revenue(€)]]-Table1[[#This Row],[procurement_cost_(€)]]</f>
        <v>8.3858756302521016</v>
      </c>
      <c r="L44" s="21">
        <f t="shared" si="2"/>
        <v>6.6030516773638599</v>
      </c>
      <c r="M44" s="21" t="str">
        <f t="shared" si="0"/>
        <v>2025-01</v>
      </c>
      <c r="N44" s="21">
        <f t="shared" si="1"/>
        <v>46.689075630252105</v>
      </c>
    </row>
    <row r="45" spans="1:14">
      <c r="A45" s="9" t="s">
        <v>123</v>
      </c>
      <c r="B45" s="8">
        <v>24</v>
      </c>
      <c r="C45" s="8" t="s">
        <v>51</v>
      </c>
      <c r="D45" s="8" t="s">
        <v>56</v>
      </c>
      <c r="E45" s="8" t="s">
        <v>124</v>
      </c>
      <c r="F45" s="8">
        <v>541</v>
      </c>
      <c r="G45" s="8">
        <v>182.74</v>
      </c>
      <c r="H45" s="10">
        <v>19.98</v>
      </c>
      <c r="I45" s="21">
        <f>Table1[[#This Row],[BRUTTO_monthly_bill_eur]]/1.19</f>
        <v>153.56302521008405</v>
      </c>
      <c r="J45" s="21">
        <f>Table1[[#This Row],[monthly_consumption_kwh]]*Table1[[#This Row],[NETTO_procurement_cost_ct_per_kwh]]/100</f>
        <v>108.09180000000001</v>
      </c>
      <c r="K45" s="21">
        <f>Table1[[#This Row],[NETTO_monthly_revenue(€)]]-Table1[[#This Row],[procurement_cost_(€)]]</f>
        <v>45.471225210084043</v>
      </c>
      <c r="L45" s="21">
        <f t="shared" si="2"/>
        <v>8.4050323863371617</v>
      </c>
      <c r="M45" s="21" t="str">
        <f t="shared" si="0"/>
        <v>15.07.2024</v>
      </c>
      <c r="N45" s="21">
        <f t="shared" si="1"/>
        <v>153.56302521008405</v>
      </c>
    </row>
    <row r="46" spans="1:14">
      <c r="A46" s="9" t="s">
        <v>125</v>
      </c>
      <c r="B46" s="8">
        <v>12</v>
      </c>
      <c r="C46" s="8" t="s">
        <v>39</v>
      </c>
      <c r="D46" s="8" t="s">
        <v>36</v>
      </c>
      <c r="E46" s="8" t="s">
        <v>126</v>
      </c>
      <c r="F46" s="8">
        <v>90</v>
      </c>
      <c r="G46" s="8">
        <v>41.86</v>
      </c>
      <c r="H46" s="10">
        <v>30.81</v>
      </c>
      <c r="I46" s="21">
        <f>Table1[[#This Row],[BRUTTO_monthly_bill_eur]]/1.19</f>
        <v>35.176470588235297</v>
      </c>
      <c r="J46" s="21">
        <f>Table1[[#This Row],[monthly_consumption_kwh]]*Table1[[#This Row],[NETTO_procurement_cost_ct_per_kwh]]/100</f>
        <v>27.728999999999999</v>
      </c>
      <c r="K46" s="21">
        <f>Table1[[#This Row],[NETTO_monthly_revenue(€)]]-Table1[[#This Row],[procurement_cost_(€)]]</f>
        <v>7.4474705882352978</v>
      </c>
      <c r="L46" s="21">
        <f t="shared" si="2"/>
        <v>8.2749673202614424</v>
      </c>
      <c r="M46" s="21" t="str">
        <f t="shared" si="0"/>
        <v>12.03.2024</v>
      </c>
      <c r="N46" s="21">
        <f t="shared" si="1"/>
        <v>35.176470588235297</v>
      </c>
    </row>
    <row r="47" spans="1:14">
      <c r="A47" s="9" t="s">
        <v>127</v>
      </c>
      <c r="B47" s="8">
        <v>24</v>
      </c>
      <c r="C47" s="8" t="s">
        <v>35</v>
      </c>
      <c r="D47" s="8" t="s">
        <v>36</v>
      </c>
      <c r="E47" s="8" t="s">
        <v>128</v>
      </c>
      <c r="F47" s="8">
        <v>292</v>
      </c>
      <c r="G47" s="8">
        <v>109.79</v>
      </c>
      <c r="H47" s="10">
        <v>22.69</v>
      </c>
      <c r="I47" s="21">
        <f>Table1[[#This Row],[BRUTTO_monthly_bill_eur]]/1.19</f>
        <v>92.260504201680675</v>
      </c>
      <c r="J47" s="21">
        <f>Table1[[#This Row],[monthly_consumption_kwh]]*Table1[[#This Row],[NETTO_procurement_cost_ct_per_kwh]]/100</f>
        <v>66.254800000000003</v>
      </c>
      <c r="K47" s="21">
        <f>Table1[[#This Row],[NETTO_monthly_revenue(€)]]-Table1[[#This Row],[procurement_cost_(€)]]</f>
        <v>26.005704201680672</v>
      </c>
      <c r="L47" s="21">
        <f t="shared" si="2"/>
        <v>8.9060630827673535</v>
      </c>
      <c r="M47" s="21" t="str">
        <f t="shared" si="0"/>
        <v>16.02.2024</v>
      </c>
      <c r="N47" s="21">
        <f t="shared" si="1"/>
        <v>92.260504201680675</v>
      </c>
    </row>
    <row r="48" spans="1:14">
      <c r="A48" s="9" t="s">
        <v>129</v>
      </c>
      <c r="B48" s="8">
        <v>12</v>
      </c>
      <c r="C48" s="8" t="s">
        <v>39</v>
      </c>
      <c r="D48" s="8" t="s">
        <v>36</v>
      </c>
      <c r="E48" s="8" t="s">
        <v>130</v>
      </c>
      <c r="F48" s="8">
        <v>94</v>
      </c>
      <c r="G48" s="8">
        <v>46.35</v>
      </c>
      <c r="H48" s="10">
        <v>30</v>
      </c>
      <c r="I48" s="21">
        <f>Table1[[#This Row],[BRUTTO_monthly_bill_eur]]/1.19</f>
        <v>38.949579831932773</v>
      </c>
      <c r="J48" s="21">
        <f>Table1[[#This Row],[monthly_consumption_kwh]]*Table1[[#This Row],[NETTO_procurement_cost_ct_per_kwh]]/100</f>
        <v>28.2</v>
      </c>
      <c r="K48" s="21">
        <f>Table1[[#This Row],[NETTO_monthly_revenue(€)]]-Table1[[#This Row],[procurement_cost_(€)]]</f>
        <v>10.749579831932774</v>
      </c>
      <c r="L48" s="21">
        <f t="shared" si="2"/>
        <v>11.435723225460398</v>
      </c>
      <c r="M48" s="21" t="str">
        <f t="shared" si="0"/>
        <v>21.08.2024</v>
      </c>
      <c r="N48" s="21">
        <f t="shared" si="1"/>
        <v>38.949579831932773</v>
      </c>
    </row>
    <row r="49" spans="1:14">
      <c r="A49" s="9" t="s">
        <v>131</v>
      </c>
      <c r="B49" s="8">
        <v>12</v>
      </c>
      <c r="C49" s="8" t="s">
        <v>51</v>
      </c>
      <c r="D49" s="8" t="s">
        <v>36</v>
      </c>
      <c r="E49" s="8" t="s">
        <v>132</v>
      </c>
      <c r="F49" s="8">
        <v>609</v>
      </c>
      <c r="G49" s="8">
        <v>199.96</v>
      </c>
      <c r="H49" s="10">
        <v>18.559999999999999</v>
      </c>
      <c r="I49" s="21">
        <f>Table1[[#This Row],[BRUTTO_monthly_bill_eur]]/1.19</f>
        <v>168.03361344537817</v>
      </c>
      <c r="J49" s="21">
        <f>Table1[[#This Row],[monthly_consumption_kwh]]*Table1[[#This Row],[NETTO_procurement_cost_ct_per_kwh]]/100</f>
        <v>113.03039999999999</v>
      </c>
      <c r="K49" s="21">
        <f>Table1[[#This Row],[NETTO_monthly_revenue(€)]]-Table1[[#This Row],[procurement_cost_(€)]]</f>
        <v>55.003213445378179</v>
      </c>
      <c r="L49" s="21">
        <f t="shared" si="2"/>
        <v>9.0317263457107035</v>
      </c>
      <c r="M49" s="21" t="str">
        <f t="shared" si="0"/>
        <v>23.10.2024</v>
      </c>
      <c r="N49" s="21">
        <f t="shared" si="1"/>
        <v>168.03361344537817</v>
      </c>
    </row>
    <row r="50" spans="1:14">
      <c r="A50" s="9" t="s">
        <v>133</v>
      </c>
      <c r="B50" s="8">
        <v>12</v>
      </c>
      <c r="C50" s="8" t="s">
        <v>35</v>
      </c>
      <c r="D50" s="8" t="s">
        <v>36</v>
      </c>
      <c r="E50" s="8" t="s">
        <v>134</v>
      </c>
      <c r="F50" s="8">
        <v>297</v>
      </c>
      <c r="G50" s="8">
        <v>115.75</v>
      </c>
      <c r="H50" s="10">
        <v>25.48</v>
      </c>
      <c r="I50" s="21">
        <f>Table1[[#This Row],[BRUTTO_monthly_bill_eur]]/1.19</f>
        <v>97.268907563025209</v>
      </c>
      <c r="J50" s="21">
        <f>Table1[[#This Row],[monthly_consumption_kwh]]*Table1[[#This Row],[NETTO_procurement_cost_ct_per_kwh]]/100</f>
        <v>75.675600000000003</v>
      </c>
      <c r="K50" s="21">
        <f>Table1[[#This Row],[NETTO_monthly_revenue(€)]]-Table1[[#This Row],[procurement_cost_(€)]]</f>
        <v>21.593307563025206</v>
      </c>
      <c r="L50" s="21">
        <f t="shared" si="2"/>
        <v>7.270473926944514</v>
      </c>
      <c r="M50" s="21" t="str">
        <f t="shared" si="0"/>
        <v>22.03.2024</v>
      </c>
      <c r="N50" s="21">
        <f t="shared" si="1"/>
        <v>97.268907563025209</v>
      </c>
    </row>
    <row r="51" spans="1:14">
      <c r="A51" s="9" t="s">
        <v>135</v>
      </c>
      <c r="B51" s="8">
        <v>12</v>
      </c>
      <c r="C51" s="8" t="s">
        <v>35</v>
      </c>
      <c r="D51" s="8" t="s">
        <v>36</v>
      </c>
      <c r="E51" s="8" t="s">
        <v>67</v>
      </c>
      <c r="F51" s="8">
        <v>285</v>
      </c>
      <c r="G51" s="8">
        <v>101.84</v>
      </c>
      <c r="H51" s="10">
        <v>24.53</v>
      </c>
      <c r="I51" s="21">
        <f>Table1[[#This Row],[BRUTTO_monthly_bill_eur]]/1.19</f>
        <v>85.579831932773118</v>
      </c>
      <c r="J51" s="21">
        <f>Table1[[#This Row],[monthly_consumption_kwh]]*Table1[[#This Row],[NETTO_procurement_cost_ct_per_kwh]]/100</f>
        <v>69.910499999999999</v>
      </c>
      <c r="K51" s="21">
        <f>Table1[[#This Row],[NETTO_monthly_revenue(€)]]-Table1[[#This Row],[procurement_cost_(€)]]</f>
        <v>15.669331932773119</v>
      </c>
      <c r="L51" s="21">
        <f t="shared" si="2"/>
        <v>5.4980112044817959</v>
      </c>
      <c r="M51" s="21" t="str">
        <f t="shared" si="0"/>
        <v>26.08.2024</v>
      </c>
      <c r="N51" s="21">
        <f t="shared" si="1"/>
        <v>85.579831932773118</v>
      </c>
    </row>
    <row r="52" spans="1:14">
      <c r="A52" s="9" t="s">
        <v>136</v>
      </c>
      <c r="B52" s="8">
        <v>24</v>
      </c>
      <c r="C52" s="8" t="s">
        <v>39</v>
      </c>
      <c r="D52" s="8" t="s">
        <v>36</v>
      </c>
      <c r="E52" s="8" t="s">
        <v>137</v>
      </c>
      <c r="F52" s="8">
        <v>86</v>
      </c>
      <c r="G52" s="8">
        <v>45.72</v>
      </c>
      <c r="H52" s="10">
        <v>30.13</v>
      </c>
      <c r="I52" s="21">
        <f>Table1[[#This Row],[BRUTTO_monthly_bill_eur]]/1.19</f>
        <v>38.420168067226889</v>
      </c>
      <c r="J52" s="21">
        <f>Table1[[#This Row],[monthly_consumption_kwh]]*Table1[[#This Row],[NETTO_procurement_cost_ct_per_kwh]]/100</f>
        <v>25.911799999999999</v>
      </c>
      <c r="K52" s="21">
        <f>Table1[[#This Row],[NETTO_monthly_revenue(€)]]-Table1[[#This Row],[procurement_cost_(€)]]</f>
        <v>12.50836806722689</v>
      </c>
      <c r="L52" s="21">
        <f t="shared" si="2"/>
        <v>14.544614031659176</v>
      </c>
      <c r="M52" s="21" t="str">
        <f t="shared" si="0"/>
        <v>13.04.2024</v>
      </c>
      <c r="N52" s="21">
        <f t="shared" si="1"/>
        <v>38.420168067226889</v>
      </c>
    </row>
    <row r="53" spans="1:14">
      <c r="A53" s="9" t="s">
        <v>138</v>
      </c>
      <c r="B53" s="8">
        <v>24</v>
      </c>
      <c r="C53" s="8" t="s">
        <v>35</v>
      </c>
      <c r="D53" s="8" t="s">
        <v>56</v>
      </c>
      <c r="E53" s="8" t="s">
        <v>100</v>
      </c>
      <c r="F53" s="8">
        <v>217</v>
      </c>
      <c r="G53" s="8">
        <v>86.51</v>
      </c>
      <c r="H53" s="10">
        <v>22.46</v>
      </c>
      <c r="I53" s="21">
        <f>Table1[[#This Row],[BRUTTO_monthly_bill_eur]]/1.19</f>
        <v>72.69747899159664</v>
      </c>
      <c r="J53" s="21">
        <f>Table1[[#This Row],[monthly_consumption_kwh]]*Table1[[#This Row],[NETTO_procurement_cost_ct_per_kwh]]/100</f>
        <v>48.738200000000006</v>
      </c>
      <c r="K53" s="21">
        <f>Table1[[#This Row],[NETTO_monthly_revenue(€)]]-Table1[[#This Row],[procurement_cost_(€)]]</f>
        <v>23.959278991596634</v>
      </c>
      <c r="L53" s="21">
        <f t="shared" si="2"/>
        <v>11.041142392440845</v>
      </c>
      <c r="M53" s="21" t="str">
        <f t="shared" si="0"/>
        <v>24.01.2025</v>
      </c>
      <c r="N53" s="21">
        <f t="shared" si="1"/>
        <v>72.69747899159664</v>
      </c>
    </row>
    <row r="54" spans="1:14">
      <c r="A54" s="9" t="s">
        <v>139</v>
      </c>
      <c r="B54" s="8">
        <v>24</v>
      </c>
      <c r="C54" s="8" t="s">
        <v>39</v>
      </c>
      <c r="D54" s="8" t="s">
        <v>46</v>
      </c>
      <c r="E54" s="8" t="s">
        <v>81</v>
      </c>
      <c r="F54" s="8">
        <v>105</v>
      </c>
      <c r="G54" s="8">
        <v>51.32</v>
      </c>
      <c r="H54" s="10">
        <v>30.42</v>
      </c>
      <c r="I54" s="21">
        <f>Table1[[#This Row],[BRUTTO_monthly_bill_eur]]/1.19</f>
        <v>43.12605042016807</v>
      </c>
      <c r="J54" s="21">
        <f>Table1[[#This Row],[monthly_consumption_kwh]]*Table1[[#This Row],[NETTO_procurement_cost_ct_per_kwh]]/100</f>
        <v>31.941000000000003</v>
      </c>
      <c r="K54" s="21">
        <f>Table1[[#This Row],[NETTO_monthly_revenue(€)]]-Table1[[#This Row],[procurement_cost_(€)]]</f>
        <v>11.185050420168068</v>
      </c>
      <c r="L54" s="21">
        <f t="shared" si="2"/>
        <v>10.652428971588636</v>
      </c>
      <c r="M54" s="21" t="str">
        <f t="shared" si="0"/>
        <v>11.10.2024</v>
      </c>
      <c r="N54" s="21">
        <f t="shared" si="1"/>
        <v>43.12605042016807</v>
      </c>
    </row>
    <row r="55" spans="1:14">
      <c r="A55" s="9" t="s">
        <v>140</v>
      </c>
      <c r="B55" s="8">
        <v>24</v>
      </c>
      <c r="C55" s="8" t="s">
        <v>51</v>
      </c>
      <c r="D55" s="8" t="s">
        <v>36</v>
      </c>
      <c r="E55" s="8" t="s">
        <v>141</v>
      </c>
      <c r="F55" s="8">
        <v>453</v>
      </c>
      <c r="G55" s="8">
        <v>155.02000000000001</v>
      </c>
      <c r="H55" s="10">
        <v>17.09</v>
      </c>
      <c r="I55" s="21">
        <f>Table1[[#This Row],[BRUTTO_monthly_bill_eur]]/1.19</f>
        <v>130.26890756302524</v>
      </c>
      <c r="J55" s="21">
        <f>Table1[[#This Row],[monthly_consumption_kwh]]*Table1[[#This Row],[NETTO_procurement_cost_ct_per_kwh]]/100</f>
        <v>77.417699999999996</v>
      </c>
      <c r="K55" s="21">
        <f>Table1[[#This Row],[NETTO_monthly_revenue(€)]]-Table1[[#This Row],[procurement_cost_(€)]]</f>
        <v>52.851207563025241</v>
      </c>
      <c r="L55" s="21">
        <f t="shared" si="2"/>
        <v>11.666933236870914</v>
      </c>
      <c r="M55" s="21" t="str">
        <f t="shared" si="0"/>
        <v>09.04.2025</v>
      </c>
      <c r="N55" s="21">
        <f t="shared" si="1"/>
        <v>130.26890756302524</v>
      </c>
    </row>
    <row r="56" spans="1:14">
      <c r="A56" s="9" t="s">
        <v>142</v>
      </c>
      <c r="B56" s="8">
        <v>24</v>
      </c>
      <c r="C56" s="8" t="s">
        <v>39</v>
      </c>
      <c r="D56" s="8" t="s">
        <v>46</v>
      </c>
      <c r="E56" s="8" t="s">
        <v>143</v>
      </c>
      <c r="F56" s="8">
        <v>90</v>
      </c>
      <c r="G56" s="8">
        <v>45.15</v>
      </c>
      <c r="H56" s="10">
        <v>29.35</v>
      </c>
      <c r="I56" s="21">
        <f>Table1[[#This Row],[BRUTTO_monthly_bill_eur]]/1.19</f>
        <v>37.941176470588239</v>
      </c>
      <c r="J56" s="21">
        <f>Table1[[#This Row],[monthly_consumption_kwh]]*Table1[[#This Row],[NETTO_procurement_cost_ct_per_kwh]]/100</f>
        <v>26.414999999999999</v>
      </c>
      <c r="K56" s="21">
        <f>Table1[[#This Row],[NETTO_monthly_revenue(€)]]-Table1[[#This Row],[procurement_cost_(€)]]</f>
        <v>11.52617647058824</v>
      </c>
      <c r="L56" s="21">
        <f t="shared" si="2"/>
        <v>12.806862745098044</v>
      </c>
      <c r="M56" s="21" t="str">
        <f t="shared" si="0"/>
        <v>08.01.2025</v>
      </c>
      <c r="N56" s="21">
        <f t="shared" si="1"/>
        <v>37.941176470588239</v>
      </c>
    </row>
    <row r="57" spans="1:14">
      <c r="A57" s="9" t="s">
        <v>144</v>
      </c>
      <c r="B57" s="8">
        <v>24</v>
      </c>
      <c r="C57" s="8" t="s">
        <v>39</v>
      </c>
      <c r="D57" s="8" t="s">
        <v>36</v>
      </c>
      <c r="E57" s="8" t="s">
        <v>145</v>
      </c>
      <c r="F57" s="8">
        <v>162</v>
      </c>
      <c r="G57" s="8">
        <v>64.41</v>
      </c>
      <c r="H57" s="10">
        <v>30.57</v>
      </c>
      <c r="I57" s="21">
        <f>Table1[[#This Row],[BRUTTO_monthly_bill_eur]]/1.19</f>
        <v>54.12605042016807</v>
      </c>
      <c r="J57" s="21">
        <f>Table1[[#This Row],[monthly_consumption_kwh]]*Table1[[#This Row],[NETTO_procurement_cost_ct_per_kwh]]/100</f>
        <v>49.523400000000002</v>
      </c>
      <c r="K57" s="21">
        <f>Table1[[#This Row],[NETTO_monthly_revenue(€)]]-Table1[[#This Row],[procurement_cost_(€)]]</f>
        <v>4.602650420168068</v>
      </c>
      <c r="L57" s="21">
        <f t="shared" si="2"/>
        <v>2.8411422346716471</v>
      </c>
      <c r="M57" s="21" t="str">
        <f t="shared" si="0"/>
        <v>15.06.2024</v>
      </c>
      <c r="N57" s="21">
        <f t="shared" si="1"/>
        <v>54.12605042016807</v>
      </c>
    </row>
    <row r="58" spans="1:14">
      <c r="A58" s="9" t="s">
        <v>146</v>
      </c>
      <c r="B58" s="8">
        <v>12</v>
      </c>
      <c r="C58" s="8" t="s">
        <v>39</v>
      </c>
      <c r="D58" s="8" t="s">
        <v>36</v>
      </c>
      <c r="E58" s="8" t="s">
        <v>147</v>
      </c>
      <c r="F58" s="8">
        <v>130</v>
      </c>
      <c r="G58" s="8">
        <v>57.15</v>
      </c>
      <c r="H58" s="10">
        <v>30.77</v>
      </c>
      <c r="I58" s="21">
        <f>Table1[[#This Row],[BRUTTO_monthly_bill_eur]]/1.19</f>
        <v>48.025210084033617</v>
      </c>
      <c r="J58" s="21">
        <f>Table1[[#This Row],[monthly_consumption_kwh]]*Table1[[#This Row],[NETTO_procurement_cost_ct_per_kwh]]/100</f>
        <v>40.000999999999998</v>
      </c>
      <c r="K58" s="21">
        <f>Table1[[#This Row],[NETTO_monthly_revenue(€)]]-Table1[[#This Row],[procurement_cost_(€)]]</f>
        <v>8.0242100840336192</v>
      </c>
      <c r="L58" s="21">
        <f t="shared" si="2"/>
        <v>6.1724692954104761</v>
      </c>
      <c r="M58" s="21" t="str">
        <f t="shared" si="0"/>
        <v>14.01.2025</v>
      </c>
      <c r="N58" s="21">
        <f t="shared" si="1"/>
        <v>48.025210084033617</v>
      </c>
    </row>
    <row r="59" spans="1:14">
      <c r="A59" s="9" t="s">
        <v>148</v>
      </c>
      <c r="B59" s="8">
        <v>12</v>
      </c>
      <c r="C59" s="8" t="s">
        <v>35</v>
      </c>
      <c r="D59" s="8" t="s">
        <v>46</v>
      </c>
      <c r="E59" s="8" t="s">
        <v>149</v>
      </c>
      <c r="F59" s="8">
        <v>218</v>
      </c>
      <c r="G59" s="8">
        <v>82.95</v>
      </c>
      <c r="H59" s="10">
        <v>22.83</v>
      </c>
      <c r="I59" s="21">
        <f>Table1[[#This Row],[BRUTTO_monthly_bill_eur]]/1.19</f>
        <v>69.705882352941188</v>
      </c>
      <c r="J59" s="21">
        <f>Table1[[#This Row],[monthly_consumption_kwh]]*Table1[[#This Row],[NETTO_procurement_cost_ct_per_kwh]]/100</f>
        <v>49.769399999999997</v>
      </c>
      <c r="K59" s="21">
        <f>Table1[[#This Row],[NETTO_monthly_revenue(€)]]-Table1[[#This Row],[procurement_cost_(€)]]</f>
        <v>19.936482352941191</v>
      </c>
      <c r="L59" s="21">
        <f t="shared" si="2"/>
        <v>9.1451753912574265</v>
      </c>
      <c r="M59" s="21" t="str">
        <f t="shared" si="0"/>
        <v>29.12.2024</v>
      </c>
      <c r="N59" s="21">
        <f t="shared" si="1"/>
        <v>69.705882352941188</v>
      </c>
    </row>
    <row r="60" spans="1:14">
      <c r="A60" s="9" t="s">
        <v>150</v>
      </c>
      <c r="B60" s="8">
        <v>12</v>
      </c>
      <c r="C60" s="8" t="s">
        <v>35</v>
      </c>
      <c r="D60" s="8" t="s">
        <v>36</v>
      </c>
      <c r="E60" s="8" t="s">
        <v>151</v>
      </c>
      <c r="F60" s="8">
        <v>233</v>
      </c>
      <c r="G60" s="8">
        <v>94.73</v>
      </c>
      <c r="H60" s="10">
        <v>23.57</v>
      </c>
      <c r="I60" s="21">
        <f>Table1[[#This Row],[BRUTTO_monthly_bill_eur]]/1.19</f>
        <v>79.605042016806735</v>
      </c>
      <c r="J60" s="21">
        <f>Table1[[#This Row],[monthly_consumption_kwh]]*Table1[[#This Row],[NETTO_procurement_cost_ct_per_kwh]]/100</f>
        <v>54.918100000000003</v>
      </c>
      <c r="K60" s="21">
        <f>Table1[[#This Row],[NETTO_monthly_revenue(€)]]-Table1[[#This Row],[procurement_cost_(€)]]</f>
        <v>24.686942016806732</v>
      </c>
      <c r="L60" s="21">
        <f t="shared" si="2"/>
        <v>10.595254084466408</v>
      </c>
      <c r="M60" s="21" t="str">
        <f t="shared" si="0"/>
        <v>02.08.2024</v>
      </c>
      <c r="N60" s="21">
        <f t="shared" si="1"/>
        <v>79.605042016806735</v>
      </c>
    </row>
    <row r="61" spans="1:14">
      <c r="A61" s="9" t="s">
        <v>152</v>
      </c>
      <c r="B61" s="8">
        <v>12</v>
      </c>
      <c r="C61" s="8" t="s">
        <v>39</v>
      </c>
      <c r="D61" s="8" t="s">
        <v>36</v>
      </c>
      <c r="E61" s="8" t="s">
        <v>153</v>
      </c>
      <c r="F61" s="8">
        <v>121</v>
      </c>
      <c r="G61" s="8">
        <v>58.21</v>
      </c>
      <c r="H61" s="10">
        <v>31.58</v>
      </c>
      <c r="I61" s="21">
        <f>Table1[[#This Row],[BRUTTO_monthly_bill_eur]]/1.19</f>
        <v>48.915966386554622</v>
      </c>
      <c r="J61" s="21">
        <f>Table1[[#This Row],[monthly_consumption_kwh]]*Table1[[#This Row],[NETTO_procurement_cost_ct_per_kwh]]/100</f>
        <v>38.211799999999997</v>
      </c>
      <c r="K61" s="21">
        <f>Table1[[#This Row],[NETTO_monthly_revenue(€)]]-Table1[[#This Row],[procurement_cost_(€)]]</f>
        <v>10.704166386554625</v>
      </c>
      <c r="L61" s="21">
        <f t="shared" si="2"/>
        <v>8.8464185012848144</v>
      </c>
      <c r="M61" s="21" t="str">
        <f t="shared" si="0"/>
        <v>30.09.2024</v>
      </c>
      <c r="N61" s="21">
        <f t="shared" si="1"/>
        <v>48.915966386554622</v>
      </c>
    </row>
    <row r="62" spans="1:14">
      <c r="A62" s="9" t="s">
        <v>154</v>
      </c>
      <c r="B62" s="8">
        <v>12</v>
      </c>
      <c r="C62" s="8" t="s">
        <v>51</v>
      </c>
      <c r="D62" s="8" t="s">
        <v>56</v>
      </c>
      <c r="E62" s="8" t="s">
        <v>155</v>
      </c>
      <c r="F62" s="8">
        <v>534</v>
      </c>
      <c r="G62" s="8">
        <v>173.65</v>
      </c>
      <c r="H62" s="10">
        <v>17.52</v>
      </c>
      <c r="I62" s="21">
        <f>Table1[[#This Row],[BRUTTO_monthly_bill_eur]]/1.19</f>
        <v>145.92436974789916</v>
      </c>
      <c r="J62" s="21">
        <f>Table1[[#This Row],[monthly_consumption_kwh]]*Table1[[#This Row],[NETTO_procurement_cost_ct_per_kwh]]/100</f>
        <v>93.55680000000001</v>
      </c>
      <c r="K62" s="21">
        <f>Table1[[#This Row],[NETTO_monthly_revenue(€)]]-Table1[[#This Row],[procurement_cost_(€)]]</f>
        <v>52.367569747899154</v>
      </c>
      <c r="L62" s="21">
        <f t="shared" si="2"/>
        <v>9.8066610014792435</v>
      </c>
      <c r="M62" s="21" t="str">
        <f t="shared" si="0"/>
        <v>14.03.2024</v>
      </c>
      <c r="N62" s="21">
        <f t="shared" si="1"/>
        <v>145.92436974789916</v>
      </c>
    </row>
    <row r="63" spans="1:14">
      <c r="A63" s="9" t="s">
        <v>156</v>
      </c>
      <c r="B63" s="8">
        <v>12</v>
      </c>
      <c r="C63" s="8" t="s">
        <v>35</v>
      </c>
      <c r="D63" s="8" t="s">
        <v>56</v>
      </c>
      <c r="E63" s="8" t="s">
        <v>157</v>
      </c>
      <c r="F63" s="8">
        <v>253</v>
      </c>
      <c r="G63" s="8">
        <v>94.91</v>
      </c>
      <c r="H63" s="10">
        <v>26.03</v>
      </c>
      <c r="I63" s="21">
        <f>Table1[[#This Row],[BRUTTO_monthly_bill_eur]]/1.19</f>
        <v>79.756302521008408</v>
      </c>
      <c r="J63" s="21">
        <f>Table1[[#This Row],[monthly_consumption_kwh]]*Table1[[#This Row],[NETTO_procurement_cost_ct_per_kwh]]/100</f>
        <v>65.855900000000005</v>
      </c>
      <c r="K63" s="21">
        <f>Table1[[#This Row],[NETTO_monthly_revenue(€)]]-Table1[[#This Row],[procurement_cost_(€)]]</f>
        <v>13.900402521008402</v>
      </c>
      <c r="L63" s="21">
        <f t="shared" si="2"/>
        <v>5.4942302454578664</v>
      </c>
      <c r="M63" s="21" t="str">
        <f t="shared" si="0"/>
        <v>24.06.2024</v>
      </c>
      <c r="N63" s="21">
        <f t="shared" si="1"/>
        <v>79.756302521008408</v>
      </c>
    </row>
    <row r="64" spans="1:14">
      <c r="A64" s="9" t="s">
        <v>158</v>
      </c>
      <c r="B64" s="8">
        <v>24</v>
      </c>
      <c r="C64" s="8" t="s">
        <v>35</v>
      </c>
      <c r="D64" s="8" t="s">
        <v>46</v>
      </c>
      <c r="E64" s="8" t="s">
        <v>44</v>
      </c>
      <c r="F64" s="8">
        <v>320</v>
      </c>
      <c r="G64" s="8">
        <v>121.29</v>
      </c>
      <c r="H64" s="10">
        <v>23.68</v>
      </c>
      <c r="I64" s="21">
        <f>Table1[[#This Row],[BRUTTO_monthly_bill_eur]]/1.19</f>
        <v>101.92436974789916</v>
      </c>
      <c r="J64" s="21">
        <f>Table1[[#This Row],[monthly_consumption_kwh]]*Table1[[#This Row],[NETTO_procurement_cost_ct_per_kwh]]/100</f>
        <v>75.77600000000001</v>
      </c>
      <c r="K64" s="21">
        <f>Table1[[#This Row],[NETTO_monthly_revenue(€)]]-Table1[[#This Row],[procurement_cost_(€)]]</f>
        <v>26.148369747899153</v>
      </c>
      <c r="L64" s="21">
        <f t="shared" si="2"/>
        <v>8.1713655462184853</v>
      </c>
      <c r="M64" s="21" t="str">
        <f t="shared" si="0"/>
        <v>07.09.2024</v>
      </c>
      <c r="N64" s="21">
        <f t="shared" si="1"/>
        <v>101.92436974789916</v>
      </c>
    </row>
    <row r="65" spans="1:14">
      <c r="A65" s="9" t="s">
        <v>159</v>
      </c>
      <c r="B65" s="8">
        <v>12</v>
      </c>
      <c r="C65" s="8" t="s">
        <v>35</v>
      </c>
      <c r="D65" s="8" t="s">
        <v>46</v>
      </c>
      <c r="E65" s="8" t="s">
        <v>160</v>
      </c>
      <c r="F65" s="8">
        <v>250</v>
      </c>
      <c r="G65" s="8">
        <v>92.05</v>
      </c>
      <c r="H65" s="10">
        <v>24.07</v>
      </c>
      <c r="I65" s="21">
        <f>Table1[[#This Row],[BRUTTO_monthly_bill_eur]]/1.19</f>
        <v>77.352941176470594</v>
      </c>
      <c r="J65" s="21">
        <f>Table1[[#This Row],[monthly_consumption_kwh]]*Table1[[#This Row],[NETTO_procurement_cost_ct_per_kwh]]/100</f>
        <v>60.174999999999997</v>
      </c>
      <c r="K65" s="21">
        <f>Table1[[#This Row],[NETTO_monthly_revenue(€)]]-Table1[[#This Row],[procurement_cost_(€)]]</f>
        <v>17.177941176470597</v>
      </c>
      <c r="L65" s="21">
        <f t="shared" si="2"/>
        <v>6.8711764705882388</v>
      </c>
      <c r="M65" s="21" t="str">
        <f t="shared" si="0"/>
        <v>16.06.2024</v>
      </c>
      <c r="N65" s="21">
        <f t="shared" si="1"/>
        <v>77.352941176470594</v>
      </c>
    </row>
    <row r="66" spans="1:14">
      <c r="A66" s="9" t="s">
        <v>161</v>
      </c>
      <c r="B66" s="8">
        <v>12</v>
      </c>
      <c r="C66" s="8" t="s">
        <v>35</v>
      </c>
      <c r="D66" s="8" t="s">
        <v>46</v>
      </c>
      <c r="E66" s="8" t="s">
        <v>162</v>
      </c>
      <c r="F66" s="8">
        <v>332</v>
      </c>
      <c r="G66" s="8">
        <v>125.87</v>
      </c>
      <c r="H66" s="10">
        <v>25.17</v>
      </c>
      <c r="I66" s="21">
        <f>Table1[[#This Row],[BRUTTO_monthly_bill_eur]]/1.19</f>
        <v>105.77310924369749</v>
      </c>
      <c r="J66" s="21">
        <f>Table1[[#This Row],[monthly_consumption_kwh]]*Table1[[#This Row],[NETTO_procurement_cost_ct_per_kwh]]/100</f>
        <v>83.564400000000006</v>
      </c>
      <c r="K66" s="21">
        <f>Table1[[#This Row],[NETTO_monthly_revenue(€)]]-Table1[[#This Row],[procurement_cost_(€)]]</f>
        <v>22.208709243697484</v>
      </c>
      <c r="L66" s="21">
        <f t="shared" ref="L66:L129" si="3">IF(F66=0,"",K66/F66*100)</f>
        <v>6.6893702541257483</v>
      </c>
      <c r="M66" s="21" t="str">
        <f t="shared" ref="M66:M129" si="4">TEXT(E66,"yyyy-mm")</f>
        <v>18.04.2025</v>
      </c>
      <c r="N66" s="21">
        <f t="shared" ref="N66:N129" si="5">G66/1.19</f>
        <v>105.77310924369749</v>
      </c>
    </row>
    <row r="67" spans="1:14">
      <c r="A67" s="9" t="s">
        <v>163</v>
      </c>
      <c r="B67" s="8">
        <v>12</v>
      </c>
      <c r="C67" s="8" t="s">
        <v>35</v>
      </c>
      <c r="D67" s="8" t="s">
        <v>36</v>
      </c>
      <c r="E67" s="8" t="s">
        <v>164</v>
      </c>
      <c r="F67" s="8">
        <v>308</v>
      </c>
      <c r="G67" s="8">
        <v>110.9</v>
      </c>
      <c r="H67" s="10">
        <v>22.28</v>
      </c>
      <c r="I67" s="21">
        <f>Table1[[#This Row],[BRUTTO_monthly_bill_eur]]/1.19</f>
        <v>93.193277310924373</v>
      </c>
      <c r="J67" s="21">
        <f>Table1[[#This Row],[monthly_consumption_kwh]]*Table1[[#This Row],[NETTO_procurement_cost_ct_per_kwh]]/100</f>
        <v>68.622400000000013</v>
      </c>
      <c r="K67" s="21">
        <f>Table1[[#This Row],[NETTO_monthly_revenue(€)]]-Table1[[#This Row],[procurement_cost_(€)]]</f>
        <v>24.570877310924359</v>
      </c>
      <c r="L67" s="21">
        <f t="shared" si="3"/>
        <v>7.9775575684819353</v>
      </c>
      <c r="M67" s="21" t="str">
        <f t="shared" si="4"/>
        <v>23.01.2025</v>
      </c>
      <c r="N67" s="21">
        <f t="shared" si="5"/>
        <v>93.193277310924373</v>
      </c>
    </row>
    <row r="68" spans="1:14">
      <c r="A68" s="9" t="s">
        <v>165</v>
      </c>
      <c r="B68" s="8">
        <v>12</v>
      </c>
      <c r="C68" s="8" t="s">
        <v>39</v>
      </c>
      <c r="D68" s="8" t="s">
        <v>36</v>
      </c>
      <c r="E68" s="8" t="s">
        <v>166</v>
      </c>
      <c r="F68" s="8">
        <v>100</v>
      </c>
      <c r="G68" s="8">
        <v>45.15</v>
      </c>
      <c r="H68" s="10">
        <v>29.9</v>
      </c>
      <c r="I68" s="21">
        <f>Table1[[#This Row],[BRUTTO_monthly_bill_eur]]/1.19</f>
        <v>37.941176470588239</v>
      </c>
      <c r="J68" s="21">
        <f>Table1[[#This Row],[monthly_consumption_kwh]]*Table1[[#This Row],[NETTO_procurement_cost_ct_per_kwh]]/100</f>
        <v>29.9</v>
      </c>
      <c r="K68" s="21">
        <f>Table1[[#This Row],[NETTO_monthly_revenue(€)]]-Table1[[#This Row],[procurement_cost_(€)]]</f>
        <v>8.0411764705882405</v>
      </c>
      <c r="L68" s="21">
        <f t="shared" si="3"/>
        <v>8.0411764705882405</v>
      </c>
      <c r="M68" s="21" t="str">
        <f t="shared" si="4"/>
        <v>03.10.2024</v>
      </c>
      <c r="N68" s="21">
        <f t="shared" si="5"/>
        <v>37.941176470588239</v>
      </c>
    </row>
    <row r="69" spans="1:14">
      <c r="A69" s="9" t="s">
        <v>167</v>
      </c>
      <c r="B69" s="8">
        <v>24</v>
      </c>
      <c r="C69" s="8" t="s">
        <v>39</v>
      </c>
      <c r="D69" s="8" t="s">
        <v>36</v>
      </c>
      <c r="E69" s="8" t="s">
        <v>168</v>
      </c>
      <c r="F69" s="8">
        <v>161</v>
      </c>
      <c r="G69" s="8">
        <v>69.569999999999993</v>
      </c>
      <c r="H69" s="10">
        <v>30.24</v>
      </c>
      <c r="I69" s="21">
        <f>Table1[[#This Row],[BRUTTO_monthly_bill_eur]]/1.19</f>
        <v>58.462184873949575</v>
      </c>
      <c r="J69" s="21">
        <f>Table1[[#This Row],[monthly_consumption_kwh]]*Table1[[#This Row],[NETTO_procurement_cost_ct_per_kwh]]/100</f>
        <v>48.686399999999992</v>
      </c>
      <c r="K69" s="21">
        <f>Table1[[#This Row],[NETTO_monthly_revenue(€)]]-Table1[[#This Row],[procurement_cost_(€)]]</f>
        <v>9.7757848739495827</v>
      </c>
      <c r="L69" s="21">
        <f t="shared" si="3"/>
        <v>6.0719160707761386</v>
      </c>
      <c r="M69" s="21" t="str">
        <f t="shared" si="4"/>
        <v>12.08.2024</v>
      </c>
      <c r="N69" s="21">
        <f t="shared" si="5"/>
        <v>58.462184873949575</v>
      </c>
    </row>
    <row r="70" spans="1:14">
      <c r="A70" s="9" t="s">
        <v>169</v>
      </c>
      <c r="B70" s="8">
        <v>12</v>
      </c>
      <c r="C70" s="8" t="s">
        <v>51</v>
      </c>
      <c r="D70" s="8" t="s">
        <v>36</v>
      </c>
      <c r="E70" s="8" t="s">
        <v>170</v>
      </c>
      <c r="F70" s="8">
        <v>372</v>
      </c>
      <c r="G70" s="8">
        <v>129.72999999999999</v>
      </c>
      <c r="H70" s="10">
        <v>19.64</v>
      </c>
      <c r="I70" s="21">
        <f>Table1[[#This Row],[BRUTTO_monthly_bill_eur]]/1.19</f>
        <v>109.01680672268907</v>
      </c>
      <c r="J70" s="21">
        <f>Table1[[#This Row],[monthly_consumption_kwh]]*Table1[[#This Row],[NETTO_procurement_cost_ct_per_kwh]]/100</f>
        <v>73.0608</v>
      </c>
      <c r="K70" s="21">
        <f>Table1[[#This Row],[NETTO_monthly_revenue(€)]]-Table1[[#This Row],[procurement_cost_(€)]]</f>
        <v>35.956006722689068</v>
      </c>
      <c r="L70" s="21">
        <f t="shared" si="3"/>
        <v>9.6655932050239421</v>
      </c>
      <c r="M70" s="21" t="str">
        <f t="shared" si="4"/>
        <v>28.11.2024</v>
      </c>
      <c r="N70" s="21">
        <f t="shared" si="5"/>
        <v>109.01680672268907</v>
      </c>
    </row>
    <row r="71" spans="1:14">
      <c r="A71" s="9" t="s">
        <v>171</v>
      </c>
      <c r="B71" s="8">
        <v>24</v>
      </c>
      <c r="C71" s="8" t="s">
        <v>51</v>
      </c>
      <c r="D71" s="8" t="s">
        <v>36</v>
      </c>
      <c r="E71" s="8" t="s">
        <v>172</v>
      </c>
      <c r="F71" s="8">
        <v>606</v>
      </c>
      <c r="G71" s="8">
        <v>212</v>
      </c>
      <c r="H71" s="10">
        <v>19.940000000000001</v>
      </c>
      <c r="I71" s="21">
        <f>Table1[[#This Row],[BRUTTO_monthly_bill_eur]]/1.19</f>
        <v>178.1512605042017</v>
      </c>
      <c r="J71" s="21">
        <f>Table1[[#This Row],[monthly_consumption_kwh]]*Table1[[#This Row],[NETTO_procurement_cost_ct_per_kwh]]/100</f>
        <v>120.83640000000001</v>
      </c>
      <c r="K71" s="21">
        <f>Table1[[#This Row],[NETTO_monthly_revenue(€)]]-Table1[[#This Row],[procurement_cost_(€)]]</f>
        <v>57.31486050420169</v>
      </c>
      <c r="L71" s="21">
        <f t="shared" si="3"/>
        <v>9.4578977729705755</v>
      </c>
      <c r="M71" s="21" t="str">
        <f t="shared" si="4"/>
        <v>27.02.2024</v>
      </c>
      <c r="N71" s="21">
        <f t="shared" si="5"/>
        <v>178.1512605042017</v>
      </c>
    </row>
    <row r="72" spans="1:14">
      <c r="A72" s="9" t="s">
        <v>173</v>
      </c>
      <c r="B72" s="8">
        <v>24</v>
      </c>
      <c r="C72" s="8" t="s">
        <v>35</v>
      </c>
      <c r="D72" s="8" t="s">
        <v>36</v>
      </c>
      <c r="E72" s="8" t="s">
        <v>174</v>
      </c>
      <c r="F72" s="8">
        <v>230</v>
      </c>
      <c r="G72" s="8">
        <v>87.96</v>
      </c>
      <c r="H72" s="10">
        <v>23.01</v>
      </c>
      <c r="I72" s="21">
        <f>Table1[[#This Row],[BRUTTO_monthly_bill_eur]]/1.19</f>
        <v>73.915966386554615</v>
      </c>
      <c r="J72" s="21">
        <f>Table1[[#This Row],[monthly_consumption_kwh]]*Table1[[#This Row],[NETTO_procurement_cost_ct_per_kwh]]/100</f>
        <v>52.923000000000002</v>
      </c>
      <c r="K72" s="21">
        <f>Table1[[#This Row],[NETTO_monthly_revenue(€)]]-Table1[[#This Row],[procurement_cost_(€)]]</f>
        <v>20.992966386554613</v>
      </c>
      <c r="L72" s="21">
        <f t="shared" si="3"/>
        <v>9.1273766898063524</v>
      </c>
      <c r="M72" s="21" t="str">
        <f t="shared" si="4"/>
        <v>22.08.2024</v>
      </c>
      <c r="N72" s="21">
        <f t="shared" si="5"/>
        <v>73.915966386554615</v>
      </c>
    </row>
    <row r="73" spans="1:14">
      <c r="A73" s="9" t="s">
        <v>175</v>
      </c>
      <c r="B73" s="8">
        <v>12</v>
      </c>
      <c r="C73" s="8" t="s">
        <v>39</v>
      </c>
      <c r="D73" s="8" t="s">
        <v>56</v>
      </c>
      <c r="E73" s="8" t="s">
        <v>59</v>
      </c>
      <c r="F73" s="8">
        <v>157</v>
      </c>
      <c r="G73" s="8">
        <v>66.150000000000006</v>
      </c>
      <c r="H73" s="10">
        <v>28.04</v>
      </c>
      <c r="I73" s="21">
        <f>Table1[[#This Row],[BRUTTO_monthly_bill_eur]]/1.19</f>
        <v>55.588235294117652</v>
      </c>
      <c r="J73" s="21">
        <f>Table1[[#This Row],[monthly_consumption_kwh]]*Table1[[#This Row],[NETTO_procurement_cost_ct_per_kwh]]/100</f>
        <v>44.022799999999997</v>
      </c>
      <c r="K73" s="21">
        <f>Table1[[#This Row],[NETTO_monthly_revenue(€)]]-Table1[[#This Row],[procurement_cost_(€)]]</f>
        <v>11.565435294117655</v>
      </c>
      <c r="L73" s="21">
        <f t="shared" si="3"/>
        <v>7.3665192956163414</v>
      </c>
      <c r="M73" s="21" t="str">
        <f t="shared" si="4"/>
        <v>02.02.2024</v>
      </c>
      <c r="N73" s="21">
        <f t="shared" si="5"/>
        <v>55.588235294117652</v>
      </c>
    </row>
    <row r="74" spans="1:14">
      <c r="A74" s="9" t="s">
        <v>176</v>
      </c>
      <c r="B74" s="8">
        <v>12</v>
      </c>
      <c r="C74" s="8" t="s">
        <v>35</v>
      </c>
      <c r="D74" s="8" t="s">
        <v>56</v>
      </c>
      <c r="E74" s="8" t="s">
        <v>177</v>
      </c>
      <c r="F74" s="8">
        <v>311</v>
      </c>
      <c r="G74" s="8">
        <v>115.16</v>
      </c>
      <c r="H74" s="10">
        <v>24.89</v>
      </c>
      <c r="I74" s="21">
        <f>Table1[[#This Row],[BRUTTO_monthly_bill_eur]]/1.19</f>
        <v>96.773109243697476</v>
      </c>
      <c r="J74" s="21">
        <f>Table1[[#This Row],[monthly_consumption_kwh]]*Table1[[#This Row],[NETTO_procurement_cost_ct_per_kwh]]/100</f>
        <v>77.407899999999998</v>
      </c>
      <c r="K74" s="21">
        <f>Table1[[#This Row],[NETTO_monthly_revenue(€)]]-Table1[[#This Row],[procurement_cost_(€)]]</f>
        <v>19.365209243697478</v>
      </c>
      <c r="L74" s="21">
        <f t="shared" si="3"/>
        <v>6.226755383825556</v>
      </c>
      <c r="M74" s="21" t="str">
        <f t="shared" si="4"/>
        <v>19.11.2024</v>
      </c>
      <c r="N74" s="21">
        <f t="shared" si="5"/>
        <v>96.773109243697476</v>
      </c>
    </row>
    <row r="75" spans="1:14">
      <c r="A75" s="9" t="s">
        <v>178</v>
      </c>
      <c r="B75" s="8">
        <v>24</v>
      </c>
      <c r="C75" s="8" t="s">
        <v>35</v>
      </c>
      <c r="D75" s="8" t="s">
        <v>46</v>
      </c>
      <c r="E75" s="8" t="s">
        <v>179</v>
      </c>
      <c r="F75" s="8">
        <v>301</v>
      </c>
      <c r="G75" s="8">
        <v>113.78</v>
      </c>
      <c r="H75" s="10">
        <v>24.14</v>
      </c>
      <c r="I75" s="21">
        <f>Table1[[#This Row],[BRUTTO_monthly_bill_eur]]/1.19</f>
        <v>95.613445378151269</v>
      </c>
      <c r="J75" s="21">
        <f>Table1[[#This Row],[monthly_consumption_kwh]]*Table1[[#This Row],[NETTO_procurement_cost_ct_per_kwh]]/100</f>
        <v>72.6614</v>
      </c>
      <c r="K75" s="21">
        <f>Table1[[#This Row],[NETTO_monthly_revenue(€)]]-Table1[[#This Row],[procurement_cost_(€)]]</f>
        <v>22.952045378151269</v>
      </c>
      <c r="L75" s="21">
        <f t="shared" si="3"/>
        <v>7.6252642452329793</v>
      </c>
      <c r="M75" s="21" t="str">
        <f t="shared" si="4"/>
        <v>14.02.2025</v>
      </c>
      <c r="N75" s="21">
        <f t="shared" si="5"/>
        <v>95.613445378151269</v>
      </c>
    </row>
    <row r="76" spans="1:14">
      <c r="A76" s="9" t="s">
        <v>180</v>
      </c>
      <c r="B76" s="8">
        <v>24</v>
      </c>
      <c r="C76" s="8" t="s">
        <v>39</v>
      </c>
      <c r="D76" s="8" t="s">
        <v>36</v>
      </c>
      <c r="E76" s="8" t="s">
        <v>181</v>
      </c>
      <c r="F76" s="8">
        <v>149</v>
      </c>
      <c r="G76" s="8">
        <v>64.37</v>
      </c>
      <c r="H76" s="10">
        <v>31.34</v>
      </c>
      <c r="I76" s="21">
        <f>Table1[[#This Row],[BRUTTO_monthly_bill_eur]]/1.19</f>
        <v>54.092436974789919</v>
      </c>
      <c r="J76" s="21">
        <f>Table1[[#This Row],[monthly_consumption_kwh]]*Table1[[#This Row],[NETTO_procurement_cost_ct_per_kwh]]/100</f>
        <v>46.696599999999997</v>
      </c>
      <c r="K76" s="21">
        <f>Table1[[#This Row],[NETTO_monthly_revenue(€)]]-Table1[[#This Row],[procurement_cost_(€)]]</f>
        <v>7.3958369747899226</v>
      </c>
      <c r="L76" s="21">
        <f t="shared" si="3"/>
        <v>4.9636489763690754</v>
      </c>
      <c r="M76" s="21" t="str">
        <f t="shared" si="4"/>
        <v>01.10.2024</v>
      </c>
      <c r="N76" s="21">
        <f t="shared" si="5"/>
        <v>54.092436974789919</v>
      </c>
    </row>
    <row r="77" spans="1:14">
      <c r="A77" s="9" t="s">
        <v>182</v>
      </c>
      <c r="B77" s="8">
        <v>24</v>
      </c>
      <c r="C77" s="8" t="s">
        <v>39</v>
      </c>
      <c r="D77" s="8" t="s">
        <v>56</v>
      </c>
      <c r="E77" s="8" t="s">
        <v>183</v>
      </c>
      <c r="F77" s="8">
        <v>109</v>
      </c>
      <c r="G77" s="8">
        <v>51</v>
      </c>
      <c r="H77" s="10">
        <v>31.29</v>
      </c>
      <c r="I77" s="21">
        <f>Table1[[#This Row],[BRUTTO_monthly_bill_eur]]/1.19</f>
        <v>42.857142857142861</v>
      </c>
      <c r="J77" s="21">
        <f>Table1[[#This Row],[monthly_consumption_kwh]]*Table1[[#This Row],[NETTO_procurement_cost_ct_per_kwh]]/100</f>
        <v>34.106099999999998</v>
      </c>
      <c r="K77" s="21">
        <f>Table1[[#This Row],[NETTO_monthly_revenue(€)]]-Table1[[#This Row],[procurement_cost_(€)]]</f>
        <v>8.7510428571428633</v>
      </c>
      <c r="L77" s="21">
        <f t="shared" si="3"/>
        <v>8.0284796854521687</v>
      </c>
      <c r="M77" s="21" t="str">
        <f t="shared" si="4"/>
        <v>08.03.2024</v>
      </c>
      <c r="N77" s="21">
        <f t="shared" si="5"/>
        <v>42.857142857142861</v>
      </c>
    </row>
    <row r="78" spans="1:14">
      <c r="A78" s="9" t="s">
        <v>184</v>
      </c>
      <c r="B78" s="8">
        <v>24</v>
      </c>
      <c r="C78" s="8" t="s">
        <v>35</v>
      </c>
      <c r="D78" s="8" t="s">
        <v>36</v>
      </c>
      <c r="E78" s="8" t="s">
        <v>185</v>
      </c>
      <c r="F78" s="8">
        <v>180</v>
      </c>
      <c r="G78" s="8">
        <v>73.11</v>
      </c>
      <c r="H78" s="10">
        <v>25.37</v>
      </c>
      <c r="I78" s="21">
        <f>Table1[[#This Row],[BRUTTO_monthly_bill_eur]]/1.19</f>
        <v>61.436974789915972</v>
      </c>
      <c r="J78" s="21">
        <f>Table1[[#This Row],[monthly_consumption_kwh]]*Table1[[#This Row],[NETTO_procurement_cost_ct_per_kwh]]/100</f>
        <v>45.666000000000004</v>
      </c>
      <c r="K78" s="21">
        <f>Table1[[#This Row],[NETTO_monthly_revenue(€)]]-Table1[[#This Row],[procurement_cost_(€)]]</f>
        <v>15.770974789915968</v>
      </c>
      <c r="L78" s="21">
        <f t="shared" si="3"/>
        <v>8.7616526610644279</v>
      </c>
      <c r="M78" s="21" t="str">
        <f t="shared" si="4"/>
        <v>04.08.2024</v>
      </c>
      <c r="N78" s="21">
        <f t="shared" si="5"/>
        <v>61.436974789915972</v>
      </c>
    </row>
    <row r="79" spans="1:14">
      <c r="A79" s="9" t="s">
        <v>186</v>
      </c>
      <c r="B79" s="8">
        <v>12</v>
      </c>
      <c r="C79" s="8" t="s">
        <v>35</v>
      </c>
      <c r="D79" s="8" t="s">
        <v>46</v>
      </c>
      <c r="E79" s="8" t="s">
        <v>187</v>
      </c>
      <c r="F79" s="8">
        <v>234</v>
      </c>
      <c r="G79" s="8">
        <v>88.9</v>
      </c>
      <c r="H79" s="10">
        <v>23.94</v>
      </c>
      <c r="I79" s="21">
        <f>Table1[[#This Row],[BRUTTO_monthly_bill_eur]]/1.19</f>
        <v>74.705882352941188</v>
      </c>
      <c r="J79" s="21">
        <f>Table1[[#This Row],[monthly_consumption_kwh]]*Table1[[#This Row],[NETTO_procurement_cost_ct_per_kwh]]/100</f>
        <v>56.019599999999997</v>
      </c>
      <c r="K79" s="21">
        <f>Table1[[#This Row],[NETTO_monthly_revenue(€)]]-Table1[[#This Row],[procurement_cost_(€)]]</f>
        <v>18.686282352941191</v>
      </c>
      <c r="L79" s="21">
        <f t="shared" si="3"/>
        <v>7.985590749120167</v>
      </c>
      <c r="M79" s="21" t="str">
        <f t="shared" si="4"/>
        <v>2024-11</v>
      </c>
      <c r="N79" s="21">
        <f t="shared" si="5"/>
        <v>74.705882352941188</v>
      </c>
    </row>
    <row r="80" spans="1:14">
      <c r="A80" s="9" t="s">
        <v>188</v>
      </c>
      <c r="B80" s="8">
        <v>12</v>
      </c>
      <c r="C80" s="8" t="s">
        <v>39</v>
      </c>
      <c r="D80" s="8" t="s">
        <v>36</v>
      </c>
      <c r="E80" s="8" t="s">
        <v>189</v>
      </c>
      <c r="F80" s="8">
        <v>98</v>
      </c>
      <c r="G80" s="8">
        <v>46.45</v>
      </c>
      <c r="H80" s="10">
        <v>29.33</v>
      </c>
      <c r="I80" s="21">
        <f>Table1[[#This Row],[BRUTTO_monthly_bill_eur]]/1.19</f>
        <v>39.033613445378158</v>
      </c>
      <c r="J80" s="21">
        <f>Table1[[#This Row],[monthly_consumption_kwh]]*Table1[[#This Row],[NETTO_procurement_cost_ct_per_kwh]]/100</f>
        <v>28.743399999999998</v>
      </c>
      <c r="K80" s="21">
        <f>Table1[[#This Row],[NETTO_monthly_revenue(€)]]-Table1[[#This Row],[procurement_cost_(€)]]</f>
        <v>10.290213445378161</v>
      </c>
      <c r="L80" s="21">
        <f t="shared" si="3"/>
        <v>10.500217801406286</v>
      </c>
      <c r="M80" s="21" t="str">
        <f t="shared" si="4"/>
        <v>05.08.2024</v>
      </c>
      <c r="N80" s="21">
        <f t="shared" si="5"/>
        <v>39.033613445378158</v>
      </c>
    </row>
    <row r="81" spans="1:14">
      <c r="A81" s="9" t="s">
        <v>190</v>
      </c>
      <c r="B81" s="8">
        <v>12</v>
      </c>
      <c r="C81" s="8" t="s">
        <v>39</v>
      </c>
      <c r="D81" s="8" t="s">
        <v>46</v>
      </c>
      <c r="E81" s="8" t="s">
        <v>191</v>
      </c>
      <c r="F81" s="8">
        <v>141</v>
      </c>
      <c r="G81" s="8">
        <v>61.71</v>
      </c>
      <c r="H81" s="10">
        <v>33.17</v>
      </c>
      <c r="I81" s="21">
        <f>Table1[[#This Row],[BRUTTO_monthly_bill_eur]]/1.19</f>
        <v>51.857142857142861</v>
      </c>
      <c r="J81" s="21">
        <f>Table1[[#This Row],[monthly_consumption_kwh]]*Table1[[#This Row],[NETTO_procurement_cost_ct_per_kwh]]/100</f>
        <v>46.7697</v>
      </c>
      <c r="K81" s="21">
        <f>Table1[[#This Row],[NETTO_monthly_revenue(€)]]-Table1[[#This Row],[procurement_cost_(€)]]</f>
        <v>5.0874428571428609</v>
      </c>
      <c r="L81" s="21">
        <f t="shared" si="3"/>
        <v>3.6081155015197597</v>
      </c>
      <c r="M81" s="21" t="str">
        <f t="shared" si="4"/>
        <v>2025-05</v>
      </c>
      <c r="N81" s="21">
        <f t="shared" si="5"/>
        <v>51.857142857142861</v>
      </c>
    </row>
    <row r="82" spans="1:14">
      <c r="A82" s="9" t="s">
        <v>192</v>
      </c>
      <c r="B82" s="8">
        <v>24</v>
      </c>
      <c r="C82" s="8" t="s">
        <v>39</v>
      </c>
      <c r="D82" s="8" t="s">
        <v>36</v>
      </c>
      <c r="E82" s="8" t="s">
        <v>193</v>
      </c>
      <c r="F82" s="8">
        <v>112</v>
      </c>
      <c r="G82" s="8">
        <v>50.62</v>
      </c>
      <c r="H82" s="10">
        <v>29.81</v>
      </c>
      <c r="I82" s="21">
        <f>Table1[[#This Row],[BRUTTO_monthly_bill_eur]]/1.19</f>
        <v>42.537815126050418</v>
      </c>
      <c r="J82" s="21">
        <f>Table1[[#This Row],[monthly_consumption_kwh]]*Table1[[#This Row],[NETTO_procurement_cost_ct_per_kwh]]/100</f>
        <v>33.3872</v>
      </c>
      <c r="K82" s="21">
        <f>Table1[[#This Row],[NETTO_monthly_revenue(€)]]-Table1[[#This Row],[procurement_cost_(€)]]</f>
        <v>9.1506151260504183</v>
      </c>
      <c r="L82" s="21">
        <f t="shared" si="3"/>
        <v>8.1701920768307303</v>
      </c>
      <c r="M82" s="21" t="str">
        <f t="shared" si="4"/>
        <v>09.02.2025</v>
      </c>
      <c r="N82" s="21">
        <f t="shared" si="5"/>
        <v>42.537815126050418</v>
      </c>
    </row>
    <row r="83" spans="1:14">
      <c r="A83" s="9" t="s">
        <v>194</v>
      </c>
      <c r="B83" s="8">
        <v>24</v>
      </c>
      <c r="C83" s="8" t="s">
        <v>35</v>
      </c>
      <c r="D83" s="8" t="s">
        <v>56</v>
      </c>
      <c r="E83" s="8" t="s">
        <v>195</v>
      </c>
      <c r="F83" s="8">
        <v>329</v>
      </c>
      <c r="G83" s="8">
        <v>120.21</v>
      </c>
      <c r="H83" s="10">
        <v>22.73</v>
      </c>
      <c r="I83" s="21">
        <f>Table1[[#This Row],[BRUTTO_monthly_bill_eur]]/1.19</f>
        <v>101.01680672268907</v>
      </c>
      <c r="J83" s="21">
        <f>Table1[[#This Row],[monthly_consumption_kwh]]*Table1[[#This Row],[NETTO_procurement_cost_ct_per_kwh]]/100</f>
        <v>74.781700000000001</v>
      </c>
      <c r="K83" s="21">
        <f>Table1[[#This Row],[NETTO_monthly_revenue(€)]]-Table1[[#This Row],[procurement_cost_(€)]]</f>
        <v>26.235106722689068</v>
      </c>
      <c r="L83" s="21">
        <f t="shared" si="3"/>
        <v>7.9741965722459174</v>
      </c>
      <c r="M83" s="21" t="str">
        <f t="shared" si="4"/>
        <v>14.04.2025</v>
      </c>
      <c r="N83" s="21">
        <f t="shared" si="5"/>
        <v>101.01680672268907</v>
      </c>
    </row>
    <row r="84" spans="1:14">
      <c r="A84" s="9" t="s">
        <v>196</v>
      </c>
      <c r="B84" s="8">
        <v>12</v>
      </c>
      <c r="C84" s="8" t="s">
        <v>39</v>
      </c>
      <c r="D84" s="8" t="s">
        <v>56</v>
      </c>
      <c r="E84" s="8" t="s">
        <v>197</v>
      </c>
      <c r="F84" s="8">
        <v>137</v>
      </c>
      <c r="G84" s="8">
        <v>61.97</v>
      </c>
      <c r="H84" s="10">
        <v>31.42</v>
      </c>
      <c r="I84" s="21">
        <f>Table1[[#This Row],[BRUTTO_monthly_bill_eur]]/1.19</f>
        <v>52.075630252100844</v>
      </c>
      <c r="J84" s="21">
        <f>Table1[[#This Row],[monthly_consumption_kwh]]*Table1[[#This Row],[NETTO_procurement_cost_ct_per_kwh]]/100</f>
        <v>43.045400000000001</v>
      </c>
      <c r="K84" s="21">
        <f>Table1[[#This Row],[NETTO_monthly_revenue(€)]]-Table1[[#This Row],[procurement_cost_(€)]]</f>
        <v>9.0302302521008428</v>
      </c>
      <c r="L84" s="21">
        <f t="shared" si="3"/>
        <v>6.5914089431393013</v>
      </c>
      <c r="M84" s="21" t="str">
        <f t="shared" si="4"/>
        <v>26.05.2024</v>
      </c>
      <c r="N84" s="21">
        <f t="shared" si="5"/>
        <v>52.075630252100844</v>
      </c>
    </row>
    <row r="85" spans="1:14">
      <c r="A85" s="9" t="s">
        <v>198</v>
      </c>
      <c r="B85" s="8">
        <v>12</v>
      </c>
      <c r="C85" s="8" t="s">
        <v>39</v>
      </c>
      <c r="D85" s="8" t="s">
        <v>36</v>
      </c>
      <c r="E85" s="8" t="s">
        <v>199</v>
      </c>
      <c r="F85" s="8">
        <v>152</v>
      </c>
      <c r="G85" s="8">
        <v>65.11</v>
      </c>
      <c r="H85" s="10">
        <v>31.53</v>
      </c>
      <c r="I85" s="21">
        <f>Table1[[#This Row],[BRUTTO_monthly_bill_eur]]/1.19</f>
        <v>54.714285714285715</v>
      </c>
      <c r="J85" s="21">
        <f>Table1[[#This Row],[monthly_consumption_kwh]]*Table1[[#This Row],[NETTO_procurement_cost_ct_per_kwh]]/100</f>
        <v>47.925600000000003</v>
      </c>
      <c r="K85" s="21">
        <f>Table1[[#This Row],[NETTO_monthly_revenue(€)]]-Table1[[#This Row],[procurement_cost_(€)]]</f>
        <v>6.7886857142857124</v>
      </c>
      <c r="L85" s="21">
        <f t="shared" si="3"/>
        <v>4.4662406015037588</v>
      </c>
      <c r="M85" s="21" t="str">
        <f t="shared" si="4"/>
        <v>28.09.2024</v>
      </c>
      <c r="N85" s="21">
        <f t="shared" si="5"/>
        <v>54.714285714285715</v>
      </c>
    </row>
    <row r="86" spans="1:14">
      <c r="A86" s="9" t="s">
        <v>200</v>
      </c>
      <c r="B86" s="8">
        <v>12</v>
      </c>
      <c r="C86" s="8" t="s">
        <v>51</v>
      </c>
      <c r="D86" s="8" t="s">
        <v>36</v>
      </c>
      <c r="E86" s="8" t="s">
        <v>49</v>
      </c>
      <c r="F86" s="8">
        <v>377</v>
      </c>
      <c r="G86" s="8">
        <v>123.01</v>
      </c>
      <c r="H86" s="10">
        <v>18.829999999999998</v>
      </c>
      <c r="I86" s="21">
        <f>Table1[[#This Row],[BRUTTO_monthly_bill_eur]]/1.19</f>
        <v>103.36974789915968</v>
      </c>
      <c r="J86" s="21">
        <f>Table1[[#This Row],[monthly_consumption_kwh]]*Table1[[#This Row],[NETTO_procurement_cost_ct_per_kwh]]/100</f>
        <v>70.989099999999993</v>
      </c>
      <c r="K86" s="21">
        <f>Table1[[#This Row],[NETTO_monthly_revenue(€)]]-Table1[[#This Row],[procurement_cost_(€)]]</f>
        <v>32.380647899159683</v>
      </c>
      <c r="L86" s="21">
        <f t="shared" si="3"/>
        <v>8.589031272986654</v>
      </c>
      <c r="M86" s="21" t="str">
        <f t="shared" si="4"/>
        <v>22.05.2024</v>
      </c>
      <c r="N86" s="21">
        <f t="shared" si="5"/>
        <v>103.36974789915968</v>
      </c>
    </row>
    <row r="87" spans="1:14">
      <c r="A87" s="9" t="s">
        <v>201</v>
      </c>
      <c r="B87" s="8">
        <v>12</v>
      </c>
      <c r="C87" s="8" t="s">
        <v>39</v>
      </c>
      <c r="D87" s="8" t="s">
        <v>56</v>
      </c>
      <c r="E87" s="8" t="s">
        <v>202</v>
      </c>
      <c r="F87" s="8">
        <v>155</v>
      </c>
      <c r="G87" s="8">
        <v>65.83</v>
      </c>
      <c r="H87" s="10">
        <v>28.3</v>
      </c>
      <c r="I87" s="21">
        <f>Table1[[#This Row],[BRUTTO_monthly_bill_eur]]/1.19</f>
        <v>55.319327731092436</v>
      </c>
      <c r="J87" s="21">
        <f>Table1[[#This Row],[monthly_consumption_kwh]]*Table1[[#This Row],[NETTO_procurement_cost_ct_per_kwh]]/100</f>
        <v>43.865000000000002</v>
      </c>
      <c r="K87" s="21">
        <f>Table1[[#This Row],[NETTO_monthly_revenue(€)]]-Table1[[#This Row],[procurement_cost_(€)]]</f>
        <v>11.454327731092434</v>
      </c>
      <c r="L87" s="21">
        <f t="shared" si="3"/>
        <v>7.3898888587693126</v>
      </c>
      <c r="M87" s="21" t="str">
        <f t="shared" si="4"/>
        <v>09.09.2024</v>
      </c>
      <c r="N87" s="21">
        <f t="shared" si="5"/>
        <v>55.319327731092436</v>
      </c>
    </row>
    <row r="88" spans="1:14">
      <c r="A88" s="9" t="s">
        <v>203</v>
      </c>
      <c r="B88" s="8">
        <v>24</v>
      </c>
      <c r="C88" s="8" t="s">
        <v>35</v>
      </c>
      <c r="D88" s="8" t="s">
        <v>36</v>
      </c>
      <c r="E88" s="8" t="s">
        <v>204</v>
      </c>
      <c r="F88" s="8">
        <v>320</v>
      </c>
      <c r="G88" s="8">
        <v>115.52</v>
      </c>
      <c r="H88" s="10">
        <v>23.55</v>
      </c>
      <c r="I88" s="21">
        <f>Table1[[#This Row],[BRUTTO_monthly_bill_eur]]/1.19</f>
        <v>97.075630252100837</v>
      </c>
      <c r="J88" s="21">
        <f>Table1[[#This Row],[monthly_consumption_kwh]]*Table1[[#This Row],[NETTO_procurement_cost_ct_per_kwh]]/100</f>
        <v>75.36</v>
      </c>
      <c r="K88" s="21">
        <f>Table1[[#This Row],[NETTO_monthly_revenue(€)]]-Table1[[#This Row],[procurement_cost_(€)]]</f>
        <v>21.715630252100837</v>
      </c>
      <c r="L88" s="21">
        <f t="shared" si="3"/>
        <v>6.7861344537815116</v>
      </c>
      <c r="M88" s="21" t="str">
        <f t="shared" si="4"/>
        <v>26.09.2024</v>
      </c>
      <c r="N88" s="21">
        <f t="shared" si="5"/>
        <v>97.075630252100837</v>
      </c>
    </row>
    <row r="89" spans="1:14">
      <c r="A89" s="9" t="s">
        <v>205</v>
      </c>
      <c r="B89" s="8">
        <v>24</v>
      </c>
      <c r="C89" s="8" t="s">
        <v>39</v>
      </c>
      <c r="D89" s="8" t="s">
        <v>56</v>
      </c>
      <c r="E89" s="8" t="s">
        <v>206</v>
      </c>
      <c r="F89" s="8">
        <v>124</v>
      </c>
      <c r="G89" s="8">
        <v>56.75</v>
      </c>
      <c r="H89" s="10">
        <v>31.21</v>
      </c>
      <c r="I89" s="21">
        <f>Table1[[#This Row],[BRUTTO_monthly_bill_eur]]/1.19</f>
        <v>47.689075630252105</v>
      </c>
      <c r="J89" s="21">
        <f>Table1[[#This Row],[monthly_consumption_kwh]]*Table1[[#This Row],[NETTO_procurement_cost_ct_per_kwh]]/100</f>
        <v>38.700400000000002</v>
      </c>
      <c r="K89" s="21">
        <f>Table1[[#This Row],[NETTO_monthly_revenue(€)]]-Table1[[#This Row],[procurement_cost_(€)]]</f>
        <v>8.9886756302521036</v>
      </c>
      <c r="L89" s="21">
        <f t="shared" si="3"/>
        <v>7.2489319598807294</v>
      </c>
      <c r="M89" s="21" t="str">
        <f t="shared" si="4"/>
        <v>14.03.2025</v>
      </c>
      <c r="N89" s="21">
        <f t="shared" si="5"/>
        <v>47.689075630252105</v>
      </c>
    </row>
    <row r="90" spans="1:14">
      <c r="A90" s="9" t="s">
        <v>207</v>
      </c>
      <c r="B90" s="8">
        <v>24</v>
      </c>
      <c r="C90" s="8" t="s">
        <v>39</v>
      </c>
      <c r="D90" s="8" t="s">
        <v>46</v>
      </c>
      <c r="E90" s="8" t="s">
        <v>208</v>
      </c>
      <c r="F90" s="8">
        <v>134</v>
      </c>
      <c r="G90" s="8">
        <v>58.32</v>
      </c>
      <c r="H90" s="10">
        <v>31.61</v>
      </c>
      <c r="I90" s="21">
        <f>Table1[[#This Row],[BRUTTO_monthly_bill_eur]]/1.19</f>
        <v>49.008403361344541</v>
      </c>
      <c r="J90" s="21">
        <f>Table1[[#This Row],[monthly_consumption_kwh]]*Table1[[#This Row],[NETTO_procurement_cost_ct_per_kwh]]/100</f>
        <v>42.357399999999998</v>
      </c>
      <c r="K90" s="21">
        <f>Table1[[#This Row],[NETTO_monthly_revenue(€)]]-Table1[[#This Row],[procurement_cost_(€)]]</f>
        <v>6.651003361344543</v>
      </c>
      <c r="L90" s="21">
        <f t="shared" si="3"/>
        <v>4.9634353442869728</v>
      </c>
      <c r="M90" s="21" t="str">
        <f t="shared" si="4"/>
        <v>12.02.2025</v>
      </c>
      <c r="N90" s="21">
        <f t="shared" si="5"/>
        <v>49.008403361344541</v>
      </c>
    </row>
    <row r="91" spans="1:14">
      <c r="A91" s="9" t="s">
        <v>209</v>
      </c>
      <c r="B91" s="8">
        <v>12</v>
      </c>
      <c r="C91" s="8" t="s">
        <v>39</v>
      </c>
      <c r="D91" s="8" t="s">
        <v>36</v>
      </c>
      <c r="E91" s="8" t="s">
        <v>210</v>
      </c>
      <c r="F91" s="8">
        <v>147</v>
      </c>
      <c r="G91" s="8">
        <v>62.08</v>
      </c>
      <c r="H91" s="10">
        <v>28.81</v>
      </c>
      <c r="I91" s="21">
        <f>Table1[[#This Row],[BRUTTO_monthly_bill_eur]]/1.19</f>
        <v>52.168067226890756</v>
      </c>
      <c r="J91" s="21">
        <f>Table1[[#This Row],[monthly_consumption_kwh]]*Table1[[#This Row],[NETTO_procurement_cost_ct_per_kwh]]/100</f>
        <v>42.350699999999996</v>
      </c>
      <c r="K91" s="21">
        <f>Table1[[#This Row],[NETTO_monthly_revenue(€)]]-Table1[[#This Row],[procurement_cost_(€)]]</f>
        <v>9.8173672268907595</v>
      </c>
      <c r="L91" s="21">
        <f t="shared" si="3"/>
        <v>6.678481106728408</v>
      </c>
      <c r="M91" s="21" t="str">
        <f t="shared" si="4"/>
        <v>05.01.2025</v>
      </c>
      <c r="N91" s="21">
        <f t="shared" si="5"/>
        <v>52.168067226890756</v>
      </c>
    </row>
    <row r="92" spans="1:14">
      <c r="A92" s="9" t="s">
        <v>211</v>
      </c>
      <c r="B92" s="8">
        <v>12</v>
      </c>
      <c r="C92" s="8" t="s">
        <v>35</v>
      </c>
      <c r="D92" s="8" t="s">
        <v>36</v>
      </c>
      <c r="E92" s="8" t="s">
        <v>168</v>
      </c>
      <c r="F92" s="8">
        <v>196</v>
      </c>
      <c r="G92" s="8">
        <v>77.959999999999994</v>
      </c>
      <c r="H92" s="10">
        <v>22.27</v>
      </c>
      <c r="I92" s="21">
        <f>Table1[[#This Row],[BRUTTO_monthly_bill_eur]]/1.19</f>
        <v>65.512605042016801</v>
      </c>
      <c r="J92" s="21">
        <f>Table1[[#This Row],[monthly_consumption_kwh]]*Table1[[#This Row],[NETTO_procurement_cost_ct_per_kwh]]/100</f>
        <v>43.6492</v>
      </c>
      <c r="K92" s="21">
        <f>Table1[[#This Row],[NETTO_monthly_revenue(€)]]-Table1[[#This Row],[procurement_cost_(€)]]</f>
        <v>21.863405042016801</v>
      </c>
      <c r="L92" s="21">
        <f t="shared" si="3"/>
        <v>11.154798490824898</v>
      </c>
      <c r="M92" s="21" t="str">
        <f t="shared" si="4"/>
        <v>12.08.2024</v>
      </c>
      <c r="N92" s="21">
        <f t="shared" si="5"/>
        <v>65.512605042016801</v>
      </c>
    </row>
    <row r="93" spans="1:14">
      <c r="A93" s="9" t="s">
        <v>212</v>
      </c>
      <c r="B93" s="8">
        <v>24</v>
      </c>
      <c r="C93" s="8" t="s">
        <v>51</v>
      </c>
      <c r="D93" s="8" t="s">
        <v>36</v>
      </c>
      <c r="E93" s="8" t="s">
        <v>213</v>
      </c>
      <c r="F93" s="8">
        <v>501</v>
      </c>
      <c r="G93" s="8">
        <v>164.88</v>
      </c>
      <c r="H93" s="10">
        <v>20.89</v>
      </c>
      <c r="I93" s="21">
        <f>Table1[[#This Row],[BRUTTO_monthly_bill_eur]]/1.19</f>
        <v>138.55462184873949</v>
      </c>
      <c r="J93" s="21">
        <f>Table1[[#This Row],[monthly_consumption_kwh]]*Table1[[#This Row],[NETTO_procurement_cost_ct_per_kwh]]/100</f>
        <v>104.65889999999999</v>
      </c>
      <c r="K93" s="21">
        <f>Table1[[#This Row],[NETTO_monthly_revenue(€)]]-Table1[[#This Row],[procurement_cost_(€)]]</f>
        <v>33.895721848739498</v>
      </c>
      <c r="L93" s="21">
        <f t="shared" si="3"/>
        <v>6.7656131434609774</v>
      </c>
      <c r="M93" s="21" t="str">
        <f t="shared" si="4"/>
        <v>21.05.2024</v>
      </c>
      <c r="N93" s="21">
        <f t="shared" si="5"/>
        <v>138.55462184873949</v>
      </c>
    </row>
    <row r="94" spans="1:14">
      <c r="A94" s="9" t="s">
        <v>214</v>
      </c>
      <c r="B94" s="8">
        <v>24</v>
      </c>
      <c r="C94" s="8" t="s">
        <v>51</v>
      </c>
      <c r="D94" s="8" t="s">
        <v>46</v>
      </c>
      <c r="E94" s="8" t="s">
        <v>215</v>
      </c>
      <c r="F94" s="8">
        <v>466</v>
      </c>
      <c r="G94" s="8">
        <v>159.11000000000001</v>
      </c>
      <c r="H94" s="10">
        <v>18.45</v>
      </c>
      <c r="I94" s="21">
        <f>Table1[[#This Row],[BRUTTO_monthly_bill_eur]]/1.19</f>
        <v>133.70588235294119</v>
      </c>
      <c r="J94" s="21">
        <f>Table1[[#This Row],[monthly_consumption_kwh]]*Table1[[#This Row],[NETTO_procurement_cost_ct_per_kwh]]/100</f>
        <v>85.97699999999999</v>
      </c>
      <c r="K94" s="21">
        <f>Table1[[#This Row],[NETTO_monthly_revenue(€)]]-Table1[[#This Row],[procurement_cost_(€)]]</f>
        <v>47.728882352941199</v>
      </c>
      <c r="L94" s="21">
        <f t="shared" si="3"/>
        <v>10.24224943196163</v>
      </c>
      <c r="M94" s="21" t="str">
        <f t="shared" si="4"/>
        <v>05.06.2025</v>
      </c>
      <c r="N94" s="21">
        <f t="shared" si="5"/>
        <v>133.70588235294119</v>
      </c>
    </row>
    <row r="95" spans="1:14">
      <c r="A95" s="9" t="s">
        <v>216</v>
      </c>
      <c r="B95" s="8">
        <v>24</v>
      </c>
      <c r="C95" s="8" t="s">
        <v>35</v>
      </c>
      <c r="D95" s="8" t="s">
        <v>36</v>
      </c>
      <c r="E95" s="8" t="s">
        <v>217</v>
      </c>
      <c r="F95" s="8">
        <v>191</v>
      </c>
      <c r="G95" s="8">
        <v>78.48</v>
      </c>
      <c r="H95" s="10">
        <v>26.17</v>
      </c>
      <c r="I95" s="21">
        <f>Table1[[#This Row],[BRUTTO_monthly_bill_eur]]/1.19</f>
        <v>65.94957983193278</v>
      </c>
      <c r="J95" s="21">
        <f>Table1[[#This Row],[monthly_consumption_kwh]]*Table1[[#This Row],[NETTO_procurement_cost_ct_per_kwh]]/100</f>
        <v>49.984700000000004</v>
      </c>
      <c r="K95" s="21">
        <f>Table1[[#This Row],[NETTO_monthly_revenue(€)]]-Table1[[#This Row],[procurement_cost_(€)]]</f>
        <v>15.964879831932777</v>
      </c>
      <c r="L95" s="21">
        <f t="shared" si="3"/>
        <v>8.3585758282370559</v>
      </c>
      <c r="M95" s="21" t="str">
        <f t="shared" si="4"/>
        <v>2025-05</v>
      </c>
      <c r="N95" s="21">
        <f t="shared" si="5"/>
        <v>65.94957983193278</v>
      </c>
    </row>
    <row r="96" spans="1:14">
      <c r="A96" s="9" t="s">
        <v>218</v>
      </c>
      <c r="B96" s="8">
        <v>24</v>
      </c>
      <c r="C96" s="8" t="s">
        <v>35</v>
      </c>
      <c r="D96" s="8" t="s">
        <v>36</v>
      </c>
      <c r="E96" s="8" t="s">
        <v>219</v>
      </c>
      <c r="F96" s="8">
        <v>228</v>
      </c>
      <c r="G96" s="8">
        <v>87.33</v>
      </c>
      <c r="H96" s="10">
        <v>25.87</v>
      </c>
      <c r="I96" s="21">
        <f>Table1[[#This Row],[BRUTTO_monthly_bill_eur]]/1.19</f>
        <v>73.386554621848745</v>
      </c>
      <c r="J96" s="21">
        <f>Table1[[#This Row],[monthly_consumption_kwh]]*Table1[[#This Row],[NETTO_procurement_cost_ct_per_kwh]]/100</f>
        <v>58.983600000000003</v>
      </c>
      <c r="K96" s="21">
        <f>Table1[[#This Row],[NETTO_monthly_revenue(€)]]-Table1[[#This Row],[procurement_cost_(€)]]</f>
        <v>14.402954621848743</v>
      </c>
      <c r="L96" s="21">
        <f t="shared" si="3"/>
        <v>6.3170853604599744</v>
      </c>
      <c r="M96" s="21" t="str">
        <f t="shared" si="4"/>
        <v>03.04.2024</v>
      </c>
      <c r="N96" s="21">
        <f t="shared" si="5"/>
        <v>73.386554621848745</v>
      </c>
    </row>
    <row r="97" spans="1:14">
      <c r="A97" s="9" t="s">
        <v>220</v>
      </c>
      <c r="B97" s="8">
        <v>12</v>
      </c>
      <c r="C97" s="8" t="s">
        <v>39</v>
      </c>
      <c r="D97" s="8" t="s">
        <v>36</v>
      </c>
      <c r="E97" s="8" t="s">
        <v>221</v>
      </c>
      <c r="F97" s="8">
        <v>89</v>
      </c>
      <c r="G97" s="8">
        <v>40.93</v>
      </c>
      <c r="H97" s="10">
        <v>28.27</v>
      </c>
      <c r="I97" s="21">
        <f>Table1[[#This Row],[BRUTTO_monthly_bill_eur]]/1.19</f>
        <v>34.394957983193279</v>
      </c>
      <c r="J97" s="21">
        <f>Table1[[#This Row],[monthly_consumption_kwh]]*Table1[[#This Row],[NETTO_procurement_cost_ct_per_kwh]]/100</f>
        <v>25.160299999999996</v>
      </c>
      <c r="K97" s="21">
        <f>Table1[[#This Row],[NETTO_monthly_revenue(€)]]-Table1[[#This Row],[procurement_cost_(€)]]</f>
        <v>9.2346579831932836</v>
      </c>
      <c r="L97" s="21">
        <f t="shared" si="3"/>
        <v>10.37602020583515</v>
      </c>
      <c r="M97" s="21" t="str">
        <f t="shared" si="4"/>
        <v>18.02.2024</v>
      </c>
      <c r="N97" s="21">
        <f t="shared" si="5"/>
        <v>34.394957983193279</v>
      </c>
    </row>
    <row r="98" spans="1:14">
      <c r="A98" s="9" t="s">
        <v>222</v>
      </c>
      <c r="B98" s="8">
        <v>12</v>
      </c>
      <c r="C98" s="8" t="s">
        <v>39</v>
      </c>
      <c r="D98" s="8" t="s">
        <v>46</v>
      </c>
      <c r="E98" s="8" t="s">
        <v>223</v>
      </c>
      <c r="F98" s="8">
        <v>85</v>
      </c>
      <c r="G98" s="8">
        <v>38.65</v>
      </c>
      <c r="H98" s="10">
        <v>30.59</v>
      </c>
      <c r="I98" s="21">
        <f>Table1[[#This Row],[BRUTTO_monthly_bill_eur]]/1.19</f>
        <v>32.478991596638657</v>
      </c>
      <c r="J98" s="21">
        <f>Table1[[#This Row],[monthly_consumption_kwh]]*Table1[[#This Row],[NETTO_procurement_cost_ct_per_kwh]]/100</f>
        <v>26.0015</v>
      </c>
      <c r="K98" s="21">
        <f>Table1[[#This Row],[NETTO_monthly_revenue(€)]]-Table1[[#This Row],[procurement_cost_(€)]]</f>
        <v>6.4774915966386573</v>
      </c>
      <c r="L98" s="21">
        <f t="shared" si="3"/>
        <v>7.6205783489866548</v>
      </c>
      <c r="M98" s="21" t="str">
        <f t="shared" si="4"/>
        <v>2024-04</v>
      </c>
      <c r="N98" s="21">
        <f t="shared" si="5"/>
        <v>32.478991596638657</v>
      </c>
    </row>
    <row r="99" spans="1:14">
      <c r="A99" s="9" t="s">
        <v>224</v>
      </c>
      <c r="B99" s="8">
        <v>12</v>
      </c>
      <c r="C99" s="8" t="s">
        <v>51</v>
      </c>
      <c r="D99" s="8" t="s">
        <v>56</v>
      </c>
      <c r="E99" s="8" t="s">
        <v>225</v>
      </c>
      <c r="F99" s="8">
        <v>378</v>
      </c>
      <c r="G99" s="8">
        <v>122.25</v>
      </c>
      <c r="H99" s="10">
        <v>18.87</v>
      </c>
      <c r="I99" s="21">
        <f>Table1[[#This Row],[BRUTTO_monthly_bill_eur]]/1.19</f>
        <v>102.73109243697479</v>
      </c>
      <c r="J99" s="21">
        <f>Table1[[#This Row],[monthly_consumption_kwh]]*Table1[[#This Row],[NETTO_procurement_cost_ct_per_kwh]]/100</f>
        <v>71.328600000000009</v>
      </c>
      <c r="K99" s="21">
        <f>Table1[[#This Row],[NETTO_monthly_revenue(€)]]-Table1[[#This Row],[procurement_cost_(€)]]</f>
        <v>31.402492436974782</v>
      </c>
      <c r="L99" s="21">
        <f t="shared" si="3"/>
        <v>8.30753768173936</v>
      </c>
      <c r="M99" s="21" t="str">
        <f t="shared" si="4"/>
        <v>2024-06</v>
      </c>
      <c r="N99" s="21">
        <f t="shared" si="5"/>
        <v>102.73109243697479</v>
      </c>
    </row>
    <row r="100" spans="1:14">
      <c r="A100" s="9" t="s">
        <v>226</v>
      </c>
      <c r="B100" s="8">
        <v>12</v>
      </c>
      <c r="C100" s="8" t="s">
        <v>39</v>
      </c>
      <c r="D100" s="8" t="s">
        <v>56</v>
      </c>
      <c r="E100" s="8" t="s">
        <v>85</v>
      </c>
      <c r="F100" s="8">
        <v>164</v>
      </c>
      <c r="G100" s="8">
        <v>66.08</v>
      </c>
      <c r="H100" s="10">
        <v>31.5</v>
      </c>
      <c r="I100" s="21">
        <f>Table1[[#This Row],[BRUTTO_monthly_bill_eur]]/1.19</f>
        <v>55.529411764705884</v>
      </c>
      <c r="J100" s="21">
        <f>Table1[[#This Row],[monthly_consumption_kwh]]*Table1[[#This Row],[NETTO_procurement_cost_ct_per_kwh]]/100</f>
        <v>51.66</v>
      </c>
      <c r="K100" s="21">
        <f>Table1[[#This Row],[NETTO_monthly_revenue(€)]]-Table1[[#This Row],[procurement_cost_(€)]]</f>
        <v>3.8694117647058874</v>
      </c>
      <c r="L100" s="21">
        <f t="shared" si="3"/>
        <v>2.3593974175035899</v>
      </c>
      <c r="M100" s="21" t="str">
        <f t="shared" si="4"/>
        <v>12.06.2024</v>
      </c>
      <c r="N100" s="21">
        <f t="shared" si="5"/>
        <v>55.529411764705884</v>
      </c>
    </row>
    <row r="101" spans="1:14">
      <c r="A101" s="9" t="s">
        <v>227</v>
      </c>
      <c r="B101" s="8">
        <v>12</v>
      </c>
      <c r="C101" s="8" t="s">
        <v>39</v>
      </c>
      <c r="D101" s="8" t="s">
        <v>36</v>
      </c>
      <c r="E101" s="8" t="s">
        <v>57</v>
      </c>
      <c r="F101" s="8">
        <v>129</v>
      </c>
      <c r="G101" s="8">
        <v>57.02</v>
      </c>
      <c r="H101" s="10">
        <v>31.22</v>
      </c>
      <c r="I101" s="21">
        <f>Table1[[#This Row],[BRUTTO_monthly_bill_eur]]/1.19</f>
        <v>47.915966386554629</v>
      </c>
      <c r="J101" s="21">
        <f>Table1[[#This Row],[monthly_consumption_kwh]]*Table1[[#This Row],[NETTO_procurement_cost_ct_per_kwh]]/100</f>
        <v>40.273799999999994</v>
      </c>
      <c r="K101" s="21">
        <f>Table1[[#This Row],[NETTO_monthly_revenue(€)]]-Table1[[#This Row],[procurement_cost_(€)]]</f>
        <v>7.642166386554635</v>
      </c>
      <c r="L101" s="21">
        <f t="shared" si="3"/>
        <v>5.9241599895772366</v>
      </c>
      <c r="M101" s="21" t="str">
        <f t="shared" si="4"/>
        <v>08.03.2025</v>
      </c>
      <c r="N101" s="21">
        <f t="shared" si="5"/>
        <v>47.915966386554629</v>
      </c>
    </row>
    <row r="102" spans="1:14">
      <c r="A102" s="9" t="s">
        <v>228</v>
      </c>
      <c r="B102" s="8">
        <v>12</v>
      </c>
      <c r="C102" s="8" t="s">
        <v>39</v>
      </c>
      <c r="D102" s="8" t="s">
        <v>56</v>
      </c>
      <c r="E102" s="8" t="s">
        <v>229</v>
      </c>
      <c r="F102" s="8">
        <v>164</v>
      </c>
      <c r="G102" s="8">
        <v>67.91</v>
      </c>
      <c r="H102" s="10">
        <v>29.73</v>
      </c>
      <c r="I102" s="21">
        <f>Table1[[#This Row],[BRUTTO_monthly_bill_eur]]/1.19</f>
        <v>57.067226890756302</v>
      </c>
      <c r="J102" s="21">
        <f>Table1[[#This Row],[monthly_consumption_kwh]]*Table1[[#This Row],[NETTO_procurement_cost_ct_per_kwh]]/100</f>
        <v>48.757200000000005</v>
      </c>
      <c r="K102" s="21">
        <f>Table1[[#This Row],[NETTO_monthly_revenue(€)]]-Table1[[#This Row],[procurement_cost_(€)]]</f>
        <v>8.3100268907562977</v>
      </c>
      <c r="L102" s="21">
        <f t="shared" si="3"/>
        <v>5.0670895675343282</v>
      </c>
      <c r="M102" s="21" t="str">
        <f t="shared" si="4"/>
        <v>06.03.2024</v>
      </c>
      <c r="N102" s="21">
        <f t="shared" si="5"/>
        <v>57.067226890756302</v>
      </c>
    </row>
    <row r="103" spans="1:14">
      <c r="A103" s="9" t="s">
        <v>230</v>
      </c>
      <c r="B103" s="8">
        <v>24</v>
      </c>
      <c r="C103" s="8" t="s">
        <v>39</v>
      </c>
      <c r="D103" s="8" t="s">
        <v>46</v>
      </c>
      <c r="E103" s="8" t="s">
        <v>231</v>
      </c>
      <c r="F103" s="8">
        <v>119</v>
      </c>
      <c r="G103" s="8">
        <v>53.4</v>
      </c>
      <c r="H103" s="10">
        <v>31.99</v>
      </c>
      <c r="I103" s="21">
        <f>Table1[[#This Row],[BRUTTO_monthly_bill_eur]]/1.19</f>
        <v>44.873949579831937</v>
      </c>
      <c r="J103" s="21">
        <f>Table1[[#This Row],[monthly_consumption_kwh]]*Table1[[#This Row],[NETTO_procurement_cost_ct_per_kwh]]/100</f>
        <v>38.068100000000001</v>
      </c>
      <c r="K103" s="21">
        <f>Table1[[#This Row],[NETTO_monthly_revenue(€)]]-Table1[[#This Row],[procurement_cost_(€)]]</f>
        <v>6.8058495798319356</v>
      </c>
      <c r="L103" s="21">
        <f t="shared" si="3"/>
        <v>5.7192013275898619</v>
      </c>
      <c r="M103" s="21" t="str">
        <f t="shared" si="4"/>
        <v>29.01.2025</v>
      </c>
      <c r="N103" s="21">
        <f t="shared" si="5"/>
        <v>44.873949579831937</v>
      </c>
    </row>
    <row r="104" spans="1:14">
      <c r="A104" s="9" t="s">
        <v>230</v>
      </c>
      <c r="B104" s="8">
        <v>12</v>
      </c>
      <c r="C104" s="8" t="s">
        <v>39</v>
      </c>
      <c r="D104" s="8" t="s">
        <v>46</v>
      </c>
      <c r="E104" s="8" t="s">
        <v>232</v>
      </c>
      <c r="F104" s="8">
        <v>109</v>
      </c>
      <c r="G104" s="8">
        <v>48.62</v>
      </c>
      <c r="H104" s="10">
        <v>30.24</v>
      </c>
      <c r="I104" s="21">
        <f>Table1[[#This Row],[BRUTTO_monthly_bill_eur]]/1.19</f>
        <v>40.857142857142854</v>
      </c>
      <c r="J104" s="21">
        <f>Table1[[#This Row],[monthly_consumption_kwh]]*Table1[[#This Row],[NETTO_procurement_cost_ct_per_kwh]]/100</f>
        <v>32.961599999999997</v>
      </c>
      <c r="K104" s="21">
        <f>Table1[[#This Row],[NETTO_monthly_revenue(€)]]-Table1[[#This Row],[procurement_cost_(€)]]</f>
        <v>7.895542857142857</v>
      </c>
      <c r="L104" s="21">
        <f t="shared" si="3"/>
        <v>7.2436173001310609</v>
      </c>
      <c r="M104" s="21" t="str">
        <f t="shared" si="4"/>
        <v>25.01.2025</v>
      </c>
      <c r="N104" s="21">
        <f t="shared" si="5"/>
        <v>40.857142857142854</v>
      </c>
    </row>
    <row r="105" spans="1:14">
      <c r="A105" s="9" t="s">
        <v>233</v>
      </c>
      <c r="B105" s="8">
        <v>12</v>
      </c>
      <c r="C105" s="8" t="s">
        <v>35</v>
      </c>
      <c r="D105" s="8" t="s">
        <v>56</v>
      </c>
      <c r="E105" s="8" t="s">
        <v>234</v>
      </c>
      <c r="F105" s="8">
        <v>251</v>
      </c>
      <c r="G105" s="8">
        <v>91.69</v>
      </c>
      <c r="H105" s="10">
        <v>23.28</v>
      </c>
      <c r="I105" s="21">
        <f>Table1[[#This Row],[BRUTTO_monthly_bill_eur]]/1.19</f>
        <v>77.050420168067234</v>
      </c>
      <c r="J105" s="21">
        <f>Table1[[#This Row],[monthly_consumption_kwh]]*Table1[[#This Row],[NETTO_procurement_cost_ct_per_kwh]]/100</f>
        <v>58.432800000000007</v>
      </c>
      <c r="K105" s="21">
        <f>Table1[[#This Row],[NETTO_monthly_revenue(€)]]-Table1[[#This Row],[procurement_cost_(€)]]</f>
        <v>18.617620168067226</v>
      </c>
      <c r="L105" s="21">
        <f t="shared" si="3"/>
        <v>7.4173785530148306</v>
      </c>
      <c r="M105" s="21" t="str">
        <f t="shared" si="4"/>
        <v>24.04.2025</v>
      </c>
      <c r="N105" s="21">
        <f t="shared" si="5"/>
        <v>77.050420168067234</v>
      </c>
    </row>
    <row r="106" spans="1:14">
      <c r="A106" s="9" t="s">
        <v>235</v>
      </c>
      <c r="B106" s="8">
        <v>24</v>
      </c>
      <c r="C106" s="8" t="s">
        <v>35</v>
      </c>
      <c r="D106" s="8" t="s">
        <v>36</v>
      </c>
      <c r="E106" s="8" t="s">
        <v>236</v>
      </c>
      <c r="F106" s="8">
        <v>240</v>
      </c>
      <c r="G106" s="8">
        <v>93.58</v>
      </c>
      <c r="H106" s="10">
        <v>22.88</v>
      </c>
      <c r="I106" s="21">
        <f>Table1[[#This Row],[BRUTTO_monthly_bill_eur]]/1.19</f>
        <v>78.638655462184872</v>
      </c>
      <c r="J106" s="21">
        <f>Table1[[#This Row],[monthly_consumption_kwh]]*Table1[[#This Row],[NETTO_procurement_cost_ct_per_kwh]]/100</f>
        <v>54.911999999999999</v>
      </c>
      <c r="K106" s="21">
        <f>Table1[[#This Row],[NETTO_monthly_revenue(€)]]-Table1[[#This Row],[procurement_cost_(€)]]</f>
        <v>23.726655462184873</v>
      </c>
      <c r="L106" s="21">
        <f t="shared" si="3"/>
        <v>9.8861064425770309</v>
      </c>
      <c r="M106" s="21" t="str">
        <f t="shared" si="4"/>
        <v>25.06.2025</v>
      </c>
      <c r="N106" s="21">
        <f t="shared" si="5"/>
        <v>78.638655462184872</v>
      </c>
    </row>
    <row r="107" spans="1:14">
      <c r="A107" s="9" t="s">
        <v>237</v>
      </c>
      <c r="B107" s="8">
        <v>12</v>
      </c>
      <c r="C107" s="8" t="s">
        <v>51</v>
      </c>
      <c r="D107" s="8" t="s">
        <v>36</v>
      </c>
      <c r="E107" s="8" t="s">
        <v>238</v>
      </c>
      <c r="F107" s="8">
        <v>368</v>
      </c>
      <c r="G107" s="8">
        <v>126.39</v>
      </c>
      <c r="H107" s="10">
        <v>18.25</v>
      </c>
      <c r="I107" s="21">
        <f>Table1[[#This Row],[BRUTTO_monthly_bill_eur]]/1.19</f>
        <v>106.21008403361346</v>
      </c>
      <c r="J107" s="21">
        <f>Table1[[#This Row],[monthly_consumption_kwh]]*Table1[[#This Row],[NETTO_procurement_cost_ct_per_kwh]]/100</f>
        <v>67.16</v>
      </c>
      <c r="K107" s="21">
        <f>Table1[[#This Row],[NETTO_monthly_revenue(€)]]-Table1[[#This Row],[procurement_cost_(€)]]</f>
        <v>39.050084033613459</v>
      </c>
      <c r="L107" s="21">
        <f t="shared" si="3"/>
        <v>10.611435878699309</v>
      </c>
      <c r="M107" s="21" t="str">
        <f t="shared" si="4"/>
        <v>14.09.2024</v>
      </c>
      <c r="N107" s="21">
        <f t="shared" si="5"/>
        <v>106.21008403361346</v>
      </c>
    </row>
    <row r="108" spans="1:14">
      <c r="A108" s="9" t="s">
        <v>239</v>
      </c>
      <c r="B108" s="8">
        <v>12</v>
      </c>
      <c r="C108" s="8" t="s">
        <v>51</v>
      </c>
      <c r="D108" s="8" t="s">
        <v>56</v>
      </c>
      <c r="E108" s="8" t="s">
        <v>240</v>
      </c>
      <c r="F108" s="8">
        <v>547</v>
      </c>
      <c r="G108" s="8">
        <v>192.47</v>
      </c>
      <c r="H108" s="10">
        <v>18.36</v>
      </c>
      <c r="I108" s="21">
        <f>Table1[[#This Row],[BRUTTO_monthly_bill_eur]]/1.19</f>
        <v>161.73949579831933</v>
      </c>
      <c r="J108" s="21">
        <f>Table1[[#This Row],[monthly_consumption_kwh]]*Table1[[#This Row],[NETTO_procurement_cost_ct_per_kwh]]/100</f>
        <v>100.42919999999999</v>
      </c>
      <c r="K108" s="21">
        <f>Table1[[#This Row],[NETTO_monthly_revenue(€)]]-Table1[[#This Row],[procurement_cost_(€)]]</f>
        <v>61.310295798319331</v>
      </c>
      <c r="L108" s="21">
        <f t="shared" si="3"/>
        <v>11.208463582873735</v>
      </c>
      <c r="M108" s="21" t="str">
        <f t="shared" si="4"/>
        <v>12.01.2024</v>
      </c>
      <c r="N108" s="21">
        <f t="shared" si="5"/>
        <v>161.73949579831933</v>
      </c>
    </row>
    <row r="109" spans="1:14">
      <c r="A109" s="9" t="s">
        <v>241</v>
      </c>
      <c r="B109" s="8">
        <v>24</v>
      </c>
      <c r="C109" s="8" t="s">
        <v>39</v>
      </c>
      <c r="D109" s="8" t="s">
        <v>36</v>
      </c>
      <c r="E109" s="8" t="s">
        <v>242</v>
      </c>
      <c r="F109" s="8">
        <v>101</v>
      </c>
      <c r="G109" s="8">
        <v>44.36</v>
      </c>
      <c r="H109" s="10">
        <v>28.27</v>
      </c>
      <c r="I109" s="21">
        <f>Table1[[#This Row],[BRUTTO_monthly_bill_eur]]/1.19</f>
        <v>37.27731092436975</v>
      </c>
      <c r="J109" s="21">
        <f>Table1[[#This Row],[monthly_consumption_kwh]]*Table1[[#This Row],[NETTO_procurement_cost_ct_per_kwh]]/100</f>
        <v>28.552700000000002</v>
      </c>
      <c r="K109" s="21">
        <f>Table1[[#This Row],[NETTO_monthly_revenue(€)]]-Table1[[#This Row],[procurement_cost_(€)]]</f>
        <v>8.7246109243697489</v>
      </c>
      <c r="L109" s="21">
        <f t="shared" si="3"/>
        <v>8.638228637989851</v>
      </c>
      <c r="M109" s="21" t="str">
        <f t="shared" si="4"/>
        <v>27.04.2024</v>
      </c>
      <c r="N109" s="21">
        <f t="shared" si="5"/>
        <v>37.27731092436975</v>
      </c>
    </row>
    <row r="110" spans="1:14">
      <c r="A110" s="9" t="s">
        <v>243</v>
      </c>
      <c r="B110" s="8">
        <v>12</v>
      </c>
      <c r="C110" s="8" t="s">
        <v>39</v>
      </c>
      <c r="D110" s="8" t="s">
        <v>56</v>
      </c>
      <c r="E110" s="8" t="s">
        <v>153</v>
      </c>
      <c r="F110" s="8">
        <v>135</v>
      </c>
      <c r="G110" s="8">
        <v>62.33</v>
      </c>
      <c r="H110" s="10">
        <v>29.48</v>
      </c>
      <c r="I110" s="21">
        <f>Table1[[#This Row],[BRUTTO_monthly_bill_eur]]/1.19</f>
        <v>52.378151260504204</v>
      </c>
      <c r="J110" s="21">
        <f>Table1[[#This Row],[monthly_consumption_kwh]]*Table1[[#This Row],[NETTO_procurement_cost_ct_per_kwh]]/100</f>
        <v>39.798000000000002</v>
      </c>
      <c r="K110" s="21">
        <f>Table1[[#This Row],[NETTO_monthly_revenue(€)]]-Table1[[#This Row],[procurement_cost_(€)]]</f>
        <v>12.580151260504202</v>
      </c>
      <c r="L110" s="21">
        <f t="shared" si="3"/>
        <v>9.3186305633364448</v>
      </c>
      <c r="M110" s="21" t="str">
        <f t="shared" si="4"/>
        <v>30.09.2024</v>
      </c>
      <c r="N110" s="21">
        <f t="shared" si="5"/>
        <v>52.378151260504204</v>
      </c>
    </row>
    <row r="111" spans="1:14">
      <c r="A111" s="9" t="s">
        <v>244</v>
      </c>
      <c r="B111" s="8">
        <v>12</v>
      </c>
      <c r="C111" s="8" t="s">
        <v>35</v>
      </c>
      <c r="D111" s="8" t="s">
        <v>56</v>
      </c>
      <c r="E111" s="8" t="s">
        <v>88</v>
      </c>
      <c r="F111" s="8">
        <v>275</v>
      </c>
      <c r="G111" s="8">
        <v>104.48</v>
      </c>
      <c r="H111" s="10">
        <v>23.86</v>
      </c>
      <c r="I111" s="21">
        <f>Table1[[#This Row],[BRUTTO_monthly_bill_eur]]/1.19</f>
        <v>87.798319327731093</v>
      </c>
      <c r="J111" s="21">
        <f>Table1[[#This Row],[monthly_consumption_kwh]]*Table1[[#This Row],[NETTO_procurement_cost_ct_per_kwh]]/100</f>
        <v>65.614999999999995</v>
      </c>
      <c r="K111" s="21">
        <f>Table1[[#This Row],[NETTO_monthly_revenue(€)]]-Table1[[#This Row],[procurement_cost_(€)]]</f>
        <v>22.183319327731098</v>
      </c>
      <c r="L111" s="21">
        <f t="shared" si="3"/>
        <v>8.066661573720399</v>
      </c>
      <c r="M111" s="21" t="str">
        <f t="shared" si="4"/>
        <v>14.12.2024</v>
      </c>
      <c r="N111" s="21">
        <f t="shared" si="5"/>
        <v>87.798319327731093</v>
      </c>
    </row>
    <row r="112" spans="1:14">
      <c r="A112" s="9" t="s">
        <v>245</v>
      </c>
      <c r="B112" s="8">
        <v>12</v>
      </c>
      <c r="C112" s="8" t="s">
        <v>35</v>
      </c>
      <c r="D112" s="8" t="s">
        <v>36</v>
      </c>
      <c r="E112" s="8" t="s">
        <v>37</v>
      </c>
      <c r="F112" s="8">
        <v>192</v>
      </c>
      <c r="G112" s="8">
        <v>78.209999999999994</v>
      </c>
      <c r="H112" s="10">
        <v>24.89</v>
      </c>
      <c r="I112" s="21">
        <f>Table1[[#This Row],[BRUTTO_monthly_bill_eur]]/1.19</f>
        <v>65.722689075630257</v>
      </c>
      <c r="J112" s="21">
        <f>Table1[[#This Row],[monthly_consumption_kwh]]*Table1[[#This Row],[NETTO_procurement_cost_ct_per_kwh]]/100</f>
        <v>47.788800000000002</v>
      </c>
      <c r="K112" s="21">
        <f>Table1[[#This Row],[NETTO_monthly_revenue(€)]]-Table1[[#This Row],[procurement_cost_(€)]]</f>
        <v>17.933889075630255</v>
      </c>
      <c r="L112" s="21">
        <f t="shared" si="3"/>
        <v>9.3405672268907569</v>
      </c>
      <c r="M112" s="21" t="str">
        <f t="shared" si="4"/>
        <v>24.04.2024</v>
      </c>
      <c r="N112" s="21">
        <f t="shared" si="5"/>
        <v>65.722689075630257</v>
      </c>
    </row>
    <row r="113" spans="1:14">
      <c r="A113" s="9" t="s">
        <v>246</v>
      </c>
      <c r="B113" s="8">
        <v>12</v>
      </c>
      <c r="C113" s="8" t="s">
        <v>39</v>
      </c>
      <c r="D113" s="8" t="s">
        <v>56</v>
      </c>
      <c r="E113" s="8" t="s">
        <v>120</v>
      </c>
      <c r="F113" s="8">
        <v>88</v>
      </c>
      <c r="G113" s="8">
        <v>43.12</v>
      </c>
      <c r="H113" s="10">
        <v>30.63</v>
      </c>
      <c r="I113" s="21">
        <f>Table1[[#This Row],[BRUTTO_monthly_bill_eur]]/1.19</f>
        <v>36.235294117647058</v>
      </c>
      <c r="J113" s="21">
        <f>Table1[[#This Row],[monthly_consumption_kwh]]*Table1[[#This Row],[NETTO_procurement_cost_ct_per_kwh]]/100</f>
        <v>26.9544</v>
      </c>
      <c r="K113" s="21">
        <f>Table1[[#This Row],[NETTO_monthly_revenue(€)]]-Table1[[#This Row],[procurement_cost_(€)]]</f>
        <v>9.2808941176470583</v>
      </c>
      <c r="L113" s="21">
        <f t="shared" si="3"/>
        <v>10.546470588235293</v>
      </c>
      <c r="M113" s="21" t="str">
        <f t="shared" si="4"/>
        <v>27.10.2024</v>
      </c>
      <c r="N113" s="21">
        <f t="shared" si="5"/>
        <v>36.235294117647058</v>
      </c>
    </row>
    <row r="114" spans="1:14">
      <c r="A114" s="9" t="s">
        <v>247</v>
      </c>
      <c r="B114" s="8">
        <v>24</v>
      </c>
      <c r="C114" s="8" t="s">
        <v>35</v>
      </c>
      <c r="D114" s="8" t="s">
        <v>36</v>
      </c>
      <c r="E114" s="8" t="s">
        <v>248</v>
      </c>
      <c r="F114" s="8">
        <v>297</v>
      </c>
      <c r="G114" s="8">
        <v>108.11</v>
      </c>
      <c r="H114" s="10">
        <v>24.84</v>
      </c>
      <c r="I114" s="21">
        <f>Table1[[#This Row],[BRUTTO_monthly_bill_eur]]/1.19</f>
        <v>90.848739495798327</v>
      </c>
      <c r="J114" s="21">
        <f>Table1[[#This Row],[monthly_consumption_kwh]]*Table1[[#This Row],[NETTO_procurement_cost_ct_per_kwh]]/100</f>
        <v>73.774799999999999</v>
      </c>
      <c r="K114" s="21">
        <f>Table1[[#This Row],[NETTO_monthly_revenue(€)]]-Table1[[#This Row],[procurement_cost_(€)]]</f>
        <v>17.073939495798328</v>
      </c>
      <c r="L114" s="21">
        <f t="shared" si="3"/>
        <v>5.7488011770364746</v>
      </c>
      <c r="M114" s="21" t="str">
        <f t="shared" si="4"/>
        <v>21.03.2025</v>
      </c>
      <c r="N114" s="21">
        <f t="shared" si="5"/>
        <v>90.848739495798327</v>
      </c>
    </row>
    <row r="115" spans="1:14">
      <c r="A115" s="9" t="s">
        <v>249</v>
      </c>
      <c r="B115" s="8">
        <v>24</v>
      </c>
      <c r="C115" s="8" t="s">
        <v>35</v>
      </c>
      <c r="D115" s="8" t="s">
        <v>36</v>
      </c>
      <c r="E115" s="8" t="s">
        <v>250</v>
      </c>
      <c r="F115" s="8">
        <v>243</v>
      </c>
      <c r="G115" s="8">
        <v>89.4</v>
      </c>
      <c r="H115" s="10">
        <v>24.03</v>
      </c>
      <c r="I115" s="21">
        <f>Table1[[#This Row],[BRUTTO_monthly_bill_eur]]/1.19</f>
        <v>75.12605042016807</v>
      </c>
      <c r="J115" s="21">
        <f>Table1[[#This Row],[monthly_consumption_kwh]]*Table1[[#This Row],[NETTO_procurement_cost_ct_per_kwh]]/100</f>
        <v>58.392899999999997</v>
      </c>
      <c r="K115" s="21">
        <f>Table1[[#This Row],[NETTO_monthly_revenue(€)]]-Table1[[#This Row],[procurement_cost_(€)]]</f>
        <v>16.733150420168073</v>
      </c>
      <c r="L115" s="21">
        <f t="shared" si="3"/>
        <v>6.8860701317564086</v>
      </c>
      <c r="M115" s="21" t="str">
        <f t="shared" si="4"/>
        <v>10.06.2024</v>
      </c>
      <c r="N115" s="21">
        <f t="shared" si="5"/>
        <v>75.12605042016807</v>
      </c>
    </row>
    <row r="116" spans="1:14">
      <c r="A116" s="9" t="s">
        <v>251</v>
      </c>
      <c r="B116" s="8">
        <v>24</v>
      </c>
      <c r="C116" s="8" t="s">
        <v>35</v>
      </c>
      <c r="D116" s="8" t="s">
        <v>46</v>
      </c>
      <c r="E116" s="8" t="s">
        <v>141</v>
      </c>
      <c r="F116" s="8">
        <v>177</v>
      </c>
      <c r="G116" s="8">
        <v>70.86</v>
      </c>
      <c r="H116" s="10">
        <v>22.87</v>
      </c>
      <c r="I116" s="21">
        <f>Table1[[#This Row],[BRUTTO_monthly_bill_eur]]/1.19</f>
        <v>59.54621848739496</v>
      </c>
      <c r="J116" s="21">
        <f>Table1[[#This Row],[monthly_consumption_kwh]]*Table1[[#This Row],[NETTO_procurement_cost_ct_per_kwh]]/100</f>
        <v>40.479900000000001</v>
      </c>
      <c r="K116" s="21">
        <f>Table1[[#This Row],[NETTO_monthly_revenue(€)]]-Table1[[#This Row],[procurement_cost_(€)]]</f>
        <v>19.066318487394959</v>
      </c>
      <c r="L116" s="21">
        <f t="shared" si="3"/>
        <v>10.77193134881071</v>
      </c>
      <c r="M116" s="21" t="str">
        <f t="shared" si="4"/>
        <v>09.04.2025</v>
      </c>
      <c r="N116" s="21">
        <f t="shared" si="5"/>
        <v>59.54621848739496</v>
      </c>
    </row>
    <row r="117" spans="1:14">
      <c r="A117" s="9" t="s">
        <v>252</v>
      </c>
      <c r="B117" s="8">
        <v>24</v>
      </c>
      <c r="C117" s="8" t="s">
        <v>35</v>
      </c>
      <c r="D117" s="8" t="s">
        <v>56</v>
      </c>
      <c r="E117" s="8" t="s">
        <v>253</v>
      </c>
      <c r="F117" s="8">
        <v>332</v>
      </c>
      <c r="G117" s="8">
        <v>124.62</v>
      </c>
      <c r="H117" s="10">
        <v>24.65</v>
      </c>
      <c r="I117" s="21">
        <f>Table1[[#This Row],[BRUTTO_monthly_bill_eur]]/1.19</f>
        <v>104.72268907563026</v>
      </c>
      <c r="J117" s="21">
        <f>Table1[[#This Row],[monthly_consumption_kwh]]*Table1[[#This Row],[NETTO_procurement_cost_ct_per_kwh]]/100</f>
        <v>81.837999999999994</v>
      </c>
      <c r="K117" s="21">
        <f>Table1[[#This Row],[NETTO_monthly_revenue(€)]]-Table1[[#This Row],[procurement_cost_(€)]]</f>
        <v>22.884689075630263</v>
      </c>
      <c r="L117" s="21">
        <f t="shared" si="3"/>
        <v>6.8929786372380315</v>
      </c>
      <c r="M117" s="21" t="str">
        <f t="shared" si="4"/>
        <v>04.01.2024</v>
      </c>
      <c r="N117" s="21">
        <f t="shared" si="5"/>
        <v>104.72268907563026</v>
      </c>
    </row>
    <row r="118" spans="1:14">
      <c r="A118" s="9" t="s">
        <v>254</v>
      </c>
      <c r="B118" s="8">
        <v>24</v>
      </c>
      <c r="C118" s="8" t="s">
        <v>39</v>
      </c>
      <c r="D118" s="8" t="s">
        <v>36</v>
      </c>
      <c r="E118" s="8" t="s">
        <v>204</v>
      </c>
      <c r="F118" s="8">
        <v>88</v>
      </c>
      <c r="G118" s="8">
        <v>43.24</v>
      </c>
      <c r="H118" s="10">
        <v>29.94</v>
      </c>
      <c r="I118" s="21">
        <f>Table1[[#This Row],[BRUTTO_monthly_bill_eur]]/1.19</f>
        <v>36.336134453781519</v>
      </c>
      <c r="J118" s="21">
        <f>Table1[[#This Row],[monthly_consumption_kwh]]*Table1[[#This Row],[NETTO_procurement_cost_ct_per_kwh]]/100</f>
        <v>26.347200000000001</v>
      </c>
      <c r="K118" s="21">
        <f>Table1[[#This Row],[NETTO_monthly_revenue(€)]]-Table1[[#This Row],[procurement_cost_(€)]]</f>
        <v>9.9889344537815177</v>
      </c>
      <c r="L118" s="21">
        <f t="shared" si="3"/>
        <v>11.351061879297179</v>
      </c>
      <c r="M118" s="21" t="str">
        <f t="shared" si="4"/>
        <v>26.09.2024</v>
      </c>
      <c r="N118" s="21">
        <f t="shared" si="5"/>
        <v>36.336134453781519</v>
      </c>
    </row>
    <row r="119" spans="1:14">
      <c r="A119" s="9" t="s">
        <v>255</v>
      </c>
      <c r="B119" s="8">
        <v>12</v>
      </c>
      <c r="C119" s="8" t="s">
        <v>51</v>
      </c>
      <c r="D119" s="8" t="s">
        <v>36</v>
      </c>
      <c r="E119" s="8" t="s">
        <v>256</v>
      </c>
      <c r="F119" s="8">
        <v>565</v>
      </c>
      <c r="G119" s="8">
        <v>184.25</v>
      </c>
      <c r="H119" s="10">
        <v>18.53</v>
      </c>
      <c r="I119" s="21">
        <f>Table1[[#This Row],[BRUTTO_monthly_bill_eur]]/1.19</f>
        <v>154.83193277310926</v>
      </c>
      <c r="J119" s="21">
        <f>Table1[[#This Row],[monthly_consumption_kwh]]*Table1[[#This Row],[NETTO_procurement_cost_ct_per_kwh]]/100</f>
        <v>104.69450000000001</v>
      </c>
      <c r="K119" s="21">
        <f>Table1[[#This Row],[NETTO_monthly_revenue(€)]]-Table1[[#This Row],[procurement_cost_(€)]]</f>
        <v>50.137432773109254</v>
      </c>
      <c r="L119" s="21">
        <f t="shared" si="3"/>
        <v>8.8738819067449999</v>
      </c>
      <c r="M119" s="21" t="str">
        <f t="shared" si="4"/>
        <v>27.05.2025</v>
      </c>
      <c r="N119" s="21">
        <f t="shared" si="5"/>
        <v>154.83193277310926</v>
      </c>
    </row>
    <row r="120" spans="1:14">
      <c r="A120" s="9" t="s">
        <v>257</v>
      </c>
      <c r="B120" s="8">
        <v>24</v>
      </c>
      <c r="C120" s="8" t="s">
        <v>51</v>
      </c>
      <c r="D120" s="8" t="s">
        <v>46</v>
      </c>
      <c r="E120" s="8" t="s">
        <v>258</v>
      </c>
      <c r="F120" s="8">
        <v>662</v>
      </c>
      <c r="G120" s="8">
        <v>213.32</v>
      </c>
      <c r="H120" s="10">
        <v>20.52</v>
      </c>
      <c r="I120" s="21">
        <f>Table1[[#This Row],[BRUTTO_monthly_bill_eur]]/1.19</f>
        <v>179.26050420168067</v>
      </c>
      <c r="J120" s="21">
        <f>Table1[[#This Row],[monthly_consumption_kwh]]*Table1[[#This Row],[NETTO_procurement_cost_ct_per_kwh]]/100</f>
        <v>135.8424</v>
      </c>
      <c r="K120" s="21">
        <f>Table1[[#This Row],[NETTO_monthly_revenue(€)]]-Table1[[#This Row],[procurement_cost_(€)]]</f>
        <v>43.418104201680677</v>
      </c>
      <c r="L120" s="21">
        <f t="shared" si="3"/>
        <v>6.558626012338471</v>
      </c>
      <c r="M120" s="21" t="str">
        <f t="shared" si="4"/>
        <v>01.07.2024</v>
      </c>
      <c r="N120" s="21">
        <f t="shared" si="5"/>
        <v>179.26050420168067</v>
      </c>
    </row>
    <row r="121" spans="1:14">
      <c r="A121" s="9" t="s">
        <v>259</v>
      </c>
      <c r="B121" s="8">
        <v>12</v>
      </c>
      <c r="C121" s="8" t="s">
        <v>39</v>
      </c>
      <c r="D121" s="8" t="s">
        <v>46</v>
      </c>
      <c r="E121" s="8" t="s">
        <v>260</v>
      </c>
      <c r="F121" s="8">
        <v>103</v>
      </c>
      <c r="G121" s="8">
        <v>48.12</v>
      </c>
      <c r="H121" s="10">
        <v>31.09</v>
      </c>
      <c r="I121" s="21">
        <f>Table1[[#This Row],[BRUTTO_monthly_bill_eur]]/1.19</f>
        <v>40.436974789915965</v>
      </c>
      <c r="J121" s="21">
        <f>Table1[[#This Row],[monthly_consumption_kwh]]*Table1[[#This Row],[NETTO_procurement_cost_ct_per_kwh]]/100</f>
        <v>32.0227</v>
      </c>
      <c r="K121" s="21">
        <f>Table1[[#This Row],[NETTO_monthly_revenue(€)]]-Table1[[#This Row],[procurement_cost_(€)]]</f>
        <v>8.4142747899159644</v>
      </c>
      <c r="L121" s="21">
        <f t="shared" si="3"/>
        <v>8.1691988251611303</v>
      </c>
      <c r="M121" s="21" t="str">
        <f t="shared" si="4"/>
        <v>03.06.2025</v>
      </c>
      <c r="N121" s="21">
        <f t="shared" si="5"/>
        <v>40.436974789915965</v>
      </c>
    </row>
    <row r="122" spans="1:14">
      <c r="A122" s="9" t="s">
        <v>261</v>
      </c>
      <c r="B122" s="8">
        <v>24</v>
      </c>
      <c r="C122" s="8" t="s">
        <v>51</v>
      </c>
      <c r="D122" s="8" t="s">
        <v>46</v>
      </c>
      <c r="E122" s="8" t="s">
        <v>262</v>
      </c>
      <c r="F122" s="8">
        <v>380</v>
      </c>
      <c r="G122" s="8">
        <v>131.24</v>
      </c>
      <c r="H122" s="10">
        <v>19.239999999999998</v>
      </c>
      <c r="I122" s="21">
        <f>Table1[[#This Row],[BRUTTO_monthly_bill_eur]]/1.19</f>
        <v>110.28571428571429</v>
      </c>
      <c r="J122" s="21">
        <f>Table1[[#This Row],[monthly_consumption_kwh]]*Table1[[#This Row],[NETTO_procurement_cost_ct_per_kwh]]/100</f>
        <v>73.111999999999995</v>
      </c>
      <c r="K122" s="21">
        <f>Table1[[#This Row],[NETTO_monthly_revenue(€)]]-Table1[[#This Row],[procurement_cost_(€)]]</f>
        <v>37.173714285714297</v>
      </c>
      <c r="L122" s="21">
        <f t="shared" si="3"/>
        <v>9.7825563909774473</v>
      </c>
      <c r="M122" s="21" t="str">
        <f t="shared" si="4"/>
        <v>18.04.2024</v>
      </c>
      <c r="N122" s="21">
        <f t="shared" si="5"/>
        <v>110.28571428571429</v>
      </c>
    </row>
    <row r="123" spans="1:14">
      <c r="A123" s="9" t="s">
        <v>263</v>
      </c>
      <c r="B123" s="8">
        <v>24</v>
      </c>
      <c r="C123" s="8" t="s">
        <v>35</v>
      </c>
      <c r="D123" s="8" t="s">
        <v>36</v>
      </c>
      <c r="E123" s="8" t="s">
        <v>264</v>
      </c>
      <c r="F123" s="8">
        <v>187</v>
      </c>
      <c r="G123" s="8">
        <v>76.66</v>
      </c>
      <c r="H123" s="10">
        <v>22.27</v>
      </c>
      <c r="I123" s="21">
        <f>Table1[[#This Row],[BRUTTO_monthly_bill_eur]]/1.19</f>
        <v>64.420168067226896</v>
      </c>
      <c r="J123" s="21">
        <f>Table1[[#This Row],[monthly_consumption_kwh]]*Table1[[#This Row],[NETTO_procurement_cost_ct_per_kwh]]/100</f>
        <v>41.6449</v>
      </c>
      <c r="K123" s="21">
        <f>Table1[[#This Row],[NETTO_monthly_revenue(€)]]-Table1[[#This Row],[procurement_cost_(€)]]</f>
        <v>22.775268067226897</v>
      </c>
      <c r="L123" s="21">
        <f t="shared" si="3"/>
        <v>12.179287736484971</v>
      </c>
      <c r="M123" s="21" t="str">
        <f t="shared" si="4"/>
        <v>01.11.2024</v>
      </c>
      <c r="N123" s="21">
        <f t="shared" si="5"/>
        <v>64.420168067226896</v>
      </c>
    </row>
    <row r="124" spans="1:14">
      <c r="A124" s="9" t="s">
        <v>265</v>
      </c>
      <c r="B124" s="8">
        <v>12</v>
      </c>
      <c r="C124" s="8" t="s">
        <v>51</v>
      </c>
      <c r="D124" s="8" t="s">
        <v>36</v>
      </c>
      <c r="E124" s="8" t="s">
        <v>260</v>
      </c>
      <c r="F124" s="8">
        <v>434</v>
      </c>
      <c r="G124" s="8">
        <v>149.79</v>
      </c>
      <c r="H124" s="10">
        <v>20.329999999999998</v>
      </c>
      <c r="I124" s="21">
        <f>Table1[[#This Row],[BRUTTO_monthly_bill_eur]]/1.19</f>
        <v>125.87394957983193</v>
      </c>
      <c r="J124" s="21">
        <f>Table1[[#This Row],[monthly_consumption_kwh]]*Table1[[#This Row],[NETTO_procurement_cost_ct_per_kwh]]/100</f>
        <v>88.232199999999992</v>
      </c>
      <c r="K124" s="21">
        <f>Table1[[#This Row],[NETTO_monthly_revenue(€)]]-Table1[[#This Row],[procurement_cost_(€)]]</f>
        <v>37.641749579831938</v>
      </c>
      <c r="L124" s="21">
        <f t="shared" si="3"/>
        <v>8.673214188901369</v>
      </c>
      <c r="M124" s="21" t="str">
        <f t="shared" si="4"/>
        <v>03.06.2025</v>
      </c>
      <c r="N124" s="21">
        <f t="shared" si="5"/>
        <v>125.87394957983193</v>
      </c>
    </row>
    <row r="125" spans="1:14">
      <c r="A125" s="9" t="s">
        <v>266</v>
      </c>
      <c r="B125" s="8">
        <v>12</v>
      </c>
      <c r="C125" s="8" t="s">
        <v>51</v>
      </c>
      <c r="D125" s="8" t="s">
        <v>36</v>
      </c>
      <c r="E125" s="8" t="s">
        <v>267</v>
      </c>
      <c r="F125" s="8">
        <v>367</v>
      </c>
      <c r="G125" s="8">
        <v>132.4</v>
      </c>
      <c r="H125" s="10">
        <v>19.420000000000002</v>
      </c>
      <c r="I125" s="21">
        <f>Table1[[#This Row],[BRUTTO_monthly_bill_eur]]/1.19</f>
        <v>111.26050420168069</v>
      </c>
      <c r="J125" s="21">
        <f>Table1[[#This Row],[monthly_consumption_kwh]]*Table1[[#This Row],[NETTO_procurement_cost_ct_per_kwh]]/100</f>
        <v>71.2714</v>
      </c>
      <c r="K125" s="21">
        <f>Table1[[#This Row],[NETTO_monthly_revenue(€)]]-Table1[[#This Row],[procurement_cost_(€)]]</f>
        <v>39.989104201680689</v>
      </c>
      <c r="L125" s="21">
        <f t="shared" si="3"/>
        <v>10.896213678932067</v>
      </c>
      <c r="M125" s="21" t="str">
        <f t="shared" si="4"/>
        <v>22.07.2024</v>
      </c>
      <c r="N125" s="21">
        <f t="shared" si="5"/>
        <v>111.26050420168069</v>
      </c>
    </row>
    <row r="126" spans="1:14">
      <c r="A126" s="9" t="s">
        <v>268</v>
      </c>
      <c r="B126" s="8">
        <v>12</v>
      </c>
      <c r="C126" s="8" t="s">
        <v>35</v>
      </c>
      <c r="D126" s="8" t="s">
        <v>56</v>
      </c>
      <c r="E126" s="8" t="s">
        <v>269</v>
      </c>
      <c r="F126" s="8">
        <v>282</v>
      </c>
      <c r="G126" s="8">
        <v>106.64</v>
      </c>
      <c r="H126" s="10">
        <v>27.13</v>
      </c>
      <c r="I126" s="21">
        <f>Table1[[#This Row],[BRUTTO_monthly_bill_eur]]/1.19</f>
        <v>89.613445378151269</v>
      </c>
      <c r="J126" s="21">
        <f>Table1[[#This Row],[monthly_consumption_kwh]]*Table1[[#This Row],[NETTO_procurement_cost_ct_per_kwh]]/100</f>
        <v>76.506599999999992</v>
      </c>
      <c r="K126" s="21">
        <f>Table1[[#This Row],[NETTO_monthly_revenue(€)]]-Table1[[#This Row],[procurement_cost_(€)]]</f>
        <v>13.106845378151277</v>
      </c>
      <c r="L126" s="21">
        <f t="shared" si="3"/>
        <v>4.6478175099827226</v>
      </c>
      <c r="M126" s="21" t="str">
        <f t="shared" si="4"/>
        <v>05.06.2024</v>
      </c>
      <c r="N126" s="21">
        <f t="shared" si="5"/>
        <v>89.613445378151269</v>
      </c>
    </row>
    <row r="127" spans="1:14">
      <c r="A127" s="9" t="s">
        <v>270</v>
      </c>
      <c r="B127" s="8">
        <v>12</v>
      </c>
      <c r="C127" s="8" t="s">
        <v>39</v>
      </c>
      <c r="D127" s="8" t="s">
        <v>36</v>
      </c>
      <c r="E127" s="8" t="s">
        <v>271</v>
      </c>
      <c r="F127" s="8">
        <v>88</v>
      </c>
      <c r="G127" s="8">
        <v>42.26</v>
      </c>
      <c r="H127" s="10">
        <v>31.01</v>
      </c>
      <c r="I127" s="21">
        <f>Table1[[#This Row],[BRUTTO_monthly_bill_eur]]/1.19</f>
        <v>35.512605042016808</v>
      </c>
      <c r="J127" s="21">
        <f>Table1[[#This Row],[monthly_consumption_kwh]]*Table1[[#This Row],[NETTO_procurement_cost_ct_per_kwh]]/100</f>
        <v>27.288800000000002</v>
      </c>
      <c r="K127" s="21">
        <f>Table1[[#This Row],[NETTO_monthly_revenue(€)]]-Table1[[#This Row],[procurement_cost_(€)]]</f>
        <v>8.2238050420168065</v>
      </c>
      <c r="L127" s="21">
        <f t="shared" si="3"/>
        <v>9.3452330022918257</v>
      </c>
      <c r="M127" s="21" t="str">
        <f t="shared" si="4"/>
        <v>17.01.2025</v>
      </c>
      <c r="N127" s="21">
        <f t="shared" si="5"/>
        <v>35.512605042016808</v>
      </c>
    </row>
    <row r="128" spans="1:14">
      <c r="A128" s="9" t="s">
        <v>272</v>
      </c>
      <c r="B128" s="8">
        <v>24</v>
      </c>
      <c r="C128" s="8" t="s">
        <v>39</v>
      </c>
      <c r="D128" s="8" t="s">
        <v>36</v>
      </c>
      <c r="E128" s="8" t="s">
        <v>273</v>
      </c>
      <c r="F128" s="8">
        <v>126</v>
      </c>
      <c r="G128" s="8">
        <v>56.7</v>
      </c>
      <c r="H128" s="10">
        <v>33.21</v>
      </c>
      <c r="I128" s="21">
        <f>Table1[[#This Row],[BRUTTO_monthly_bill_eur]]/1.19</f>
        <v>47.647058823529413</v>
      </c>
      <c r="J128" s="21">
        <f>Table1[[#This Row],[monthly_consumption_kwh]]*Table1[[#This Row],[NETTO_procurement_cost_ct_per_kwh]]/100</f>
        <v>41.8446</v>
      </c>
      <c r="K128" s="21">
        <f>Table1[[#This Row],[NETTO_monthly_revenue(€)]]-Table1[[#This Row],[procurement_cost_(€)]]</f>
        <v>5.8024588235294132</v>
      </c>
      <c r="L128" s="21">
        <f t="shared" si="3"/>
        <v>4.6051260504201688</v>
      </c>
      <c r="M128" s="21" t="str">
        <f t="shared" si="4"/>
        <v>14.06.2024</v>
      </c>
      <c r="N128" s="21">
        <f t="shared" si="5"/>
        <v>47.647058823529413</v>
      </c>
    </row>
    <row r="129" spans="1:14">
      <c r="A129" s="9" t="s">
        <v>274</v>
      </c>
      <c r="B129" s="8">
        <v>24</v>
      </c>
      <c r="C129" s="8" t="s">
        <v>35</v>
      </c>
      <c r="D129" s="8" t="s">
        <v>56</v>
      </c>
      <c r="E129" s="8" t="s">
        <v>275</v>
      </c>
      <c r="F129" s="8">
        <v>332</v>
      </c>
      <c r="G129" s="8">
        <v>128.66999999999999</v>
      </c>
      <c r="H129" s="10">
        <v>24.07</v>
      </c>
      <c r="I129" s="21">
        <f>Table1[[#This Row],[BRUTTO_monthly_bill_eur]]/1.19</f>
        <v>108.12605042016806</v>
      </c>
      <c r="J129" s="21">
        <f>Table1[[#This Row],[monthly_consumption_kwh]]*Table1[[#This Row],[NETTO_procurement_cost_ct_per_kwh]]/100</f>
        <v>79.912399999999991</v>
      </c>
      <c r="K129" s="21">
        <f>Table1[[#This Row],[NETTO_monthly_revenue(€)]]-Table1[[#This Row],[procurement_cost_(€)]]</f>
        <v>28.213650420168065</v>
      </c>
      <c r="L129" s="21">
        <f t="shared" si="3"/>
        <v>8.4980874759542377</v>
      </c>
      <c r="M129" s="21" t="str">
        <f t="shared" si="4"/>
        <v>27.06.2025</v>
      </c>
      <c r="N129" s="21">
        <f t="shared" si="5"/>
        <v>108.12605042016806</v>
      </c>
    </row>
    <row r="130" spans="1:14">
      <c r="A130" s="9" t="s">
        <v>276</v>
      </c>
      <c r="B130" s="8">
        <v>12</v>
      </c>
      <c r="C130" s="8" t="s">
        <v>35</v>
      </c>
      <c r="D130" s="8" t="s">
        <v>36</v>
      </c>
      <c r="E130" s="8" t="s">
        <v>277</v>
      </c>
      <c r="F130" s="8">
        <v>302</v>
      </c>
      <c r="G130" s="8">
        <v>111.53</v>
      </c>
      <c r="H130" s="10">
        <v>22.56</v>
      </c>
      <c r="I130" s="21">
        <f>Table1[[#This Row],[BRUTTO_monthly_bill_eur]]/1.19</f>
        <v>93.722689075630257</v>
      </c>
      <c r="J130" s="21">
        <f>Table1[[#This Row],[monthly_consumption_kwh]]*Table1[[#This Row],[NETTO_procurement_cost_ct_per_kwh]]/100</f>
        <v>68.131199999999993</v>
      </c>
      <c r="K130" s="21">
        <f>Table1[[#This Row],[NETTO_monthly_revenue(€)]]-Table1[[#This Row],[procurement_cost_(€)]]</f>
        <v>25.591489075630264</v>
      </c>
      <c r="L130" s="21">
        <f t="shared" ref="L130:L193" si="6">IF(F130=0,"",K130/F130*100)</f>
        <v>8.4740030051755841</v>
      </c>
      <c r="M130" s="21" t="str">
        <f t="shared" ref="M130:M193" si="7">TEXT(E130,"yyyy-mm")</f>
        <v>01.01.2024</v>
      </c>
      <c r="N130" s="21">
        <f t="shared" ref="N130:N193" si="8">G130/1.19</f>
        <v>93.722689075630257</v>
      </c>
    </row>
    <row r="131" spans="1:14">
      <c r="A131" s="9" t="s">
        <v>278</v>
      </c>
      <c r="B131" s="8">
        <v>12</v>
      </c>
      <c r="C131" s="8" t="s">
        <v>39</v>
      </c>
      <c r="D131" s="8" t="s">
        <v>56</v>
      </c>
      <c r="E131" s="8" t="s">
        <v>279</v>
      </c>
      <c r="F131" s="8">
        <v>135</v>
      </c>
      <c r="G131" s="8">
        <v>58.78</v>
      </c>
      <c r="H131" s="10">
        <v>30.68</v>
      </c>
      <c r="I131" s="21">
        <f>Table1[[#This Row],[BRUTTO_monthly_bill_eur]]/1.19</f>
        <v>49.394957983193279</v>
      </c>
      <c r="J131" s="21">
        <f>Table1[[#This Row],[monthly_consumption_kwh]]*Table1[[#This Row],[NETTO_procurement_cost_ct_per_kwh]]/100</f>
        <v>41.417999999999999</v>
      </c>
      <c r="K131" s="21">
        <f>Table1[[#This Row],[NETTO_monthly_revenue(€)]]-Table1[[#This Row],[procurement_cost_(€)]]</f>
        <v>7.9769579831932802</v>
      </c>
      <c r="L131" s="21">
        <f t="shared" si="6"/>
        <v>5.9088577653283556</v>
      </c>
      <c r="M131" s="21" t="str">
        <f t="shared" si="7"/>
        <v>27.11.2024</v>
      </c>
      <c r="N131" s="21">
        <f t="shared" si="8"/>
        <v>49.394957983193279</v>
      </c>
    </row>
    <row r="132" spans="1:14">
      <c r="A132" s="9" t="s">
        <v>280</v>
      </c>
      <c r="B132" s="8">
        <v>12</v>
      </c>
      <c r="C132" s="8" t="s">
        <v>39</v>
      </c>
      <c r="D132" s="8" t="s">
        <v>46</v>
      </c>
      <c r="E132" s="8" t="s">
        <v>281</v>
      </c>
      <c r="F132" s="8">
        <v>109</v>
      </c>
      <c r="G132" s="8">
        <v>48.82</v>
      </c>
      <c r="H132" s="10">
        <v>32.479999999999997</v>
      </c>
      <c r="I132" s="21">
        <f>Table1[[#This Row],[BRUTTO_monthly_bill_eur]]/1.19</f>
        <v>41.025210084033617</v>
      </c>
      <c r="J132" s="21">
        <f>Table1[[#This Row],[monthly_consumption_kwh]]*Table1[[#This Row],[NETTO_procurement_cost_ct_per_kwh]]/100</f>
        <v>35.403199999999998</v>
      </c>
      <c r="K132" s="21">
        <f>Table1[[#This Row],[NETTO_monthly_revenue(€)]]-Table1[[#This Row],[procurement_cost_(€)]]</f>
        <v>5.6220100840336187</v>
      </c>
      <c r="L132" s="21">
        <f t="shared" si="6"/>
        <v>5.1578074165446042</v>
      </c>
      <c r="M132" s="21" t="str">
        <f t="shared" si="7"/>
        <v>15.05.2025</v>
      </c>
      <c r="N132" s="21">
        <f t="shared" si="8"/>
        <v>41.025210084033617</v>
      </c>
    </row>
    <row r="133" spans="1:14">
      <c r="A133" s="9" t="s">
        <v>282</v>
      </c>
      <c r="B133" s="8">
        <v>12</v>
      </c>
      <c r="C133" s="8" t="s">
        <v>51</v>
      </c>
      <c r="D133" s="8" t="s">
        <v>56</v>
      </c>
      <c r="E133" s="8" t="s">
        <v>283</v>
      </c>
      <c r="F133" s="8">
        <v>541</v>
      </c>
      <c r="G133" s="8">
        <v>173.18</v>
      </c>
      <c r="H133" s="10">
        <v>20.21</v>
      </c>
      <c r="I133" s="21">
        <f>Table1[[#This Row],[BRUTTO_monthly_bill_eur]]/1.19</f>
        <v>145.52941176470588</v>
      </c>
      <c r="J133" s="21">
        <f>Table1[[#This Row],[monthly_consumption_kwh]]*Table1[[#This Row],[NETTO_procurement_cost_ct_per_kwh]]/100</f>
        <v>109.3361</v>
      </c>
      <c r="K133" s="21">
        <f>Table1[[#This Row],[NETTO_monthly_revenue(€)]]-Table1[[#This Row],[procurement_cost_(€)]]</f>
        <v>36.193311764705882</v>
      </c>
      <c r="L133" s="21">
        <f t="shared" si="6"/>
        <v>6.6900761117755794</v>
      </c>
      <c r="M133" s="21" t="str">
        <f t="shared" si="7"/>
        <v>20.01.2024</v>
      </c>
      <c r="N133" s="21">
        <f t="shared" si="8"/>
        <v>145.52941176470588</v>
      </c>
    </row>
    <row r="134" spans="1:14">
      <c r="A134" s="9" t="s">
        <v>284</v>
      </c>
      <c r="B134" s="8">
        <v>12</v>
      </c>
      <c r="C134" s="8" t="s">
        <v>51</v>
      </c>
      <c r="D134" s="8" t="s">
        <v>36</v>
      </c>
      <c r="E134" s="8" t="s">
        <v>37</v>
      </c>
      <c r="F134" s="8">
        <v>509</v>
      </c>
      <c r="G134" s="8">
        <v>174.55</v>
      </c>
      <c r="H134" s="10">
        <v>17.350000000000001</v>
      </c>
      <c r="I134" s="21">
        <f>Table1[[#This Row],[BRUTTO_monthly_bill_eur]]/1.19</f>
        <v>146.68067226890759</v>
      </c>
      <c r="J134" s="21">
        <f>Table1[[#This Row],[monthly_consumption_kwh]]*Table1[[#This Row],[NETTO_procurement_cost_ct_per_kwh]]/100</f>
        <v>88.311500000000009</v>
      </c>
      <c r="K134" s="21">
        <f>Table1[[#This Row],[NETTO_monthly_revenue(€)]]-Table1[[#This Row],[procurement_cost_(€)]]</f>
        <v>58.369172268907576</v>
      </c>
      <c r="L134" s="21">
        <f t="shared" si="6"/>
        <v>11.467420877977913</v>
      </c>
      <c r="M134" s="21" t="str">
        <f t="shared" si="7"/>
        <v>24.04.2024</v>
      </c>
      <c r="N134" s="21">
        <f t="shared" si="8"/>
        <v>146.68067226890759</v>
      </c>
    </row>
    <row r="135" spans="1:14">
      <c r="A135" s="9" t="s">
        <v>285</v>
      </c>
      <c r="B135" s="8">
        <v>12</v>
      </c>
      <c r="C135" s="8" t="s">
        <v>35</v>
      </c>
      <c r="D135" s="8" t="s">
        <v>36</v>
      </c>
      <c r="E135" s="8" t="s">
        <v>286</v>
      </c>
      <c r="F135" s="8">
        <v>238</v>
      </c>
      <c r="G135" s="8">
        <v>91.97</v>
      </c>
      <c r="H135" s="10">
        <v>22.78</v>
      </c>
      <c r="I135" s="21">
        <f>Table1[[#This Row],[BRUTTO_monthly_bill_eur]]/1.19</f>
        <v>77.285714285714292</v>
      </c>
      <c r="J135" s="21">
        <f>Table1[[#This Row],[monthly_consumption_kwh]]*Table1[[#This Row],[NETTO_procurement_cost_ct_per_kwh]]/100</f>
        <v>54.2164</v>
      </c>
      <c r="K135" s="21">
        <f>Table1[[#This Row],[NETTO_monthly_revenue(€)]]-Table1[[#This Row],[procurement_cost_(€)]]</f>
        <v>23.069314285714292</v>
      </c>
      <c r="L135" s="21">
        <f t="shared" si="6"/>
        <v>9.6929891956782743</v>
      </c>
      <c r="M135" s="21" t="str">
        <f t="shared" si="7"/>
        <v>2025-01</v>
      </c>
      <c r="N135" s="21">
        <f t="shared" si="8"/>
        <v>77.285714285714292</v>
      </c>
    </row>
    <row r="136" spans="1:14">
      <c r="A136" s="9" t="s">
        <v>287</v>
      </c>
      <c r="B136" s="8">
        <v>24</v>
      </c>
      <c r="C136" s="8" t="s">
        <v>39</v>
      </c>
      <c r="D136" s="8" t="s">
        <v>46</v>
      </c>
      <c r="E136" s="8" t="s">
        <v>288</v>
      </c>
      <c r="F136" s="8">
        <v>94</v>
      </c>
      <c r="G136" s="8">
        <v>45.16</v>
      </c>
      <c r="H136" s="10">
        <v>31.56</v>
      </c>
      <c r="I136" s="21">
        <f>Table1[[#This Row],[BRUTTO_monthly_bill_eur]]/1.19</f>
        <v>37.949579831932773</v>
      </c>
      <c r="J136" s="21">
        <f>Table1[[#This Row],[monthly_consumption_kwh]]*Table1[[#This Row],[NETTO_procurement_cost_ct_per_kwh]]/100</f>
        <v>29.666399999999999</v>
      </c>
      <c r="K136" s="21">
        <f>Table1[[#This Row],[NETTO_monthly_revenue(€)]]-Table1[[#This Row],[procurement_cost_(€)]]</f>
        <v>8.2831798319327739</v>
      </c>
      <c r="L136" s="21">
        <f t="shared" si="6"/>
        <v>8.8118934382263543</v>
      </c>
      <c r="M136" s="21" t="str">
        <f t="shared" si="7"/>
        <v>10.11.2024</v>
      </c>
      <c r="N136" s="21">
        <f t="shared" si="8"/>
        <v>37.949579831932773</v>
      </c>
    </row>
    <row r="137" spans="1:14">
      <c r="A137" s="9" t="s">
        <v>289</v>
      </c>
      <c r="B137" s="8">
        <v>12</v>
      </c>
      <c r="C137" s="8" t="s">
        <v>39</v>
      </c>
      <c r="D137" s="8" t="s">
        <v>56</v>
      </c>
      <c r="E137" s="8" t="s">
        <v>290</v>
      </c>
      <c r="F137" s="8">
        <v>158</v>
      </c>
      <c r="G137" s="8">
        <v>63.77</v>
      </c>
      <c r="H137" s="10">
        <v>31</v>
      </c>
      <c r="I137" s="21">
        <f>Table1[[#This Row],[BRUTTO_monthly_bill_eur]]/1.19</f>
        <v>53.588235294117652</v>
      </c>
      <c r="J137" s="21">
        <f>Table1[[#This Row],[monthly_consumption_kwh]]*Table1[[#This Row],[NETTO_procurement_cost_ct_per_kwh]]/100</f>
        <v>48.98</v>
      </c>
      <c r="K137" s="21">
        <f>Table1[[#This Row],[NETTO_monthly_revenue(€)]]-Table1[[#This Row],[procurement_cost_(€)]]</f>
        <v>4.6082352941176552</v>
      </c>
      <c r="L137" s="21">
        <f t="shared" si="6"/>
        <v>2.9166046165301616</v>
      </c>
      <c r="M137" s="21" t="str">
        <f t="shared" si="7"/>
        <v>02.09.2024</v>
      </c>
      <c r="N137" s="21">
        <f t="shared" si="8"/>
        <v>53.588235294117652</v>
      </c>
    </row>
    <row r="138" spans="1:14">
      <c r="A138" s="9" t="s">
        <v>291</v>
      </c>
      <c r="B138" s="8">
        <v>12</v>
      </c>
      <c r="C138" s="8" t="s">
        <v>39</v>
      </c>
      <c r="D138" s="8" t="s">
        <v>46</v>
      </c>
      <c r="E138" s="8" t="s">
        <v>292</v>
      </c>
      <c r="F138" s="8">
        <v>121</v>
      </c>
      <c r="G138" s="8">
        <v>57.25</v>
      </c>
      <c r="H138" s="10">
        <v>31.63</v>
      </c>
      <c r="I138" s="21">
        <f>Table1[[#This Row],[BRUTTO_monthly_bill_eur]]/1.19</f>
        <v>48.109243697478995</v>
      </c>
      <c r="J138" s="21">
        <f>Table1[[#This Row],[monthly_consumption_kwh]]*Table1[[#This Row],[NETTO_procurement_cost_ct_per_kwh]]/100</f>
        <v>38.272300000000001</v>
      </c>
      <c r="K138" s="21">
        <f>Table1[[#This Row],[NETTO_monthly_revenue(€)]]-Table1[[#This Row],[procurement_cost_(€)]]</f>
        <v>9.8369436974789934</v>
      </c>
      <c r="L138" s="21">
        <f t="shared" si="6"/>
        <v>8.1297055351066057</v>
      </c>
      <c r="M138" s="21" t="str">
        <f t="shared" si="7"/>
        <v>29.02.2024</v>
      </c>
      <c r="N138" s="21">
        <f t="shared" si="8"/>
        <v>48.109243697478995</v>
      </c>
    </row>
    <row r="139" spans="1:14">
      <c r="A139" s="9" t="s">
        <v>291</v>
      </c>
      <c r="B139" s="8">
        <v>24</v>
      </c>
      <c r="C139" s="8" t="s">
        <v>51</v>
      </c>
      <c r="D139" s="8" t="s">
        <v>36</v>
      </c>
      <c r="E139" s="8" t="s">
        <v>293</v>
      </c>
      <c r="F139" s="8">
        <v>398</v>
      </c>
      <c r="G139" s="8">
        <v>135.22999999999999</v>
      </c>
      <c r="H139" s="10">
        <v>20.29</v>
      </c>
      <c r="I139" s="21">
        <f>Table1[[#This Row],[BRUTTO_monthly_bill_eur]]/1.19</f>
        <v>113.63865546218487</v>
      </c>
      <c r="J139" s="21">
        <f>Table1[[#This Row],[monthly_consumption_kwh]]*Table1[[#This Row],[NETTO_procurement_cost_ct_per_kwh]]/100</f>
        <v>80.754199999999997</v>
      </c>
      <c r="K139" s="21">
        <f>Table1[[#This Row],[NETTO_monthly_revenue(€)]]-Table1[[#This Row],[procurement_cost_(€)]]</f>
        <v>32.884455462184874</v>
      </c>
      <c r="L139" s="21">
        <f t="shared" si="6"/>
        <v>8.2624259955238379</v>
      </c>
      <c r="M139" s="21" t="str">
        <f t="shared" si="7"/>
        <v>2024-09</v>
      </c>
      <c r="N139" s="21">
        <f t="shared" si="8"/>
        <v>113.63865546218487</v>
      </c>
    </row>
    <row r="140" spans="1:14">
      <c r="A140" s="9" t="s">
        <v>294</v>
      </c>
      <c r="B140" s="8">
        <v>12</v>
      </c>
      <c r="C140" s="8" t="s">
        <v>39</v>
      </c>
      <c r="D140" s="8" t="s">
        <v>46</v>
      </c>
      <c r="E140" s="8" t="s">
        <v>118</v>
      </c>
      <c r="F140" s="8">
        <v>114</v>
      </c>
      <c r="G140" s="8">
        <v>53.81</v>
      </c>
      <c r="H140" s="10">
        <v>30.39</v>
      </c>
      <c r="I140" s="21">
        <f>Table1[[#This Row],[BRUTTO_monthly_bill_eur]]/1.19</f>
        <v>45.21848739495799</v>
      </c>
      <c r="J140" s="21">
        <f>Table1[[#This Row],[monthly_consumption_kwh]]*Table1[[#This Row],[NETTO_procurement_cost_ct_per_kwh]]/100</f>
        <v>34.644599999999997</v>
      </c>
      <c r="K140" s="21">
        <f>Table1[[#This Row],[NETTO_monthly_revenue(€)]]-Table1[[#This Row],[procurement_cost_(€)]]</f>
        <v>10.573887394957993</v>
      </c>
      <c r="L140" s="21">
        <f t="shared" si="6"/>
        <v>9.2753398201385888</v>
      </c>
      <c r="M140" s="21" t="str">
        <f t="shared" si="7"/>
        <v>21.03.2024</v>
      </c>
      <c r="N140" s="21">
        <f t="shared" si="8"/>
        <v>45.21848739495799</v>
      </c>
    </row>
    <row r="141" spans="1:14">
      <c r="A141" s="9" t="s">
        <v>295</v>
      </c>
      <c r="B141" s="8">
        <v>24</v>
      </c>
      <c r="C141" s="8" t="s">
        <v>35</v>
      </c>
      <c r="D141" s="8" t="s">
        <v>46</v>
      </c>
      <c r="E141" s="8" t="s">
        <v>296</v>
      </c>
      <c r="F141" s="8">
        <v>236</v>
      </c>
      <c r="G141" s="8">
        <v>93.8</v>
      </c>
      <c r="H141" s="10">
        <v>24.62</v>
      </c>
      <c r="I141" s="21">
        <f>Table1[[#This Row],[BRUTTO_monthly_bill_eur]]/1.19</f>
        <v>78.82352941176471</v>
      </c>
      <c r="J141" s="21">
        <f>Table1[[#This Row],[monthly_consumption_kwh]]*Table1[[#This Row],[NETTO_procurement_cost_ct_per_kwh]]/100</f>
        <v>58.103200000000008</v>
      </c>
      <c r="K141" s="21">
        <f>Table1[[#This Row],[NETTO_monthly_revenue(€)]]-Table1[[#This Row],[procurement_cost_(€)]]</f>
        <v>20.720329411764702</v>
      </c>
      <c r="L141" s="21">
        <f t="shared" si="6"/>
        <v>8.7798005982053819</v>
      </c>
      <c r="M141" s="21" t="str">
        <f t="shared" si="7"/>
        <v>28.03.2024</v>
      </c>
      <c r="N141" s="21">
        <f t="shared" si="8"/>
        <v>78.82352941176471</v>
      </c>
    </row>
    <row r="142" spans="1:14">
      <c r="A142" s="9" t="s">
        <v>297</v>
      </c>
      <c r="B142" s="8">
        <v>24</v>
      </c>
      <c r="C142" s="8" t="s">
        <v>39</v>
      </c>
      <c r="D142" s="8" t="s">
        <v>46</v>
      </c>
      <c r="E142" s="8" t="s">
        <v>298</v>
      </c>
      <c r="F142" s="8">
        <v>152</v>
      </c>
      <c r="G142" s="8">
        <v>63.83</v>
      </c>
      <c r="H142" s="10">
        <v>33.56</v>
      </c>
      <c r="I142" s="21">
        <f>Table1[[#This Row],[BRUTTO_monthly_bill_eur]]/1.19</f>
        <v>53.638655462184872</v>
      </c>
      <c r="J142" s="21">
        <f>Table1[[#This Row],[monthly_consumption_kwh]]*Table1[[#This Row],[NETTO_procurement_cost_ct_per_kwh]]/100</f>
        <v>51.011200000000009</v>
      </c>
      <c r="K142" s="21">
        <f>Table1[[#This Row],[NETTO_monthly_revenue(€)]]-Table1[[#This Row],[procurement_cost_(€)]]</f>
        <v>2.6274554621848623</v>
      </c>
      <c r="L142" s="21">
        <f t="shared" si="6"/>
        <v>1.7285891198584618</v>
      </c>
      <c r="M142" s="21" t="str">
        <f t="shared" si="7"/>
        <v>12.05.2025</v>
      </c>
      <c r="N142" s="21">
        <f t="shared" si="8"/>
        <v>53.638655462184872</v>
      </c>
    </row>
    <row r="143" spans="1:14">
      <c r="A143" s="9" t="s">
        <v>299</v>
      </c>
      <c r="B143" s="8">
        <v>12</v>
      </c>
      <c r="C143" s="8" t="s">
        <v>35</v>
      </c>
      <c r="D143" s="8" t="s">
        <v>46</v>
      </c>
      <c r="E143" s="8" t="s">
        <v>300</v>
      </c>
      <c r="F143" s="8">
        <v>289</v>
      </c>
      <c r="G143" s="8">
        <v>104.03</v>
      </c>
      <c r="H143" s="10">
        <v>24.32</v>
      </c>
      <c r="I143" s="21">
        <f>Table1[[#This Row],[BRUTTO_monthly_bill_eur]]/1.19</f>
        <v>87.420168067226896</v>
      </c>
      <c r="J143" s="21">
        <f>Table1[[#This Row],[monthly_consumption_kwh]]*Table1[[#This Row],[NETTO_procurement_cost_ct_per_kwh]]/100</f>
        <v>70.284800000000004</v>
      </c>
      <c r="K143" s="21">
        <f>Table1[[#This Row],[NETTO_monthly_revenue(€)]]-Table1[[#This Row],[procurement_cost_(€)]]</f>
        <v>17.135368067226892</v>
      </c>
      <c r="L143" s="21">
        <f t="shared" si="6"/>
        <v>5.9291931028466758</v>
      </c>
      <c r="M143" s="21" t="str">
        <f t="shared" si="7"/>
        <v>11.03.2024</v>
      </c>
      <c r="N143" s="21">
        <f t="shared" si="8"/>
        <v>87.420168067226896</v>
      </c>
    </row>
    <row r="144" spans="1:14">
      <c r="A144" s="9" t="s">
        <v>301</v>
      </c>
      <c r="B144" s="8">
        <v>12</v>
      </c>
      <c r="C144" s="8" t="s">
        <v>35</v>
      </c>
      <c r="D144" s="8" t="s">
        <v>56</v>
      </c>
      <c r="E144" s="8" t="s">
        <v>302</v>
      </c>
      <c r="F144" s="8">
        <v>295</v>
      </c>
      <c r="G144" s="8">
        <v>107.47</v>
      </c>
      <c r="H144" s="10">
        <v>24.53</v>
      </c>
      <c r="I144" s="21">
        <f>Table1[[#This Row],[BRUTTO_monthly_bill_eur]]/1.19</f>
        <v>90.310924369747909</v>
      </c>
      <c r="J144" s="21">
        <f>Table1[[#This Row],[monthly_consumption_kwh]]*Table1[[#This Row],[NETTO_procurement_cost_ct_per_kwh]]/100</f>
        <v>72.363500000000002</v>
      </c>
      <c r="K144" s="21">
        <f>Table1[[#This Row],[NETTO_monthly_revenue(€)]]-Table1[[#This Row],[procurement_cost_(€)]]</f>
        <v>17.947424369747907</v>
      </c>
      <c r="L144" s="21">
        <f t="shared" si="6"/>
        <v>6.0838726677111552</v>
      </c>
      <c r="M144" s="21" t="str">
        <f t="shared" si="7"/>
        <v>29.06.2025</v>
      </c>
      <c r="N144" s="21">
        <f t="shared" si="8"/>
        <v>90.310924369747909</v>
      </c>
    </row>
    <row r="145" spans="1:14">
      <c r="A145" s="9" t="s">
        <v>303</v>
      </c>
      <c r="B145" s="8">
        <v>12</v>
      </c>
      <c r="C145" s="8" t="s">
        <v>51</v>
      </c>
      <c r="D145" s="8" t="s">
        <v>46</v>
      </c>
      <c r="E145" s="8" t="s">
        <v>304</v>
      </c>
      <c r="F145" s="8">
        <v>337</v>
      </c>
      <c r="G145" s="8">
        <v>119.39</v>
      </c>
      <c r="H145" s="10">
        <v>17.28</v>
      </c>
      <c r="I145" s="21">
        <f>Table1[[#This Row],[BRUTTO_monthly_bill_eur]]/1.19</f>
        <v>100.32773109243698</v>
      </c>
      <c r="J145" s="21">
        <f>Table1[[#This Row],[monthly_consumption_kwh]]*Table1[[#This Row],[NETTO_procurement_cost_ct_per_kwh]]/100</f>
        <v>58.233600000000003</v>
      </c>
      <c r="K145" s="21">
        <f>Table1[[#This Row],[NETTO_monthly_revenue(€)]]-Table1[[#This Row],[procurement_cost_(€)]]</f>
        <v>42.094131092436974</v>
      </c>
      <c r="L145" s="21">
        <f t="shared" si="6"/>
        <v>12.490840086776551</v>
      </c>
      <c r="M145" s="21" t="str">
        <f t="shared" si="7"/>
        <v>08.05.2024</v>
      </c>
      <c r="N145" s="21">
        <f t="shared" si="8"/>
        <v>100.32773109243698</v>
      </c>
    </row>
    <row r="146" spans="1:14">
      <c r="A146" s="9" t="s">
        <v>305</v>
      </c>
      <c r="B146" s="8">
        <v>12</v>
      </c>
      <c r="C146" s="8" t="s">
        <v>39</v>
      </c>
      <c r="D146" s="8" t="s">
        <v>36</v>
      </c>
      <c r="E146" s="8" t="s">
        <v>306</v>
      </c>
      <c r="F146" s="8">
        <v>118</v>
      </c>
      <c r="G146" s="8">
        <v>56.5</v>
      </c>
      <c r="H146" s="10">
        <v>29.9</v>
      </c>
      <c r="I146" s="21">
        <f>Table1[[#This Row],[BRUTTO_monthly_bill_eur]]/1.19</f>
        <v>47.478991596638657</v>
      </c>
      <c r="J146" s="21">
        <f>Table1[[#This Row],[monthly_consumption_kwh]]*Table1[[#This Row],[NETTO_procurement_cost_ct_per_kwh]]/100</f>
        <v>35.281999999999996</v>
      </c>
      <c r="K146" s="21">
        <f>Table1[[#This Row],[NETTO_monthly_revenue(€)]]-Table1[[#This Row],[procurement_cost_(€)]]</f>
        <v>12.196991596638661</v>
      </c>
      <c r="L146" s="21">
        <f t="shared" si="6"/>
        <v>10.336433556473441</v>
      </c>
      <c r="M146" s="21" t="str">
        <f t="shared" si="7"/>
        <v>11.05.2024</v>
      </c>
      <c r="N146" s="21">
        <f t="shared" si="8"/>
        <v>47.478991596638657</v>
      </c>
    </row>
    <row r="147" spans="1:14">
      <c r="A147" s="9" t="s">
        <v>307</v>
      </c>
      <c r="B147" s="8">
        <v>12</v>
      </c>
      <c r="C147" s="8" t="s">
        <v>39</v>
      </c>
      <c r="D147" s="8" t="s">
        <v>36</v>
      </c>
      <c r="E147" s="8" t="s">
        <v>308</v>
      </c>
      <c r="F147" s="8">
        <v>123</v>
      </c>
      <c r="G147" s="8">
        <v>57.97</v>
      </c>
      <c r="H147" s="10">
        <v>32.869999999999997</v>
      </c>
      <c r="I147" s="21">
        <f>Table1[[#This Row],[BRUTTO_monthly_bill_eur]]/1.19</f>
        <v>48.714285714285715</v>
      </c>
      <c r="J147" s="21">
        <f>Table1[[#This Row],[monthly_consumption_kwh]]*Table1[[#This Row],[NETTO_procurement_cost_ct_per_kwh]]/100</f>
        <v>40.430099999999996</v>
      </c>
      <c r="K147" s="21">
        <f>Table1[[#This Row],[NETTO_monthly_revenue(€)]]-Table1[[#This Row],[procurement_cost_(€)]]</f>
        <v>8.2841857142857194</v>
      </c>
      <c r="L147" s="21">
        <f t="shared" si="6"/>
        <v>6.7351103368176579</v>
      </c>
      <c r="M147" s="21" t="str">
        <f t="shared" si="7"/>
        <v>01.05.2025</v>
      </c>
      <c r="N147" s="21">
        <f t="shared" si="8"/>
        <v>48.714285714285715</v>
      </c>
    </row>
    <row r="148" spans="1:14">
      <c r="A148" s="9" t="s">
        <v>309</v>
      </c>
      <c r="B148" s="8">
        <v>24</v>
      </c>
      <c r="C148" s="8" t="s">
        <v>39</v>
      </c>
      <c r="D148" s="8" t="s">
        <v>36</v>
      </c>
      <c r="E148" s="8" t="s">
        <v>310</v>
      </c>
      <c r="F148" s="8">
        <v>85</v>
      </c>
      <c r="G148" s="8">
        <v>40.98</v>
      </c>
      <c r="H148" s="10">
        <v>31.08</v>
      </c>
      <c r="I148" s="21">
        <f>Table1[[#This Row],[BRUTTO_monthly_bill_eur]]/1.19</f>
        <v>34.436974789915965</v>
      </c>
      <c r="J148" s="21">
        <f>Table1[[#This Row],[monthly_consumption_kwh]]*Table1[[#This Row],[NETTO_procurement_cost_ct_per_kwh]]/100</f>
        <v>26.417999999999996</v>
      </c>
      <c r="K148" s="21">
        <f>Table1[[#This Row],[NETTO_monthly_revenue(€)]]-Table1[[#This Row],[procurement_cost_(€)]]</f>
        <v>8.0189747899159691</v>
      </c>
      <c r="L148" s="21">
        <f t="shared" si="6"/>
        <v>9.4340879881364348</v>
      </c>
      <c r="M148" s="21" t="str">
        <f t="shared" si="7"/>
        <v>18.06.2024</v>
      </c>
      <c r="N148" s="21">
        <f t="shared" si="8"/>
        <v>34.436974789915965</v>
      </c>
    </row>
    <row r="149" spans="1:14">
      <c r="A149" s="9" t="s">
        <v>311</v>
      </c>
      <c r="B149" s="8">
        <v>12</v>
      </c>
      <c r="C149" s="8" t="s">
        <v>51</v>
      </c>
      <c r="D149" s="8" t="s">
        <v>36</v>
      </c>
      <c r="E149" s="8" t="s">
        <v>199</v>
      </c>
      <c r="F149" s="8">
        <v>420</v>
      </c>
      <c r="G149" s="8">
        <v>141.49</v>
      </c>
      <c r="H149" s="10">
        <v>17.510000000000002</v>
      </c>
      <c r="I149" s="21">
        <f>Table1[[#This Row],[BRUTTO_monthly_bill_eur]]/1.19</f>
        <v>118.89915966386556</v>
      </c>
      <c r="J149" s="21">
        <f>Table1[[#This Row],[monthly_consumption_kwh]]*Table1[[#This Row],[NETTO_procurement_cost_ct_per_kwh]]/100</f>
        <v>73.542000000000002</v>
      </c>
      <c r="K149" s="21">
        <f>Table1[[#This Row],[NETTO_monthly_revenue(€)]]-Table1[[#This Row],[procurement_cost_(€)]]</f>
        <v>45.357159663865559</v>
      </c>
      <c r="L149" s="21">
        <f t="shared" si="6"/>
        <v>10.7993237294918</v>
      </c>
      <c r="M149" s="21" t="str">
        <f t="shared" si="7"/>
        <v>28.09.2024</v>
      </c>
      <c r="N149" s="21">
        <f t="shared" si="8"/>
        <v>118.89915966386556</v>
      </c>
    </row>
    <row r="150" spans="1:14">
      <c r="A150" s="9" t="s">
        <v>312</v>
      </c>
      <c r="B150" s="8">
        <v>12</v>
      </c>
      <c r="C150" s="8" t="s">
        <v>51</v>
      </c>
      <c r="D150" s="8" t="s">
        <v>36</v>
      </c>
      <c r="E150" s="8" t="s">
        <v>313</v>
      </c>
      <c r="F150" s="8">
        <v>587</v>
      </c>
      <c r="G150" s="8">
        <v>199.76</v>
      </c>
      <c r="H150" s="10">
        <v>18.07</v>
      </c>
      <c r="I150" s="21">
        <f>Table1[[#This Row],[BRUTTO_monthly_bill_eur]]/1.19</f>
        <v>167.8655462184874</v>
      </c>
      <c r="J150" s="21">
        <f>Table1[[#This Row],[monthly_consumption_kwh]]*Table1[[#This Row],[NETTO_procurement_cost_ct_per_kwh]]/100</f>
        <v>106.07089999999999</v>
      </c>
      <c r="K150" s="21">
        <f>Table1[[#This Row],[NETTO_monthly_revenue(€)]]-Table1[[#This Row],[procurement_cost_(€)]]</f>
        <v>61.794646218487401</v>
      </c>
      <c r="L150" s="21">
        <f t="shared" si="6"/>
        <v>10.5271969707815</v>
      </c>
      <c r="M150" s="21" t="str">
        <f t="shared" si="7"/>
        <v>24.06.2025</v>
      </c>
      <c r="N150" s="21">
        <f t="shared" si="8"/>
        <v>167.8655462184874</v>
      </c>
    </row>
    <row r="151" spans="1:14">
      <c r="A151" s="9" t="s">
        <v>314</v>
      </c>
      <c r="B151" s="8">
        <v>12</v>
      </c>
      <c r="C151" s="8" t="s">
        <v>35</v>
      </c>
      <c r="D151" s="8" t="s">
        <v>36</v>
      </c>
      <c r="E151" s="8" t="s">
        <v>315</v>
      </c>
      <c r="F151" s="8">
        <v>190</v>
      </c>
      <c r="G151" s="8">
        <v>78.680000000000007</v>
      </c>
      <c r="H151" s="10">
        <v>22.97</v>
      </c>
      <c r="I151" s="21">
        <f>Table1[[#This Row],[BRUTTO_monthly_bill_eur]]/1.19</f>
        <v>66.117647058823536</v>
      </c>
      <c r="J151" s="21">
        <f>Table1[[#This Row],[monthly_consumption_kwh]]*Table1[[#This Row],[NETTO_procurement_cost_ct_per_kwh]]/100</f>
        <v>43.643000000000001</v>
      </c>
      <c r="K151" s="21">
        <f>Table1[[#This Row],[NETTO_monthly_revenue(€)]]-Table1[[#This Row],[procurement_cost_(€)]]</f>
        <v>22.474647058823535</v>
      </c>
      <c r="L151" s="21">
        <f t="shared" si="6"/>
        <v>11.828761609907124</v>
      </c>
      <c r="M151" s="21" t="str">
        <f t="shared" si="7"/>
        <v>09.03.2025</v>
      </c>
      <c r="N151" s="21">
        <f t="shared" si="8"/>
        <v>66.117647058823536</v>
      </c>
    </row>
    <row r="152" spans="1:14">
      <c r="A152" s="9" t="s">
        <v>316</v>
      </c>
      <c r="B152" s="8">
        <v>24</v>
      </c>
      <c r="C152" s="8" t="s">
        <v>35</v>
      </c>
      <c r="D152" s="8" t="s">
        <v>36</v>
      </c>
      <c r="E152" s="8" t="s">
        <v>185</v>
      </c>
      <c r="F152" s="8">
        <v>256</v>
      </c>
      <c r="G152" s="8">
        <v>94.69</v>
      </c>
      <c r="H152" s="10">
        <v>22.86</v>
      </c>
      <c r="I152" s="21">
        <f>Table1[[#This Row],[BRUTTO_monthly_bill_eur]]/1.19</f>
        <v>79.571428571428569</v>
      </c>
      <c r="J152" s="21">
        <f>Table1[[#This Row],[monthly_consumption_kwh]]*Table1[[#This Row],[NETTO_procurement_cost_ct_per_kwh]]/100</f>
        <v>58.521599999999999</v>
      </c>
      <c r="K152" s="21">
        <f>Table1[[#This Row],[NETTO_monthly_revenue(€)]]-Table1[[#This Row],[procurement_cost_(€)]]</f>
        <v>21.04982857142857</v>
      </c>
      <c r="L152" s="21">
        <f t="shared" si="6"/>
        <v>8.2225892857142853</v>
      </c>
      <c r="M152" s="21" t="str">
        <f t="shared" si="7"/>
        <v>04.08.2024</v>
      </c>
      <c r="N152" s="21">
        <f t="shared" si="8"/>
        <v>79.571428571428569</v>
      </c>
    </row>
    <row r="153" spans="1:14">
      <c r="A153" s="9" t="s">
        <v>317</v>
      </c>
      <c r="B153" s="8">
        <v>12</v>
      </c>
      <c r="C153" s="8" t="s">
        <v>35</v>
      </c>
      <c r="D153" s="8" t="s">
        <v>36</v>
      </c>
      <c r="E153" s="8" t="s">
        <v>318</v>
      </c>
      <c r="F153" s="8">
        <v>203</v>
      </c>
      <c r="G153" s="8">
        <v>73.69</v>
      </c>
      <c r="H153" s="10">
        <v>23.7</v>
      </c>
      <c r="I153" s="21">
        <f>Table1[[#This Row],[BRUTTO_monthly_bill_eur]]/1.19</f>
        <v>61.924369747899163</v>
      </c>
      <c r="J153" s="21">
        <f>Table1[[#This Row],[monthly_consumption_kwh]]*Table1[[#This Row],[NETTO_procurement_cost_ct_per_kwh]]/100</f>
        <v>48.110999999999997</v>
      </c>
      <c r="K153" s="21">
        <f>Table1[[#This Row],[NETTO_monthly_revenue(€)]]-Table1[[#This Row],[procurement_cost_(€)]]</f>
        <v>13.813369747899166</v>
      </c>
      <c r="L153" s="21">
        <f t="shared" si="6"/>
        <v>6.804615639359195</v>
      </c>
      <c r="M153" s="21" t="str">
        <f t="shared" si="7"/>
        <v>2024-07</v>
      </c>
      <c r="N153" s="21">
        <f t="shared" si="8"/>
        <v>61.924369747899163</v>
      </c>
    </row>
    <row r="154" spans="1:14">
      <c r="A154" s="9" t="s">
        <v>319</v>
      </c>
      <c r="B154" s="8">
        <v>12</v>
      </c>
      <c r="C154" s="8" t="s">
        <v>39</v>
      </c>
      <c r="D154" s="8" t="s">
        <v>56</v>
      </c>
      <c r="E154" s="8" t="s">
        <v>320</v>
      </c>
      <c r="F154" s="8">
        <v>84</v>
      </c>
      <c r="G154" s="8">
        <v>41.56</v>
      </c>
      <c r="H154" s="10">
        <v>31.63</v>
      </c>
      <c r="I154" s="21">
        <f>Table1[[#This Row],[BRUTTO_monthly_bill_eur]]/1.19</f>
        <v>34.924369747899163</v>
      </c>
      <c r="J154" s="21">
        <f>Table1[[#This Row],[monthly_consumption_kwh]]*Table1[[#This Row],[NETTO_procurement_cost_ct_per_kwh]]/100</f>
        <v>26.569200000000002</v>
      </c>
      <c r="K154" s="21">
        <f>Table1[[#This Row],[NETTO_monthly_revenue(€)]]-Table1[[#This Row],[procurement_cost_(€)]]</f>
        <v>8.3551697478991613</v>
      </c>
      <c r="L154" s="21">
        <f t="shared" si="6"/>
        <v>9.9466306522609056</v>
      </c>
      <c r="M154" s="21" t="str">
        <f t="shared" si="7"/>
        <v>15.11.2024</v>
      </c>
      <c r="N154" s="21">
        <f t="shared" si="8"/>
        <v>34.924369747899163</v>
      </c>
    </row>
    <row r="155" spans="1:14">
      <c r="A155" s="9" t="s">
        <v>321</v>
      </c>
      <c r="B155" s="8">
        <v>12</v>
      </c>
      <c r="C155" s="8" t="s">
        <v>51</v>
      </c>
      <c r="D155" s="8" t="s">
        <v>56</v>
      </c>
      <c r="E155" s="8" t="s">
        <v>208</v>
      </c>
      <c r="F155" s="8">
        <v>414</v>
      </c>
      <c r="G155" s="8">
        <v>138.58000000000001</v>
      </c>
      <c r="H155" s="10">
        <v>19.04</v>
      </c>
      <c r="I155" s="21">
        <f>Table1[[#This Row],[BRUTTO_monthly_bill_eur]]/1.19</f>
        <v>116.45378151260506</v>
      </c>
      <c r="J155" s="21">
        <f>Table1[[#This Row],[monthly_consumption_kwh]]*Table1[[#This Row],[NETTO_procurement_cost_ct_per_kwh]]/100</f>
        <v>78.825599999999994</v>
      </c>
      <c r="K155" s="21">
        <f>Table1[[#This Row],[NETTO_monthly_revenue(€)]]-Table1[[#This Row],[procurement_cost_(€)]]</f>
        <v>37.628181512605067</v>
      </c>
      <c r="L155" s="21">
        <f t="shared" si="6"/>
        <v>9.0889327325133014</v>
      </c>
      <c r="M155" s="21" t="str">
        <f t="shared" si="7"/>
        <v>12.02.2025</v>
      </c>
      <c r="N155" s="21">
        <f t="shared" si="8"/>
        <v>116.45378151260506</v>
      </c>
    </row>
    <row r="156" spans="1:14">
      <c r="A156" s="9" t="s">
        <v>322</v>
      </c>
      <c r="B156" s="8">
        <v>24</v>
      </c>
      <c r="C156" s="8" t="s">
        <v>35</v>
      </c>
      <c r="D156" s="8" t="s">
        <v>36</v>
      </c>
      <c r="E156" s="8" t="s">
        <v>323</v>
      </c>
      <c r="F156" s="8">
        <v>329</v>
      </c>
      <c r="G156" s="8">
        <v>120.35</v>
      </c>
      <c r="H156" s="10">
        <v>22.75</v>
      </c>
      <c r="I156" s="21">
        <f>Table1[[#This Row],[BRUTTO_monthly_bill_eur]]/1.19</f>
        <v>101.1344537815126</v>
      </c>
      <c r="J156" s="21">
        <f>Table1[[#This Row],[monthly_consumption_kwh]]*Table1[[#This Row],[NETTO_procurement_cost_ct_per_kwh]]/100</f>
        <v>74.847499999999997</v>
      </c>
      <c r="K156" s="21">
        <f>Table1[[#This Row],[NETTO_monthly_revenue(€)]]-Table1[[#This Row],[procurement_cost_(€)]]</f>
        <v>26.286953781512608</v>
      </c>
      <c r="L156" s="21">
        <f t="shared" si="6"/>
        <v>7.989955556690763</v>
      </c>
      <c r="M156" s="21" t="str">
        <f t="shared" si="7"/>
        <v>2025-01</v>
      </c>
      <c r="N156" s="21">
        <f t="shared" si="8"/>
        <v>101.1344537815126</v>
      </c>
    </row>
    <row r="157" spans="1:14">
      <c r="A157" s="9" t="s">
        <v>324</v>
      </c>
      <c r="B157" s="8">
        <v>12</v>
      </c>
      <c r="C157" s="8" t="s">
        <v>35</v>
      </c>
      <c r="D157" s="8" t="s">
        <v>56</v>
      </c>
      <c r="E157" s="8" t="s">
        <v>325</v>
      </c>
      <c r="F157" s="8">
        <v>300</v>
      </c>
      <c r="G157" s="8">
        <v>107.87</v>
      </c>
      <c r="H157" s="10">
        <v>22.31</v>
      </c>
      <c r="I157" s="21">
        <f>Table1[[#This Row],[BRUTTO_monthly_bill_eur]]/1.19</f>
        <v>90.64705882352942</v>
      </c>
      <c r="J157" s="21">
        <f>Table1[[#This Row],[monthly_consumption_kwh]]*Table1[[#This Row],[NETTO_procurement_cost_ct_per_kwh]]/100</f>
        <v>66.930000000000007</v>
      </c>
      <c r="K157" s="21">
        <f>Table1[[#This Row],[NETTO_monthly_revenue(€)]]-Table1[[#This Row],[procurement_cost_(€)]]</f>
        <v>23.717058823529413</v>
      </c>
      <c r="L157" s="21">
        <f t="shared" si="6"/>
        <v>7.9056862745098044</v>
      </c>
      <c r="M157" s="21" t="str">
        <f t="shared" si="7"/>
        <v>2025-03</v>
      </c>
      <c r="N157" s="21">
        <f t="shared" si="8"/>
        <v>90.64705882352942</v>
      </c>
    </row>
    <row r="158" spans="1:14">
      <c r="A158" s="9" t="s">
        <v>326</v>
      </c>
      <c r="B158" s="8">
        <v>24</v>
      </c>
      <c r="C158" s="8" t="s">
        <v>35</v>
      </c>
      <c r="D158" s="8" t="s">
        <v>36</v>
      </c>
      <c r="E158" s="8" t="s">
        <v>327</v>
      </c>
      <c r="F158" s="8">
        <v>326</v>
      </c>
      <c r="G158" s="8">
        <v>122.35</v>
      </c>
      <c r="H158" s="10">
        <v>24.78</v>
      </c>
      <c r="I158" s="21">
        <f>Table1[[#This Row],[BRUTTO_monthly_bill_eur]]/1.19</f>
        <v>102.81512605042016</v>
      </c>
      <c r="J158" s="21">
        <f>Table1[[#This Row],[monthly_consumption_kwh]]*Table1[[#This Row],[NETTO_procurement_cost_ct_per_kwh]]/100</f>
        <v>80.782800000000009</v>
      </c>
      <c r="K158" s="21">
        <f>Table1[[#This Row],[NETTO_monthly_revenue(€)]]-Table1[[#This Row],[procurement_cost_(€)]]</f>
        <v>22.032326050420153</v>
      </c>
      <c r="L158" s="21">
        <f t="shared" si="6"/>
        <v>6.7583822240552625</v>
      </c>
      <c r="M158" s="21" t="str">
        <f t="shared" si="7"/>
        <v>13.06.2025</v>
      </c>
      <c r="N158" s="21">
        <f t="shared" si="8"/>
        <v>102.81512605042016</v>
      </c>
    </row>
    <row r="159" spans="1:14">
      <c r="A159" s="9" t="s">
        <v>328</v>
      </c>
      <c r="B159" s="8">
        <v>24</v>
      </c>
      <c r="C159" s="8" t="s">
        <v>39</v>
      </c>
      <c r="D159" s="8" t="s">
        <v>36</v>
      </c>
      <c r="E159" s="8" t="s">
        <v>329</v>
      </c>
      <c r="F159" s="8">
        <v>124</v>
      </c>
      <c r="G159" s="8">
        <v>57.62</v>
      </c>
      <c r="H159" s="10">
        <v>29.53</v>
      </c>
      <c r="I159" s="21">
        <f>Table1[[#This Row],[BRUTTO_monthly_bill_eur]]/1.19</f>
        <v>48.420168067226889</v>
      </c>
      <c r="J159" s="21">
        <f>Table1[[#This Row],[monthly_consumption_kwh]]*Table1[[#This Row],[NETTO_procurement_cost_ct_per_kwh]]/100</f>
        <v>36.617200000000004</v>
      </c>
      <c r="K159" s="21">
        <f>Table1[[#This Row],[NETTO_monthly_revenue(€)]]-Table1[[#This Row],[procurement_cost_(€)]]</f>
        <v>11.802968067226885</v>
      </c>
      <c r="L159" s="21">
        <f t="shared" si="6"/>
        <v>9.5185226348603909</v>
      </c>
      <c r="M159" s="21" t="str">
        <f t="shared" si="7"/>
        <v>07.04.2025</v>
      </c>
      <c r="N159" s="21">
        <f t="shared" si="8"/>
        <v>48.420168067226889</v>
      </c>
    </row>
    <row r="160" spans="1:14">
      <c r="A160" s="9" t="s">
        <v>330</v>
      </c>
      <c r="B160" s="8">
        <v>12</v>
      </c>
      <c r="C160" s="8" t="s">
        <v>39</v>
      </c>
      <c r="D160" s="8" t="s">
        <v>36</v>
      </c>
      <c r="E160" s="8" t="s">
        <v>331</v>
      </c>
      <c r="F160" s="8">
        <v>92</v>
      </c>
      <c r="G160" s="8">
        <v>44.28</v>
      </c>
      <c r="H160" s="10">
        <v>31.29</v>
      </c>
      <c r="I160" s="21">
        <f>Table1[[#This Row],[BRUTTO_monthly_bill_eur]]/1.19</f>
        <v>37.210084033613448</v>
      </c>
      <c r="J160" s="21">
        <f>Table1[[#This Row],[monthly_consumption_kwh]]*Table1[[#This Row],[NETTO_procurement_cost_ct_per_kwh]]/100</f>
        <v>28.786799999999999</v>
      </c>
      <c r="K160" s="21">
        <f>Table1[[#This Row],[NETTO_monthly_revenue(€)]]-Table1[[#This Row],[procurement_cost_(€)]]</f>
        <v>8.4232840336134487</v>
      </c>
      <c r="L160" s="21">
        <f t="shared" si="6"/>
        <v>9.1557435147972264</v>
      </c>
      <c r="M160" s="21" t="str">
        <f t="shared" si="7"/>
        <v>03.05.2024</v>
      </c>
      <c r="N160" s="21">
        <f t="shared" si="8"/>
        <v>37.210084033613448</v>
      </c>
    </row>
    <row r="161" spans="1:14">
      <c r="A161" s="9" t="s">
        <v>332</v>
      </c>
      <c r="B161" s="8">
        <v>24</v>
      </c>
      <c r="C161" s="8" t="s">
        <v>35</v>
      </c>
      <c r="D161" s="8" t="s">
        <v>36</v>
      </c>
      <c r="E161" s="8" t="s">
        <v>333</v>
      </c>
      <c r="F161" s="8">
        <v>258</v>
      </c>
      <c r="G161" s="8">
        <v>101.2</v>
      </c>
      <c r="H161" s="10">
        <v>24.64</v>
      </c>
      <c r="I161" s="21">
        <f>Table1[[#This Row],[BRUTTO_monthly_bill_eur]]/1.19</f>
        <v>85.0420168067227</v>
      </c>
      <c r="J161" s="21">
        <f>Table1[[#This Row],[monthly_consumption_kwh]]*Table1[[#This Row],[NETTO_procurement_cost_ct_per_kwh]]/100</f>
        <v>63.571199999999997</v>
      </c>
      <c r="K161" s="21">
        <f>Table1[[#This Row],[NETTO_monthly_revenue(€)]]-Table1[[#This Row],[procurement_cost_(€)]]</f>
        <v>21.470816806722702</v>
      </c>
      <c r="L161" s="21">
        <f t="shared" si="6"/>
        <v>8.3220220181095748</v>
      </c>
      <c r="M161" s="21" t="str">
        <f t="shared" si="7"/>
        <v>10.09.2024</v>
      </c>
      <c r="N161" s="21">
        <f t="shared" si="8"/>
        <v>85.0420168067227</v>
      </c>
    </row>
    <row r="162" spans="1:14">
      <c r="A162" s="9" t="s">
        <v>334</v>
      </c>
      <c r="B162" s="8">
        <v>12</v>
      </c>
      <c r="C162" s="8" t="s">
        <v>39</v>
      </c>
      <c r="D162" s="8" t="s">
        <v>46</v>
      </c>
      <c r="E162" s="8" t="s">
        <v>335</v>
      </c>
      <c r="F162" s="8">
        <v>121</v>
      </c>
      <c r="G162" s="8">
        <v>54.72</v>
      </c>
      <c r="H162" s="10">
        <v>31.18</v>
      </c>
      <c r="I162" s="21">
        <f>Table1[[#This Row],[BRUTTO_monthly_bill_eur]]/1.19</f>
        <v>45.983193277310924</v>
      </c>
      <c r="J162" s="21">
        <f>Table1[[#This Row],[monthly_consumption_kwh]]*Table1[[#This Row],[NETTO_procurement_cost_ct_per_kwh]]/100</f>
        <v>37.727799999999995</v>
      </c>
      <c r="K162" s="21">
        <f>Table1[[#This Row],[NETTO_monthly_revenue(€)]]-Table1[[#This Row],[procurement_cost_(€)]]</f>
        <v>8.2553932773109295</v>
      </c>
      <c r="L162" s="21">
        <f t="shared" si="6"/>
        <v>6.8226390721577932</v>
      </c>
      <c r="M162" s="21" t="str">
        <f t="shared" si="7"/>
        <v>18.08.2024</v>
      </c>
      <c r="N162" s="21">
        <f t="shared" si="8"/>
        <v>45.983193277310924</v>
      </c>
    </row>
    <row r="163" spans="1:14">
      <c r="A163" s="9" t="s">
        <v>336</v>
      </c>
      <c r="B163" s="8">
        <v>24</v>
      </c>
      <c r="C163" s="8" t="s">
        <v>35</v>
      </c>
      <c r="D163" s="8" t="s">
        <v>46</v>
      </c>
      <c r="E163" s="8" t="s">
        <v>229</v>
      </c>
      <c r="F163" s="8">
        <v>307</v>
      </c>
      <c r="G163" s="8">
        <v>110.15</v>
      </c>
      <c r="H163" s="10">
        <v>23.09</v>
      </c>
      <c r="I163" s="21">
        <f>Table1[[#This Row],[BRUTTO_monthly_bill_eur]]/1.19</f>
        <v>92.563025210084049</v>
      </c>
      <c r="J163" s="21">
        <f>Table1[[#This Row],[monthly_consumption_kwh]]*Table1[[#This Row],[NETTO_procurement_cost_ct_per_kwh]]/100</f>
        <v>70.886300000000006</v>
      </c>
      <c r="K163" s="21">
        <f>Table1[[#This Row],[NETTO_monthly_revenue(€)]]-Table1[[#This Row],[procurement_cost_(€)]]</f>
        <v>21.676725210084044</v>
      </c>
      <c r="L163" s="21">
        <f t="shared" si="6"/>
        <v>7.0608225440013177</v>
      </c>
      <c r="M163" s="21" t="str">
        <f t="shared" si="7"/>
        <v>06.03.2024</v>
      </c>
      <c r="N163" s="21">
        <f t="shared" si="8"/>
        <v>92.563025210084049</v>
      </c>
    </row>
    <row r="164" spans="1:14">
      <c r="A164" s="9" t="s">
        <v>337</v>
      </c>
      <c r="B164" s="8">
        <v>24</v>
      </c>
      <c r="C164" s="8" t="s">
        <v>39</v>
      </c>
      <c r="D164" s="8" t="s">
        <v>36</v>
      </c>
      <c r="E164" s="8" t="s">
        <v>338</v>
      </c>
      <c r="F164" s="8">
        <v>91</v>
      </c>
      <c r="G164" s="8">
        <v>43.09</v>
      </c>
      <c r="H164" s="10">
        <v>30.77</v>
      </c>
      <c r="I164" s="21">
        <f>Table1[[#This Row],[BRUTTO_monthly_bill_eur]]/1.19</f>
        <v>36.210084033613448</v>
      </c>
      <c r="J164" s="21">
        <f>Table1[[#This Row],[monthly_consumption_kwh]]*Table1[[#This Row],[NETTO_procurement_cost_ct_per_kwh]]/100</f>
        <v>28.000700000000002</v>
      </c>
      <c r="K164" s="21">
        <f>Table1[[#This Row],[NETTO_monthly_revenue(€)]]-Table1[[#This Row],[procurement_cost_(€)]]</f>
        <v>8.2093840336134463</v>
      </c>
      <c r="L164" s="21">
        <f t="shared" si="6"/>
        <v>9.0213011358389519</v>
      </c>
      <c r="M164" s="21" t="str">
        <f t="shared" si="7"/>
        <v>12.12.2024</v>
      </c>
      <c r="N164" s="21">
        <f t="shared" si="8"/>
        <v>36.210084033613448</v>
      </c>
    </row>
    <row r="165" spans="1:14">
      <c r="A165" s="9" t="s">
        <v>339</v>
      </c>
      <c r="B165" s="8">
        <v>12</v>
      </c>
      <c r="C165" s="8" t="s">
        <v>35</v>
      </c>
      <c r="D165" s="8" t="s">
        <v>36</v>
      </c>
      <c r="E165" s="8" t="s">
        <v>340</v>
      </c>
      <c r="F165" s="8">
        <v>248</v>
      </c>
      <c r="G165" s="8">
        <v>94.65</v>
      </c>
      <c r="H165" s="10">
        <v>23.06</v>
      </c>
      <c r="I165" s="21">
        <f>Table1[[#This Row],[BRUTTO_monthly_bill_eur]]/1.19</f>
        <v>79.537815126050432</v>
      </c>
      <c r="J165" s="21">
        <f>Table1[[#This Row],[monthly_consumption_kwh]]*Table1[[#This Row],[NETTO_procurement_cost_ct_per_kwh]]/100</f>
        <v>57.188800000000001</v>
      </c>
      <c r="K165" s="21">
        <f>Table1[[#This Row],[NETTO_monthly_revenue(€)]]-Table1[[#This Row],[procurement_cost_(€)]]</f>
        <v>22.349015126050432</v>
      </c>
      <c r="L165" s="21">
        <f t="shared" si="6"/>
        <v>9.011699647600981</v>
      </c>
      <c r="M165" s="21" t="str">
        <f t="shared" si="7"/>
        <v>22.01.2024</v>
      </c>
      <c r="N165" s="21">
        <f t="shared" si="8"/>
        <v>79.537815126050432</v>
      </c>
    </row>
    <row r="166" spans="1:14">
      <c r="A166" s="9" t="s">
        <v>341</v>
      </c>
      <c r="B166" s="8">
        <v>12</v>
      </c>
      <c r="C166" s="8" t="s">
        <v>39</v>
      </c>
      <c r="D166" s="8" t="s">
        <v>36</v>
      </c>
      <c r="E166" s="8" t="s">
        <v>342</v>
      </c>
      <c r="F166" s="8">
        <v>96</v>
      </c>
      <c r="G166" s="8">
        <v>45.74</v>
      </c>
      <c r="H166" s="10">
        <v>31.76</v>
      </c>
      <c r="I166" s="21">
        <f>Table1[[#This Row],[BRUTTO_monthly_bill_eur]]/1.19</f>
        <v>38.436974789915972</v>
      </c>
      <c r="J166" s="21">
        <f>Table1[[#This Row],[monthly_consumption_kwh]]*Table1[[#This Row],[NETTO_procurement_cost_ct_per_kwh]]/100</f>
        <v>30.489599999999999</v>
      </c>
      <c r="K166" s="21">
        <f>Table1[[#This Row],[NETTO_monthly_revenue(€)]]-Table1[[#This Row],[procurement_cost_(€)]]</f>
        <v>7.9473747899159726</v>
      </c>
      <c r="L166" s="21">
        <f t="shared" si="6"/>
        <v>8.2785154061624713</v>
      </c>
      <c r="M166" s="21" t="str">
        <f t="shared" si="7"/>
        <v>23.08.2024</v>
      </c>
      <c r="N166" s="21">
        <f t="shared" si="8"/>
        <v>38.436974789915972</v>
      </c>
    </row>
    <row r="167" spans="1:14">
      <c r="A167" s="9" t="s">
        <v>343</v>
      </c>
      <c r="B167" s="8">
        <v>24</v>
      </c>
      <c r="C167" s="8" t="s">
        <v>35</v>
      </c>
      <c r="D167" s="8" t="s">
        <v>36</v>
      </c>
      <c r="E167" s="8" t="s">
        <v>77</v>
      </c>
      <c r="F167" s="8">
        <v>221</v>
      </c>
      <c r="G167" s="8">
        <v>84.59</v>
      </c>
      <c r="H167" s="10">
        <v>24.55</v>
      </c>
      <c r="I167" s="21">
        <f>Table1[[#This Row],[BRUTTO_monthly_bill_eur]]/1.19</f>
        <v>71.084033613445385</v>
      </c>
      <c r="J167" s="21">
        <f>Table1[[#This Row],[monthly_consumption_kwh]]*Table1[[#This Row],[NETTO_procurement_cost_ct_per_kwh]]/100</f>
        <v>54.255500000000005</v>
      </c>
      <c r="K167" s="21">
        <f>Table1[[#This Row],[NETTO_monthly_revenue(€)]]-Table1[[#This Row],[procurement_cost_(€)]]</f>
        <v>16.82853361344538</v>
      </c>
      <c r="L167" s="21">
        <f t="shared" si="6"/>
        <v>7.6147210920567323</v>
      </c>
      <c r="M167" s="21" t="str">
        <f t="shared" si="7"/>
        <v>13.08.2024</v>
      </c>
      <c r="N167" s="21">
        <f t="shared" si="8"/>
        <v>71.084033613445385</v>
      </c>
    </row>
    <row r="168" spans="1:14">
      <c r="A168" s="9" t="s">
        <v>344</v>
      </c>
      <c r="B168" s="8">
        <v>12</v>
      </c>
      <c r="C168" s="8" t="s">
        <v>35</v>
      </c>
      <c r="D168" s="8" t="s">
        <v>36</v>
      </c>
      <c r="E168" s="8" t="s">
        <v>345</v>
      </c>
      <c r="F168" s="8">
        <v>289</v>
      </c>
      <c r="G168" s="8">
        <v>107.87</v>
      </c>
      <c r="H168" s="10">
        <v>23.3</v>
      </c>
      <c r="I168" s="21">
        <f>Table1[[#This Row],[BRUTTO_monthly_bill_eur]]/1.19</f>
        <v>90.64705882352942</v>
      </c>
      <c r="J168" s="21">
        <f>Table1[[#This Row],[monthly_consumption_kwh]]*Table1[[#This Row],[NETTO_procurement_cost_ct_per_kwh]]/100</f>
        <v>67.337000000000003</v>
      </c>
      <c r="K168" s="21">
        <f>Table1[[#This Row],[NETTO_monthly_revenue(€)]]-Table1[[#This Row],[procurement_cost_(€)]]</f>
        <v>23.310058823529417</v>
      </c>
      <c r="L168" s="21">
        <f t="shared" si="6"/>
        <v>8.0657642987991061</v>
      </c>
      <c r="M168" s="21" t="str">
        <f t="shared" si="7"/>
        <v>08.01.2024</v>
      </c>
      <c r="N168" s="21">
        <f t="shared" si="8"/>
        <v>90.64705882352942</v>
      </c>
    </row>
    <row r="169" spans="1:14">
      <c r="A169" s="9" t="s">
        <v>346</v>
      </c>
      <c r="B169" s="8">
        <v>12</v>
      </c>
      <c r="C169" s="8" t="s">
        <v>39</v>
      </c>
      <c r="D169" s="8" t="s">
        <v>36</v>
      </c>
      <c r="E169" s="8" t="s">
        <v>347</v>
      </c>
      <c r="F169" s="8">
        <v>123</v>
      </c>
      <c r="G169" s="8">
        <v>54.32</v>
      </c>
      <c r="H169" s="10">
        <v>29.08</v>
      </c>
      <c r="I169" s="21">
        <f>Table1[[#This Row],[BRUTTO_monthly_bill_eur]]/1.19</f>
        <v>45.647058823529413</v>
      </c>
      <c r="J169" s="21">
        <f>Table1[[#This Row],[monthly_consumption_kwh]]*Table1[[#This Row],[NETTO_procurement_cost_ct_per_kwh]]/100</f>
        <v>35.7684</v>
      </c>
      <c r="K169" s="21">
        <f>Table1[[#This Row],[NETTO_monthly_revenue(€)]]-Table1[[#This Row],[procurement_cost_(€)]]</f>
        <v>9.8786588235294133</v>
      </c>
      <c r="L169" s="21">
        <f t="shared" si="6"/>
        <v>8.0314299378287899</v>
      </c>
      <c r="M169" s="21" t="str">
        <f t="shared" si="7"/>
        <v>13.03.2024</v>
      </c>
      <c r="N169" s="21">
        <f t="shared" si="8"/>
        <v>45.647058823529413</v>
      </c>
    </row>
    <row r="170" spans="1:14">
      <c r="A170" s="9" t="s">
        <v>348</v>
      </c>
      <c r="B170" s="8">
        <v>12</v>
      </c>
      <c r="C170" s="8" t="s">
        <v>35</v>
      </c>
      <c r="D170" s="8" t="s">
        <v>56</v>
      </c>
      <c r="E170" s="8" t="s">
        <v>349</v>
      </c>
      <c r="F170" s="8">
        <v>229</v>
      </c>
      <c r="G170" s="8">
        <v>88.99</v>
      </c>
      <c r="H170" s="10">
        <v>22.76</v>
      </c>
      <c r="I170" s="21">
        <f>Table1[[#This Row],[BRUTTO_monthly_bill_eur]]/1.19</f>
        <v>74.78151260504201</v>
      </c>
      <c r="J170" s="21">
        <f>Table1[[#This Row],[monthly_consumption_kwh]]*Table1[[#This Row],[NETTO_procurement_cost_ct_per_kwh]]/100</f>
        <v>52.120399999999997</v>
      </c>
      <c r="K170" s="21">
        <f>Table1[[#This Row],[NETTO_monthly_revenue(€)]]-Table1[[#This Row],[procurement_cost_(€)]]</f>
        <v>22.661112605042014</v>
      </c>
      <c r="L170" s="21">
        <f t="shared" si="6"/>
        <v>9.8956823602803556</v>
      </c>
      <c r="M170" s="21" t="str">
        <f t="shared" si="7"/>
        <v>01.03.2024</v>
      </c>
      <c r="N170" s="21">
        <f t="shared" si="8"/>
        <v>74.78151260504201</v>
      </c>
    </row>
    <row r="171" spans="1:14">
      <c r="A171" s="9" t="s">
        <v>348</v>
      </c>
      <c r="B171" s="8">
        <v>24</v>
      </c>
      <c r="C171" s="8" t="s">
        <v>35</v>
      </c>
      <c r="D171" s="8" t="s">
        <v>56</v>
      </c>
      <c r="E171" s="8" t="s">
        <v>174</v>
      </c>
      <c r="F171" s="8">
        <v>232</v>
      </c>
      <c r="G171" s="8">
        <v>87.06</v>
      </c>
      <c r="H171" s="10">
        <v>24.78</v>
      </c>
      <c r="I171" s="21">
        <f>Table1[[#This Row],[BRUTTO_monthly_bill_eur]]/1.19</f>
        <v>73.159663865546221</v>
      </c>
      <c r="J171" s="21">
        <f>Table1[[#This Row],[monthly_consumption_kwh]]*Table1[[#This Row],[NETTO_procurement_cost_ct_per_kwh]]/100</f>
        <v>57.489600000000003</v>
      </c>
      <c r="K171" s="21">
        <f>Table1[[#This Row],[NETTO_monthly_revenue(€)]]-Table1[[#This Row],[procurement_cost_(€)]]</f>
        <v>15.670063865546219</v>
      </c>
      <c r="L171" s="21">
        <f t="shared" si="6"/>
        <v>6.7543378730802672</v>
      </c>
      <c r="M171" s="21" t="str">
        <f t="shared" si="7"/>
        <v>22.08.2024</v>
      </c>
      <c r="N171" s="21">
        <f t="shared" si="8"/>
        <v>73.159663865546221</v>
      </c>
    </row>
    <row r="172" spans="1:14">
      <c r="A172" s="9" t="s">
        <v>350</v>
      </c>
      <c r="B172" s="8">
        <v>24</v>
      </c>
      <c r="C172" s="8" t="s">
        <v>35</v>
      </c>
      <c r="D172" s="8" t="s">
        <v>36</v>
      </c>
      <c r="E172" s="8" t="s">
        <v>351</v>
      </c>
      <c r="F172" s="8">
        <v>243</v>
      </c>
      <c r="G172" s="8">
        <v>91.49</v>
      </c>
      <c r="H172" s="10">
        <v>22.87</v>
      </c>
      <c r="I172" s="21">
        <f>Table1[[#This Row],[BRUTTO_monthly_bill_eur]]/1.19</f>
        <v>76.882352941176464</v>
      </c>
      <c r="J172" s="21">
        <f>Table1[[#This Row],[monthly_consumption_kwh]]*Table1[[#This Row],[NETTO_procurement_cost_ct_per_kwh]]/100</f>
        <v>55.574100000000001</v>
      </c>
      <c r="K172" s="21">
        <f>Table1[[#This Row],[NETTO_monthly_revenue(€)]]-Table1[[#This Row],[procurement_cost_(€)]]</f>
        <v>21.308252941176463</v>
      </c>
      <c r="L172" s="21">
        <f t="shared" si="6"/>
        <v>8.7688283708545125</v>
      </c>
      <c r="M172" s="21" t="str">
        <f t="shared" si="7"/>
        <v>10.03.2024</v>
      </c>
      <c r="N172" s="21">
        <f t="shared" si="8"/>
        <v>76.882352941176464</v>
      </c>
    </row>
    <row r="173" spans="1:14">
      <c r="A173" s="9" t="s">
        <v>352</v>
      </c>
      <c r="B173" s="8">
        <v>12</v>
      </c>
      <c r="C173" s="8" t="s">
        <v>51</v>
      </c>
      <c r="D173" s="8" t="s">
        <v>56</v>
      </c>
      <c r="E173" s="8" t="s">
        <v>59</v>
      </c>
      <c r="F173" s="8">
        <v>595</v>
      </c>
      <c r="G173" s="8">
        <v>208.29</v>
      </c>
      <c r="H173" s="10">
        <v>19.48</v>
      </c>
      <c r="I173" s="21">
        <f>Table1[[#This Row],[BRUTTO_monthly_bill_eur]]/1.19</f>
        <v>175.03361344537817</v>
      </c>
      <c r="J173" s="21">
        <f>Table1[[#This Row],[monthly_consumption_kwh]]*Table1[[#This Row],[NETTO_procurement_cost_ct_per_kwh]]/100</f>
        <v>115.90600000000001</v>
      </c>
      <c r="K173" s="21">
        <f>Table1[[#This Row],[NETTO_monthly_revenue(€)]]-Table1[[#This Row],[procurement_cost_(€)]]</f>
        <v>59.127613445378159</v>
      </c>
      <c r="L173" s="21">
        <f t="shared" si="6"/>
        <v>9.9374140244333038</v>
      </c>
      <c r="M173" s="21" t="str">
        <f t="shared" si="7"/>
        <v>02.02.2024</v>
      </c>
      <c r="N173" s="21">
        <f t="shared" si="8"/>
        <v>175.03361344537817</v>
      </c>
    </row>
    <row r="174" spans="1:14">
      <c r="A174" s="9" t="s">
        <v>353</v>
      </c>
      <c r="B174" s="8">
        <v>12</v>
      </c>
      <c r="C174" s="8" t="s">
        <v>35</v>
      </c>
      <c r="D174" s="8" t="s">
        <v>36</v>
      </c>
      <c r="E174" s="8" t="s">
        <v>354</v>
      </c>
      <c r="F174" s="8">
        <v>315</v>
      </c>
      <c r="G174" s="8">
        <v>116.37</v>
      </c>
      <c r="H174" s="10">
        <v>23.06</v>
      </c>
      <c r="I174" s="21">
        <f>Table1[[#This Row],[BRUTTO_monthly_bill_eur]]/1.19</f>
        <v>97.789915966386559</v>
      </c>
      <c r="J174" s="21">
        <f>Table1[[#This Row],[monthly_consumption_kwh]]*Table1[[#This Row],[NETTO_procurement_cost_ct_per_kwh]]/100</f>
        <v>72.638999999999996</v>
      </c>
      <c r="K174" s="21">
        <f>Table1[[#This Row],[NETTO_monthly_revenue(€)]]-Table1[[#This Row],[procurement_cost_(€)]]</f>
        <v>25.150915966386563</v>
      </c>
      <c r="L174" s="21">
        <f t="shared" si="6"/>
        <v>7.9844177671068453</v>
      </c>
      <c r="M174" s="21" t="str">
        <f t="shared" si="7"/>
        <v>04.12.2024</v>
      </c>
      <c r="N174" s="21">
        <f t="shared" si="8"/>
        <v>97.789915966386559</v>
      </c>
    </row>
    <row r="175" spans="1:14">
      <c r="A175" s="9" t="s">
        <v>355</v>
      </c>
      <c r="B175" s="8">
        <v>12</v>
      </c>
      <c r="C175" s="8" t="s">
        <v>39</v>
      </c>
      <c r="D175" s="8" t="s">
        <v>36</v>
      </c>
      <c r="E175" s="8" t="s">
        <v>347</v>
      </c>
      <c r="F175" s="8">
        <v>163</v>
      </c>
      <c r="G175" s="8">
        <v>70.37</v>
      </c>
      <c r="H175" s="10">
        <v>30.65</v>
      </c>
      <c r="I175" s="21">
        <f>Table1[[#This Row],[BRUTTO_monthly_bill_eur]]/1.19</f>
        <v>59.134453781512612</v>
      </c>
      <c r="J175" s="21">
        <f>Table1[[#This Row],[monthly_consumption_kwh]]*Table1[[#This Row],[NETTO_procurement_cost_ct_per_kwh]]/100</f>
        <v>49.959499999999998</v>
      </c>
      <c r="K175" s="21">
        <f>Table1[[#This Row],[NETTO_monthly_revenue(€)]]-Table1[[#This Row],[procurement_cost_(€)]]</f>
        <v>9.1749537815126132</v>
      </c>
      <c r="L175" s="21">
        <f t="shared" si="6"/>
        <v>5.6288060009279839</v>
      </c>
      <c r="M175" s="21" t="str">
        <f t="shared" si="7"/>
        <v>13.03.2024</v>
      </c>
      <c r="N175" s="21">
        <f t="shared" si="8"/>
        <v>59.134453781512612</v>
      </c>
    </row>
    <row r="176" spans="1:14">
      <c r="A176" s="9" t="s">
        <v>356</v>
      </c>
      <c r="B176" s="8">
        <v>24</v>
      </c>
      <c r="C176" s="8" t="s">
        <v>39</v>
      </c>
      <c r="D176" s="8" t="s">
        <v>36</v>
      </c>
      <c r="E176" s="8" t="s">
        <v>357</v>
      </c>
      <c r="F176" s="8">
        <v>149</v>
      </c>
      <c r="G176" s="8">
        <v>65.05</v>
      </c>
      <c r="H176" s="10">
        <v>31.26</v>
      </c>
      <c r="I176" s="21">
        <f>Table1[[#This Row],[BRUTTO_monthly_bill_eur]]/1.19</f>
        <v>54.663865546218489</v>
      </c>
      <c r="J176" s="21">
        <f>Table1[[#This Row],[monthly_consumption_kwh]]*Table1[[#This Row],[NETTO_procurement_cost_ct_per_kwh]]/100</f>
        <v>46.577399999999997</v>
      </c>
      <c r="K176" s="21">
        <f>Table1[[#This Row],[NETTO_monthly_revenue(€)]]-Table1[[#This Row],[procurement_cost_(€)]]</f>
        <v>8.0864655462184913</v>
      </c>
      <c r="L176" s="21">
        <f t="shared" si="6"/>
        <v>5.4271580847103973</v>
      </c>
      <c r="M176" s="21" t="str">
        <f t="shared" si="7"/>
        <v>10.06.2025</v>
      </c>
      <c r="N176" s="21">
        <f t="shared" si="8"/>
        <v>54.663865546218489</v>
      </c>
    </row>
    <row r="177" spans="1:14">
      <c r="A177" s="9" t="s">
        <v>358</v>
      </c>
      <c r="B177" s="8">
        <v>12</v>
      </c>
      <c r="C177" s="8" t="s">
        <v>39</v>
      </c>
      <c r="D177" s="8" t="s">
        <v>46</v>
      </c>
      <c r="E177" s="8" t="s">
        <v>359</v>
      </c>
      <c r="F177" s="8">
        <v>110</v>
      </c>
      <c r="G177" s="8">
        <v>52.03</v>
      </c>
      <c r="H177" s="10">
        <v>31.11</v>
      </c>
      <c r="I177" s="21">
        <f>Table1[[#This Row],[BRUTTO_monthly_bill_eur]]/1.19</f>
        <v>43.722689075630257</v>
      </c>
      <c r="J177" s="21">
        <f>Table1[[#This Row],[monthly_consumption_kwh]]*Table1[[#This Row],[NETTO_procurement_cost_ct_per_kwh]]/100</f>
        <v>34.220999999999997</v>
      </c>
      <c r="K177" s="21">
        <f>Table1[[#This Row],[NETTO_monthly_revenue(€)]]-Table1[[#This Row],[procurement_cost_(€)]]</f>
        <v>9.5016890756302601</v>
      </c>
      <c r="L177" s="21">
        <f t="shared" si="6"/>
        <v>8.6378991596638723</v>
      </c>
      <c r="M177" s="21" t="str">
        <f t="shared" si="7"/>
        <v>31.08.2024</v>
      </c>
      <c r="N177" s="21">
        <f t="shared" si="8"/>
        <v>43.722689075630257</v>
      </c>
    </row>
    <row r="178" spans="1:14">
      <c r="A178" s="9" t="s">
        <v>360</v>
      </c>
      <c r="B178" s="8">
        <v>24</v>
      </c>
      <c r="C178" s="8" t="s">
        <v>35</v>
      </c>
      <c r="D178" s="8" t="s">
        <v>56</v>
      </c>
      <c r="E178" s="8" t="s">
        <v>361</v>
      </c>
      <c r="F178" s="8">
        <v>281</v>
      </c>
      <c r="G178" s="8">
        <v>106.31</v>
      </c>
      <c r="H178" s="10">
        <v>25.04</v>
      </c>
      <c r="I178" s="21">
        <f>Table1[[#This Row],[BRUTTO_monthly_bill_eur]]/1.19</f>
        <v>89.336134453781511</v>
      </c>
      <c r="J178" s="21">
        <f>Table1[[#This Row],[monthly_consumption_kwh]]*Table1[[#This Row],[NETTO_procurement_cost_ct_per_kwh]]/100</f>
        <v>70.362399999999994</v>
      </c>
      <c r="K178" s="21">
        <f>Table1[[#This Row],[NETTO_monthly_revenue(€)]]-Table1[[#This Row],[procurement_cost_(€)]]</f>
        <v>18.973734453781518</v>
      </c>
      <c r="L178" s="21">
        <f t="shared" si="6"/>
        <v>6.7522186668261623</v>
      </c>
      <c r="M178" s="21" t="str">
        <f t="shared" si="7"/>
        <v>12.10.2024</v>
      </c>
      <c r="N178" s="21">
        <f t="shared" si="8"/>
        <v>89.336134453781511</v>
      </c>
    </row>
    <row r="179" spans="1:14">
      <c r="A179" s="9" t="s">
        <v>362</v>
      </c>
      <c r="B179" s="8">
        <v>12</v>
      </c>
      <c r="C179" s="8" t="s">
        <v>39</v>
      </c>
      <c r="D179" s="8" t="s">
        <v>46</v>
      </c>
      <c r="E179" s="8" t="s">
        <v>363</v>
      </c>
      <c r="F179" s="8">
        <v>120</v>
      </c>
      <c r="G179" s="8">
        <v>53.89</v>
      </c>
      <c r="H179" s="10">
        <v>30.75</v>
      </c>
      <c r="I179" s="21">
        <f>Table1[[#This Row],[BRUTTO_monthly_bill_eur]]/1.19</f>
        <v>45.285714285714285</v>
      </c>
      <c r="J179" s="21">
        <f>Table1[[#This Row],[monthly_consumption_kwh]]*Table1[[#This Row],[NETTO_procurement_cost_ct_per_kwh]]/100</f>
        <v>36.9</v>
      </c>
      <c r="K179" s="21">
        <f>Table1[[#This Row],[NETTO_monthly_revenue(€)]]-Table1[[#This Row],[procurement_cost_(€)]]</f>
        <v>8.3857142857142861</v>
      </c>
      <c r="L179" s="21">
        <f t="shared" si="6"/>
        <v>6.988095238095239</v>
      </c>
      <c r="M179" s="21" t="str">
        <f t="shared" si="7"/>
        <v>2025-05</v>
      </c>
      <c r="N179" s="21">
        <f t="shared" si="8"/>
        <v>45.285714285714285</v>
      </c>
    </row>
    <row r="180" spans="1:14">
      <c r="A180" s="9" t="s">
        <v>364</v>
      </c>
      <c r="B180" s="8">
        <v>24</v>
      </c>
      <c r="C180" s="8" t="s">
        <v>35</v>
      </c>
      <c r="D180" s="8" t="s">
        <v>36</v>
      </c>
      <c r="E180" s="8" t="s">
        <v>365</v>
      </c>
      <c r="F180" s="8">
        <v>209</v>
      </c>
      <c r="G180" s="8">
        <v>79.209999999999994</v>
      </c>
      <c r="H180" s="10">
        <v>22.35</v>
      </c>
      <c r="I180" s="21">
        <f>Table1[[#This Row],[BRUTTO_monthly_bill_eur]]/1.19</f>
        <v>66.563025210084035</v>
      </c>
      <c r="J180" s="21">
        <f>Table1[[#This Row],[monthly_consumption_kwh]]*Table1[[#This Row],[NETTO_procurement_cost_ct_per_kwh]]/100</f>
        <v>46.711500000000008</v>
      </c>
      <c r="K180" s="21">
        <f>Table1[[#This Row],[NETTO_monthly_revenue(€)]]-Table1[[#This Row],[procurement_cost_(€)]]</f>
        <v>19.851525210084027</v>
      </c>
      <c r="L180" s="21">
        <f t="shared" si="6"/>
        <v>9.4983374210928346</v>
      </c>
      <c r="M180" s="21" t="str">
        <f t="shared" si="7"/>
        <v>07.08.2024</v>
      </c>
      <c r="N180" s="21">
        <f t="shared" si="8"/>
        <v>66.563025210084035</v>
      </c>
    </row>
    <row r="181" spans="1:14">
      <c r="A181" s="9" t="s">
        <v>366</v>
      </c>
      <c r="B181" s="8">
        <v>12</v>
      </c>
      <c r="C181" s="8" t="s">
        <v>35</v>
      </c>
      <c r="D181" s="8" t="s">
        <v>46</v>
      </c>
      <c r="E181" s="8" t="s">
        <v>367</v>
      </c>
      <c r="F181" s="8">
        <v>307</v>
      </c>
      <c r="G181" s="8">
        <v>109.75</v>
      </c>
      <c r="H181" s="10">
        <v>24.8</v>
      </c>
      <c r="I181" s="21">
        <f>Table1[[#This Row],[BRUTTO_monthly_bill_eur]]/1.19</f>
        <v>92.226890756302524</v>
      </c>
      <c r="J181" s="21">
        <f>Table1[[#This Row],[monthly_consumption_kwh]]*Table1[[#This Row],[NETTO_procurement_cost_ct_per_kwh]]/100</f>
        <v>76.13600000000001</v>
      </c>
      <c r="K181" s="21">
        <f>Table1[[#This Row],[NETTO_monthly_revenue(€)]]-Table1[[#This Row],[procurement_cost_(€)]]</f>
        <v>16.090890756302514</v>
      </c>
      <c r="L181" s="21">
        <f t="shared" si="6"/>
        <v>5.2413324939096135</v>
      </c>
      <c r="M181" s="21" t="str">
        <f t="shared" si="7"/>
        <v>15.05.2024</v>
      </c>
      <c r="N181" s="21">
        <f t="shared" si="8"/>
        <v>92.226890756302524</v>
      </c>
    </row>
    <row r="182" spans="1:14">
      <c r="A182" s="9" t="s">
        <v>368</v>
      </c>
      <c r="B182" s="8">
        <v>12</v>
      </c>
      <c r="C182" s="8" t="s">
        <v>39</v>
      </c>
      <c r="D182" s="8" t="s">
        <v>36</v>
      </c>
      <c r="E182" s="8" t="s">
        <v>369</v>
      </c>
      <c r="F182" s="8">
        <v>86</v>
      </c>
      <c r="G182" s="8">
        <v>44.14</v>
      </c>
      <c r="H182" s="10">
        <v>29.47</v>
      </c>
      <c r="I182" s="21">
        <f>Table1[[#This Row],[BRUTTO_monthly_bill_eur]]/1.19</f>
        <v>37.092436974789919</v>
      </c>
      <c r="J182" s="21">
        <f>Table1[[#This Row],[monthly_consumption_kwh]]*Table1[[#This Row],[NETTO_procurement_cost_ct_per_kwh]]/100</f>
        <v>25.344200000000001</v>
      </c>
      <c r="K182" s="21">
        <f>Table1[[#This Row],[NETTO_monthly_revenue(€)]]-Table1[[#This Row],[procurement_cost_(€)]]</f>
        <v>11.748236974789918</v>
      </c>
      <c r="L182" s="21">
        <f t="shared" si="6"/>
        <v>13.660740668360372</v>
      </c>
      <c r="M182" s="21" t="str">
        <f t="shared" si="7"/>
        <v>29.04.2025</v>
      </c>
      <c r="N182" s="21">
        <f t="shared" si="8"/>
        <v>37.092436974789919</v>
      </c>
    </row>
    <row r="183" spans="1:14">
      <c r="A183" s="9" t="s">
        <v>370</v>
      </c>
      <c r="B183" s="8">
        <v>12</v>
      </c>
      <c r="C183" s="8" t="s">
        <v>51</v>
      </c>
      <c r="D183" s="8" t="s">
        <v>56</v>
      </c>
      <c r="E183" s="8" t="s">
        <v>371</v>
      </c>
      <c r="F183" s="8">
        <v>634</v>
      </c>
      <c r="G183" s="8">
        <v>210.82</v>
      </c>
      <c r="H183" s="10">
        <v>18.66</v>
      </c>
      <c r="I183" s="21">
        <f>Table1[[#This Row],[BRUTTO_monthly_bill_eur]]/1.19</f>
        <v>177.15966386554621</v>
      </c>
      <c r="J183" s="21">
        <f>Table1[[#This Row],[monthly_consumption_kwh]]*Table1[[#This Row],[NETTO_procurement_cost_ct_per_kwh]]/100</f>
        <v>118.3044</v>
      </c>
      <c r="K183" s="21">
        <f>Table1[[#This Row],[NETTO_monthly_revenue(€)]]-Table1[[#This Row],[procurement_cost_(€)]]</f>
        <v>58.855263865546206</v>
      </c>
      <c r="L183" s="21">
        <f t="shared" si="6"/>
        <v>9.2831646475624936</v>
      </c>
      <c r="M183" s="21" t="str">
        <f t="shared" si="7"/>
        <v>05.09.2024</v>
      </c>
      <c r="N183" s="21">
        <f t="shared" si="8"/>
        <v>177.15966386554621</v>
      </c>
    </row>
    <row r="184" spans="1:14">
      <c r="A184" s="9" t="s">
        <v>372</v>
      </c>
      <c r="B184" s="8">
        <v>24</v>
      </c>
      <c r="C184" s="8" t="s">
        <v>39</v>
      </c>
      <c r="D184" s="8" t="s">
        <v>36</v>
      </c>
      <c r="E184" s="8" t="s">
        <v>369</v>
      </c>
      <c r="F184" s="8">
        <v>122</v>
      </c>
      <c r="G184" s="8">
        <v>56.23</v>
      </c>
      <c r="H184" s="10">
        <v>28.12</v>
      </c>
      <c r="I184" s="21">
        <f>Table1[[#This Row],[BRUTTO_monthly_bill_eur]]/1.19</f>
        <v>47.252100840336134</v>
      </c>
      <c r="J184" s="21">
        <f>Table1[[#This Row],[monthly_consumption_kwh]]*Table1[[#This Row],[NETTO_procurement_cost_ct_per_kwh]]/100</f>
        <v>34.306400000000004</v>
      </c>
      <c r="K184" s="21">
        <f>Table1[[#This Row],[NETTO_monthly_revenue(€)]]-Table1[[#This Row],[procurement_cost_(€)]]</f>
        <v>12.94570084033613</v>
      </c>
      <c r="L184" s="21">
        <f t="shared" si="6"/>
        <v>10.611230196996829</v>
      </c>
      <c r="M184" s="21" t="str">
        <f t="shared" si="7"/>
        <v>29.04.2025</v>
      </c>
      <c r="N184" s="21">
        <f t="shared" si="8"/>
        <v>47.252100840336134</v>
      </c>
    </row>
    <row r="185" spans="1:14">
      <c r="A185" s="9" t="s">
        <v>373</v>
      </c>
      <c r="B185" s="8">
        <v>24</v>
      </c>
      <c r="C185" s="8" t="s">
        <v>39</v>
      </c>
      <c r="D185" s="8" t="s">
        <v>36</v>
      </c>
      <c r="E185" s="8" t="s">
        <v>374</v>
      </c>
      <c r="F185" s="8">
        <v>136</v>
      </c>
      <c r="G185" s="8">
        <v>60.54</v>
      </c>
      <c r="H185" s="10">
        <v>29.04</v>
      </c>
      <c r="I185" s="21">
        <f>Table1[[#This Row],[BRUTTO_monthly_bill_eur]]/1.19</f>
        <v>50.873949579831937</v>
      </c>
      <c r="J185" s="21">
        <f>Table1[[#This Row],[monthly_consumption_kwh]]*Table1[[#This Row],[NETTO_procurement_cost_ct_per_kwh]]/100</f>
        <v>39.494399999999999</v>
      </c>
      <c r="K185" s="21">
        <f>Table1[[#This Row],[NETTO_monthly_revenue(€)]]-Table1[[#This Row],[procurement_cost_(€)]]</f>
        <v>11.379549579831938</v>
      </c>
      <c r="L185" s="21">
        <f t="shared" si="6"/>
        <v>8.3673158675234838</v>
      </c>
      <c r="M185" s="21" t="str">
        <f t="shared" si="7"/>
        <v>20.02.2025</v>
      </c>
      <c r="N185" s="21">
        <f t="shared" si="8"/>
        <v>50.873949579831937</v>
      </c>
    </row>
    <row r="186" spans="1:14">
      <c r="A186" s="9" t="s">
        <v>375</v>
      </c>
      <c r="B186" s="8">
        <v>12</v>
      </c>
      <c r="C186" s="8" t="s">
        <v>35</v>
      </c>
      <c r="D186" s="8" t="s">
        <v>46</v>
      </c>
      <c r="E186" s="8" t="s">
        <v>376</v>
      </c>
      <c r="F186" s="8">
        <v>276</v>
      </c>
      <c r="G186" s="8">
        <v>100.65</v>
      </c>
      <c r="H186" s="10">
        <v>22.13</v>
      </c>
      <c r="I186" s="21">
        <f>Table1[[#This Row],[BRUTTO_monthly_bill_eur]]/1.19</f>
        <v>84.579831932773118</v>
      </c>
      <c r="J186" s="21">
        <f>Table1[[#This Row],[monthly_consumption_kwh]]*Table1[[#This Row],[NETTO_procurement_cost_ct_per_kwh]]/100</f>
        <v>61.078800000000001</v>
      </c>
      <c r="K186" s="21">
        <f>Table1[[#This Row],[NETTO_monthly_revenue(€)]]-Table1[[#This Row],[procurement_cost_(€)]]</f>
        <v>23.501031932773117</v>
      </c>
      <c r="L186" s="21">
        <f t="shared" si="6"/>
        <v>8.5148666423090997</v>
      </c>
      <c r="M186" s="21" t="str">
        <f t="shared" si="7"/>
        <v>13.07.2024</v>
      </c>
      <c r="N186" s="21">
        <f t="shared" si="8"/>
        <v>84.579831932773118</v>
      </c>
    </row>
    <row r="187" spans="1:14">
      <c r="A187" s="9" t="s">
        <v>377</v>
      </c>
      <c r="B187" s="8">
        <v>24</v>
      </c>
      <c r="C187" s="8" t="s">
        <v>35</v>
      </c>
      <c r="D187" s="8" t="s">
        <v>46</v>
      </c>
      <c r="E187" s="8" t="s">
        <v>378</v>
      </c>
      <c r="F187" s="8">
        <v>316</v>
      </c>
      <c r="G187" s="8">
        <v>118.78</v>
      </c>
      <c r="H187" s="10">
        <v>25.52</v>
      </c>
      <c r="I187" s="21">
        <f>Table1[[#This Row],[BRUTTO_monthly_bill_eur]]/1.19</f>
        <v>99.815126050420176</v>
      </c>
      <c r="J187" s="21">
        <f>Table1[[#This Row],[monthly_consumption_kwh]]*Table1[[#This Row],[NETTO_procurement_cost_ct_per_kwh]]/100</f>
        <v>80.643199999999993</v>
      </c>
      <c r="K187" s="21">
        <f>Table1[[#This Row],[NETTO_monthly_revenue(€)]]-Table1[[#This Row],[procurement_cost_(€)]]</f>
        <v>19.171926050420183</v>
      </c>
      <c r="L187" s="21">
        <f t="shared" si="6"/>
        <v>6.0670652058291719</v>
      </c>
      <c r="M187" s="21" t="str">
        <f t="shared" si="7"/>
        <v>06.04.2024</v>
      </c>
      <c r="N187" s="21">
        <f t="shared" si="8"/>
        <v>99.815126050420176</v>
      </c>
    </row>
    <row r="188" spans="1:14">
      <c r="A188" s="9" t="s">
        <v>379</v>
      </c>
      <c r="B188" s="8">
        <v>24</v>
      </c>
      <c r="C188" s="8" t="s">
        <v>35</v>
      </c>
      <c r="D188" s="8" t="s">
        <v>36</v>
      </c>
      <c r="E188" s="8" t="s">
        <v>102</v>
      </c>
      <c r="F188" s="8">
        <v>273</v>
      </c>
      <c r="G188" s="8">
        <v>101.83</v>
      </c>
      <c r="H188" s="10">
        <v>22.97</v>
      </c>
      <c r="I188" s="21">
        <f>Table1[[#This Row],[BRUTTO_monthly_bill_eur]]/1.19</f>
        <v>85.571428571428569</v>
      </c>
      <c r="J188" s="21">
        <f>Table1[[#This Row],[monthly_consumption_kwh]]*Table1[[#This Row],[NETTO_procurement_cost_ct_per_kwh]]/100</f>
        <v>62.708099999999995</v>
      </c>
      <c r="K188" s="21">
        <f>Table1[[#This Row],[NETTO_monthly_revenue(€)]]-Table1[[#This Row],[procurement_cost_(€)]]</f>
        <v>22.863328571428575</v>
      </c>
      <c r="L188" s="21">
        <f t="shared" si="6"/>
        <v>8.3748456305599177</v>
      </c>
      <c r="M188" s="21" t="str">
        <f t="shared" si="7"/>
        <v>09.04.2024</v>
      </c>
      <c r="N188" s="21">
        <f t="shared" si="8"/>
        <v>85.571428571428569</v>
      </c>
    </row>
    <row r="189" spans="1:14">
      <c r="A189" s="9" t="s">
        <v>380</v>
      </c>
      <c r="B189" s="8">
        <v>24</v>
      </c>
      <c r="C189" s="8" t="s">
        <v>35</v>
      </c>
      <c r="D189" s="8" t="s">
        <v>46</v>
      </c>
      <c r="E189" s="8" t="s">
        <v>381</v>
      </c>
      <c r="F189" s="8">
        <v>269</v>
      </c>
      <c r="G189" s="8">
        <v>104.34</v>
      </c>
      <c r="H189" s="10">
        <v>24.23</v>
      </c>
      <c r="I189" s="21">
        <f>Table1[[#This Row],[BRUTTO_monthly_bill_eur]]/1.19</f>
        <v>87.680672268907571</v>
      </c>
      <c r="J189" s="21">
        <f>Table1[[#This Row],[monthly_consumption_kwh]]*Table1[[#This Row],[NETTO_procurement_cost_ct_per_kwh]]/100</f>
        <v>65.178699999999992</v>
      </c>
      <c r="K189" s="21">
        <f>Table1[[#This Row],[NETTO_monthly_revenue(€)]]-Table1[[#This Row],[procurement_cost_(€)]]</f>
        <v>22.501972268907579</v>
      </c>
      <c r="L189" s="21">
        <f t="shared" si="6"/>
        <v>8.3650454531254947</v>
      </c>
      <c r="M189" s="21" t="str">
        <f t="shared" si="7"/>
        <v>17.03.2025</v>
      </c>
      <c r="N189" s="21">
        <f t="shared" si="8"/>
        <v>87.680672268907571</v>
      </c>
    </row>
    <row r="190" spans="1:14">
      <c r="A190" s="9" t="s">
        <v>382</v>
      </c>
      <c r="B190" s="8">
        <v>12</v>
      </c>
      <c r="C190" s="8" t="s">
        <v>39</v>
      </c>
      <c r="D190" s="8" t="s">
        <v>36</v>
      </c>
      <c r="E190" s="8" t="s">
        <v>383</v>
      </c>
      <c r="F190" s="8">
        <v>89</v>
      </c>
      <c r="G190" s="8">
        <v>44.72</v>
      </c>
      <c r="H190" s="10">
        <v>28.16</v>
      </c>
      <c r="I190" s="21">
        <f>Table1[[#This Row],[BRUTTO_monthly_bill_eur]]/1.19</f>
        <v>37.579831932773111</v>
      </c>
      <c r="J190" s="21">
        <f>Table1[[#This Row],[monthly_consumption_kwh]]*Table1[[#This Row],[NETTO_procurement_cost_ct_per_kwh]]/100</f>
        <v>25.062400000000004</v>
      </c>
      <c r="K190" s="21">
        <f>Table1[[#This Row],[NETTO_monthly_revenue(€)]]-Table1[[#This Row],[procurement_cost_(€)]]</f>
        <v>12.517431932773107</v>
      </c>
      <c r="L190" s="21">
        <f t="shared" si="6"/>
        <v>14.064530261542817</v>
      </c>
      <c r="M190" s="21" t="str">
        <f t="shared" si="7"/>
        <v>28.12.2024</v>
      </c>
      <c r="N190" s="21">
        <f t="shared" si="8"/>
        <v>37.579831932773111</v>
      </c>
    </row>
    <row r="191" spans="1:14">
      <c r="A191" s="9" t="s">
        <v>384</v>
      </c>
      <c r="B191" s="8">
        <v>12</v>
      </c>
      <c r="C191" s="8" t="s">
        <v>51</v>
      </c>
      <c r="D191" s="8" t="s">
        <v>46</v>
      </c>
      <c r="E191" s="8" t="s">
        <v>385</v>
      </c>
      <c r="F191" s="8">
        <v>506</v>
      </c>
      <c r="G191" s="8">
        <v>173.39</v>
      </c>
      <c r="H191" s="10">
        <v>19.829999999999998</v>
      </c>
      <c r="I191" s="21">
        <f>Table1[[#This Row],[BRUTTO_monthly_bill_eur]]/1.19</f>
        <v>145.70588235294116</v>
      </c>
      <c r="J191" s="21">
        <f>Table1[[#This Row],[monthly_consumption_kwh]]*Table1[[#This Row],[NETTO_procurement_cost_ct_per_kwh]]/100</f>
        <v>100.3398</v>
      </c>
      <c r="K191" s="21">
        <f>Table1[[#This Row],[NETTO_monthly_revenue(€)]]-Table1[[#This Row],[procurement_cost_(€)]]</f>
        <v>45.366082352941163</v>
      </c>
      <c r="L191" s="21">
        <f t="shared" si="6"/>
        <v>8.9656289235061575</v>
      </c>
      <c r="M191" s="21" t="str">
        <f t="shared" si="7"/>
        <v>2025-03</v>
      </c>
      <c r="N191" s="21">
        <f t="shared" si="8"/>
        <v>145.70588235294116</v>
      </c>
    </row>
    <row r="192" spans="1:14">
      <c r="A192" s="9" t="s">
        <v>386</v>
      </c>
      <c r="B192" s="8">
        <v>12</v>
      </c>
      <c r="C192" s="8" t="s">
        <v>51</v>
      </c>
      <c r="D192" s="8" t="s">
        <v>56</v>
      </c>
      <c r="E192" s="8" t="s">
        <v>387</v>
      </c>
      <c r="F192" s="8">
        <v>383</v>
      </c>
      <c r="G192" s="8">
        <v>136.19</v>
      </c>
      <c r="H192" s="10">
        <v>18.12</v>
      </c>
      <c r="I192" s="21">
        <f>Table1[[#This Row],[BRUTTO_monthly_bill_eur]]/1.19</f>
        <v>114.44537815126051</v>
      </c>
      <c r="J192" s="21">
        <f>Table1[[#This Row],[monthly_consumption_kwh]]*Table1[[#This Row],[NETTO_procurement_cost_ct_per_kwh]]/100</f>
        <v>69.399600000000007</v>
      </c>
      <c r="K192" s="21">
        <f>Table1[[#This Row],[NETTO_monthly_revenue(€)]]-Table1[[#This Row],[procurement_cost_(€)]]</f>
        <v>45.045778151260507</v>
      </c>
      <c r="L192" s="21">
        <f t="shared" si="6"/>
        <v>11.761299778396999</v>
      </c>
      <c r="M192" s="21" t="str">
        <f t="shared" si="7"/>
        <v>24.02.2025</v>
      </c>
      <c r="N192" s="21">
        <f t="shared" si="8"/>
        <v>114.44537815126051</v>
      </c>
    </row>
    <row r="193" spans="1:14">
      <c r="A193" s="9" t="s">
        <v>388</v>
      </c>
      <c r="B193" s="8">
        <v>24</v>
      </c>
      <c r="C193" s="8" t="s">
        <v>35</v>
      </c>
      <c r="D193" s="8" t="s">
        <v>56</v>
      </c>
      <c r="E193" s="8" t="s">
        <v>389</v>
      </c>
      <c r="F193" s="8">
        <v>289</v>
      </c>
      <c r="G193" s="8">
        <v>114.25</v>
      </c>
      <c r="H193" s="10">
        <v>25.59</v>
      </c>
      <c r="I193" s="21">
        <f>Table1[[#This Row],[BRUTTO_monthly_bill_eur]]/1.19</f>
        <v>96.008403361344548</v>
      </c>
      <c r="J193" s="21">
        <f>Table1[[#This Row],[monthly_consumption_kwh]]*Table1[[#This Row],[NETTO_procurement_cost_ct_per_kwh]]/100</f>
        <v>73.955100000000002</v>
      </c>
      <c r="K193" s="21">
        <f>Table1[[#This Row],[NETTO_monthly_revenue(€)]]-Table1[[#This Row],[procurement_cost_(€)]]</f>
        <v>22.053303361344547</v>
      </c>
      <c r="L193" s="21">
        <f t="shared" si="6"/>
        <v>7.6309008170742381</v>
      </c>
      <c r="M193" s="21" t="str">
        <f t="shared" si="7"/>
        <v>23.04.2025</v>
      </c>
      <c r="N193" s="21">
        <f t="shared" si="8"/>
        <v>96.008403361344548</v>
      </c>
    </row>
    <row r="194" spans="1:14">
      <c r="A194" s="9" t="s">
        <v>390</v>
      </c>
      <c r="B194" s="8">
        <v>24</v>
      </c>
      <c r="C194" s="8" t="s">
        <v>39</v>
      </c>
      <c r="D194" s="8" t="s">
        <v>46</v>
      </c>
      <c r="E194" s="8" t="s">
        <v>391</v>
      </c>
      <c r="F194" s="8">
        <v>126</v>
      </c>
      <c r="G194" s="8">
        <v>55.38</v>
      </c>
      <c r="H194" s="10">
        <v>31.55</v>
      </c>
      <c r="I194" s="21">
        <f>Table1[[#This Row],[BRUTTO_monthly_bill_eur]]/1.19</f>
        <v>46.537815126050425</v>
      </c>
      <c r="J194" s="21">
        <f>Table1[[#This Row],[monthly_consumption_kwh]]*Table1[[#This Row],[NETTO_procurement_cost_ct_per_kwh]]/100</f>
        <v>39.753</v>
      </c>
      <c r="K194" s="21">
        <f>Table1[[#This Row],[NETTO_monthly_revenue(€)]]-Table1[[#This Row],[procurement_cost_(€)]]</f>
        <v>6.7848151260504252</v>
      </c>
      <c r="L194" s="21">
        <f t="shared" ref="L194:L257" si="9">IF(F194=0,"",K194/F194*100)</f>
        <v>5.3847739095638296</v>
      </c>
      <c r="M194" s="21" t="str">
        <f t="shared" ref="M194:M257" si="10">TEXT(E194,"yyyy-mm")</f>
        <v>25.02.2024</v>
      </c>
      <c r="N194" s="21">
        <f t="shared" ref="N194:N257" si="11">G194/1.19</f>
        <v>46.537815126050425</v>
      </c>
    </row>
    <row r="195" spans="1:14">
      <c r="A195" s="9" t="s">
        <v>392</v>
      </c>
      <c r="B195" s="8">
        <v>24</v>
      </c>
      <c r="C195" s="8" t="s">
        <v>35</v>
      </c>
      <c r="D195" s="8" t="s">
        <v>36</v>
      </c>
      <c r="E195" s="8" t="s">
        <v>393</v>
      </c>
      <c r="F195" s="8">
        <v>280</v>
      </c>
      <c r="G195" s="8">
        <v>109.83</v>
      </c>
      <c r="H195" s="10">
        <v>23.3</v>
      </c>
      <c r="I195" s="21">
        <f>Table1[[#This Row],[BRUTTO_monthly_bill_eur]]/1.19</f>
        <v>92.294117647058826</v>
      </c>
      <c r="J195" s="21">
        <f>Table1[[#This Row],[monthly_consumption_kwh]]*Table1[[#This Row],[NETTO_procurement_cost_ct_per_kwh]]/100</f>
        <v>65.239999999999995</v>
      </c>
      <c r="K195" s="21">
        <f>Table1[[#This Row],[NETTO_monthly_revenue(€)]]-Table1[[#This Row],[procurement_cost_(€)]]</f>
        <v>27.054117647058831</v>
      </c>
      <c r="L195" s="21">
        <f t="shared" si="9"/>
        <v>9.6621848739495828</v>
      </c>
      <c r="M195" s="21" t="str">
        <f t="shared" si="10"/>
        <v>10.04.2024</v>
      </c>
      <c r="N195" s="21">
        <f t="shared" si="11"/>
        <v>92.294117647058826</v>
      </c>
    </row>
    <row r="196" spans="1:14">
      <c r="A196" s="9" t="s">
        <v>394</v>
      </c>
      <c r="B196" s="8">
        <v>12</v>
      </c>
      <c r="C196" s="8" t="s">
        <v>35</v>
      </c>
      <c r="D196" s="8" t="s">
        <v>36</v>
      </c>
      <c r="E196" s="8" t="s">
        <v>395</v>
      </c>
      <c r="F196" s="8">
        <v>174</v>
      </c>
      <c r="G196" s="8">
        <v>68.53</v>
      </c>
      <c r="H196" s="10">
        <v>25.6</v>
      </c>
      <c r="I196" s="21">
        <f>Table1[[#This Row],[BRUTTO_monthly_bill_eur]]/1.19</f>
        <v>57.588235294117652</v>
      </c>
      <c r="J196" s="21">
        <f>Table1[[#This Row],[monthly_consumption_kwh]]*Table1[[#This Row],[NETTO_procurement_cost_ct_per_kwh]]/100</f>
        <v>44.544000000000004</v>
      </c>
      <c r="K196" s="21">
        <f>Table1[[#This Row],[NETTO_monthly_revenue(€)]]-Table1[[#This Row],[procurement_cost_(€)]]</f>
        <v>13.044235294117648</v>
      </c>
      <c r="L196" s="21">
        <f t="shared" si="9"/>
        <v>7.496686950642327</v>
      </c>
      <c r="M196" s="21" t="str">
        <f t="shared" si="10"/>
        <v>03.03.2024</v>
      </c>
      <c r="N196" s="21">
        <f t="shared" si="11"/>
        <v>57.588235294117652</v>
      </c>
    </row>
    <row r="197" spans="1:14">
      <c r="A197" s="9" t="s">
        <v>396</v>
      </c>
      <c r="B197" s="8">
        <v>12</v>
      </c>
      <c r="C197" s="8" t="s">
        <v>39</v>
      </c>
      <c r="D197" s="8" t="s">
        <v>46</v>
      </c>
      <c r="E197" s="8" t="s">
        <v>397</v>
      </c>
      <c r="F197" s="8">
        <v>90</v>
      </c>
      <c r="G197" s="8">
        <v>44.41</v>
      </c>
      <c r="H197" s="10">
        <v>31.98</v>
      </c>
      <c r="I197" s="21">
        <f>Table1[[#This Row],[BRUTTO_monthly_bill_eur]]/1.19</f>
        <v>37.319327731092436</v>
      </c>
      <c r="J197" s="21">
        <f>Table1[[#This Row],[monthly_consumption_kwh]]*Table1[[#This Row],[NETTO_procurement_cost_ct_per_kwh]]/100</f>
        <v>28.781999999999996</v>
      </c>
      <c r="K197" s="21">
        <f>Table1[[#This Row],[NETTO_monthly_revenue(€)]]-Table1[[#This Row],[procurement_cost_(€)]]</f>
        <v>8.5373277310924394</v>
      </c>
      <c r="L197" s="21">
        <f t="shared" si="9"/>
        <v>9.4859197012138221</v>
      </c>
      <c r="M197" s="21" t="str">
        <f t="shared" si="10"/>
        <v>16.02.2025</v>
      </c>
      <c r="N197" s="21">
        <f t="shared" si="11"/>
        <v>37.319327731092436</v>
      </c>
    </row>
    <row r="198" spans="1:14">
      <c r="A198" s="9" t="s">
        <v>398</v>
      </c>
      <c r="B198" s="8">
        <v>24</v>
      </c>
      <c r="C198" s="8" t="s">
        <v>51</v>
      </c>
      <c r="D198" s="8" t="s">
        <v>36</v>
      </c>
      <c r="E198" s="8" t="s">
        <v>399</v>
      </c>
      <c r="F198" s="8">
        <v>572</v>
      </c>
      <c r="G198" s="8">
        <v>180.9</v>
      </c>
      <c r="H198" s="10">
        <v>20.63</v>
      </c>
      <c r="I198" s="21">
        <f>Table1[[#This Row],[BRUTTO_monthly_bill_eur]]/1.19</f>
        <v>152.0168067226891</v>
      </c>
      <c r="J198" s="21">
        <f>Table1[[#This Row],[monthly_consumption_kwh]]*Table1[[#This Row],[NETTO_procurement_cost_ct_per_kwh]]/100</f>
        <v>118.00359999999999</v>
      </c>
      <c r="K198" s="21">
        <f>Table1[[#This Row],[NETTO_monthly_revenue(€)]]-Table1[[#This Row],[procurement_cost_(€)]]</f>
        <v>34.013206722689105</v>
      </c>
      <c r="L198" s="21">
        <f t="shared" si="9"/>
        <v>5.9463648116589347</v>
      </c>
      <c r="M198" s="21" t="str">
        <f t="shared" si="10"/>
        <v>13.12.2024</v>
      </c>
      <c r="N198" s="21">
        <f t="shared" si="11"/>
        <v>152.0168067226891</v>
      </c>
    </row>
    <row r="199" spans="1:14">
      <c r="A199" s="9" t="s">
        <v>400</v>
      </c>
      <c r="B199" s="8">
        <v>24</v>
      </c>
      <c r="C199" s="8" t="s">
        <v>39</v>
      </c>
      <c r="D199" s="8" t="s">
        <v>36</v>
      </c>
      <c r="E199" s="8" t="s">
        <v>401</v>
      </c>
      <c r="F199" s="8">
        <v>89</v>
      </c>
      <c r="G199" s="8">
        <v>41.67</v>
      </c>
      <c r="H199" s="10">
        <v>31.38</v>
      </c>
      <c r="I199" s="21">
        <f>Table1[[#This Row],[BRUTTO_monthly_bill_eur]]/1.19</f>
        <v>35.016806722689076</v>
      </c>
      <c r="J199" s="21">
        <f>Table1[[#This Row],[monthly_consumption_kwh]]*Table1[[#This Row],[NETTO_procurement_cost_ct_per_kwh]]/100</f>
        <v>27.928199999999997</v>
      </c>
      <c r="K199" s="21">
        <f>Table1[[#This Row],[NETTO_monthly_revenue(€)]]-Table1[[#This Row],[procurement_cost_(€)]]</f>
        <v>7.0886067226890788</v>
      </c>
      <c r="L199" s="21">
        <f t="shared" si="9"/>
        <v>7.9647266547068298</v>
      </c>
      <c r="M199" s="21" t="str">
        <f t="shared" si="10"/>
        <v>21.04.2024</v>
      </c>
      <c r="N199" s="21">
        <f t="shared" si="11"/>
        <v>35.016806722689076</v>
      </c>
    </row>
    <row r="200" spans="1:14">
      <c r="A200" s="9" t="s">
        <v>402</v>
      </c>
      <c r="B200" s="8">
        <v>24</v>
      </c>
      <c r="C200" s="8" t="s">
        <v>51</v>
      </c>
      <c r="D200" s="8" t="s">
        <v>36</v>
      </c>
      <c r="E200" s="8" t="s">
        <v>403</v>
      </c>
      <c r="F200" s="8">
        <v>357</v>
      </c>
      <c r="G200" s="8">
        <v>125.19</v>
      </c>
      <c r="H200" s="10">
        <v>17.75</v>
      </c>
      <c r="I200" s="21">
        <f>Table1[[#This Row],[BRUTTO_monthly_bill_eur]]/1.19</f>
        <v>105.20168067226891</v>
      </c>
      <c r="J200" s="21">
        <f>Table1[[#This Row],[monthly_consumption_kwh]]*Table1[[#This Row],[NETTO_procurement_cost_ct_per_kwh]]/100</f>
        <v>63.3675</v>
      </c>
      <c r="K200" s="21">
        <f>Table1[[#This Row],[NETTO_monthly_revenue(€)]]-Table1[[#This Row],[procurement_cost_(€)]]</f>
        <v>41.834180672268907</v>
      </c>
      <c r="L200" s="21">
        <f t="shared" si="9"/>
        <v>11.71825789139185</v>
      </c>
      <c r="M200" s="21" t="str">
        <f t="shared" si="10"/>
        <v>11.09.2024</v>
      </c>
      <c r="N200" s="21">
        <f t="shared" si="11"/>
        <v>105.20168067226891</v>
      </c>
    </row>
    <row r="201" spans="1:14">
      <c r="A201" s="9" t="s">
        <v>404</v>
      </c>
      <c r="B201" s="8">
        <v>24</v>
      </c>
      <c r="C201" s="8" t="s">
        <v>35</v>
      </c>
      <c r="D201" s="8" t="s">
        <v>36</v>
      </c>
      <c r="E201" s="8" t="s">
        <v>124</v>
      </c>
      <c r="F201" s="8">
        <v>169</v>
      </c>
      <c r="G201" s="8">
        <v>70.38</v>
      </c>
      <c r="H201" s="10">
        <v>24.31</v>
      </c>
      <c r="I201" s="21">
        <f>Table1[[#This Row],[BRUTTO_monthly_bill_eur]]/1.19</f>
        <v>59.142857142857139</v>
      </c>
      <c r="J201" s="21">
        <f>Table1[[#This Row],[monthly_consumption_kwh]]*Table1[[#This Row],[NETTO_procurement_cost_ct_per_kwh]]/100</f>
        <v>41.083899999999993</v>
      </c>
      <c r="K201" s="21">
        <f>Table1[[#This Row],[NETTO_monthly_revenue(€)]]-Table1[[#This Row],[procurement_cost_(€)]]</f>
        <v>18.058957142857146</v>
      </c>
      <c r="L201" s="21">
        <f t="shared" si="9"/>
        <v>10.685773457311921</v>
      </c>
      <c r="M201" s="21" t="str">
        <f t="shared" si="10"/>
        <v>15.07.2024</v>
      </c>
      <c r="N201" s="21">
        <f t="shared" si="11"/>
        <v>59.142857142857139</v>
      </c>
    </row>
    <row r="202" spans="1:14">
      <c r="A202" s="9" t="s">
        <v>405</v>
      </c>
      <c r="B202" s="8">
        <v>24</v>
      </c>
      <c r="C202" s="8" t="s">
        <v>39</v>
      </c>
      <c r="D202" s="8" t="s">
        <v>46</v>
      </c>
      <c r="E202" s="8" t="s">
        <v>376</v>
      </c>
      <c r="F202" s="8">
        <v>163</v>
      </c>
      <c r="G202" s="8">
        <v>70.760000000000005</v>
      </c>
      <c r="H202" s="10">
        <v>28.27</v>
      </c>
      <c r="I202" s="21">
        <f>Table1[[#This Row],[BRUTTO_monthly_bill_eur]]/1.19</f>
        <v>59.462184873949589</v>
      </c>
      <c r="J202" s="21">
        <f>Table1[[#This Row],[monthly_consumption_kwh]]*Table1[[#This Row],[NETTO_procurement_cost_ct_per_kwh]]/100</f>
        <v>46.080100000000002</v>
      </c>
      <c r="K202" s="21">
        <f>Table1[[#This Row],[NETTO_monthly_revenue(€)]]-Table1[[#This Row],[procurement_cost_(€)]]</f>
        <v>13.382084873949587</v>
      </c>
      <c r="L202" s="21">
        <f t="shared" si="9"/>
        <v>8.2098680208279671</v>
      </c>
      <c r="M202" s="21" t="str">
        <f t="shared" si="10"/>
        <v>13.07.2024</v>
      </c>
      <c r="N202" s="21">
        <f t="shared" si="11"/>
        <v>59.462184873949589</v>
      </c>
    </row>
    <row r="203" spans="1:14">
      <c r="A203" s="9" t="s">
        <v>406</v>
      </c>
      <c r="B203" s="8">
        <v>12</v>
      </c>
      <c r="C203" s="8" t="s">
        <v>35</v>
      </c>
      <c r="D203" s="8" t="s">
        <v>36</v>
      </c>
      <c r="E203" s="8" t="s">
        <v>79</v>
      </c>
      <c r="F203" s="8">
        <v>289</v>
      </c>
      <c r="G203" s="8">
        <v>105.06</v>
      </c>
      <c r="H203" s="10">
        <v>22.38</v>
      </c>
      <c r="I203" s="21">
        <f>Table1[[#This Row],[BRUTTO_monthly_bill_eur]]/1.19</f>
        <v>88.285714285714292</v>
      </c>
      <c r="J203" s="21">
        <f>Table1[[#This Row],[monthly_consumption_kwh]]*Table1[[#This Row],[NETTO_procurement_cost_ct_per_kwh]]/100</f>
        <v>64.678200000000004</v>
      </c>
      <c r="K203" s="21">
        <f>Table1[[#This Row],[NETTO_monthly_revenue(€)]]-Table1[[#This Row],[procurement_cost_(€)]]</f>
        <v>23.607514285714288</v>
      </c>
      <c r="L203" s="21">
        <f t="shared" si="9"/>
        <v>8.1686900642609981</v>
      </c>
      <c r="M203" s="21" t="str">
        <f t="shared" si="10"/>
        <v>04.04.2025</v>
      </c>
      <c r="N203" s="21">
        <f t="shared" si="11"/>
        <v>88.285714285714292</v>
      </c>
    </row>
    <row r="204" spans="1:14">
      <c r="A204" s="9" t="s">
        <v>407</v>
      </c>
      <c r="B204" s="8">
        <v>12</v>
      </c>
      <c r="C204" s="8" t="s">
        <v>51</v>
      </c>
      <c r="D204" s="8" t="s">
        <v>46</v>
      </c>
      <c r="E204" s="8" t="s">
        <v>408</v>
      </c>
      <c r="F204" s="8">
        <v>451</v>
      </c>
      <c r="G204" s="8">
        <v>147.12</v>
      </c>
      <c r="H204" s="10">
        <v>21.49</v>
      </c>
      <c r="I204" s="21">
        <f>Table1[[#This Row],[BRUTTO_monthly_bill_eur]]/1.19</f>
        <v>123.63025210084035</v>
      </c>
      <c r="J204" s="21">
        <f>Table1[[#This Row],[monthly_consumption_kwh]]*Table1[[#This Row],[NETTO_procurement_cost_ct_per_kwh]]/100</f>
        <v>96.919899999999998</v>
      </c>
      <c r="K204" s="21">
        <f>Table1[[#This Row],[NETTO_monthly_revenue(€)]]-Table1[[#This Row],[procurement_cost_(€)]]</f>
        <v>26.710352100840353</v>
      </c>
      <c r="L204" s="21">
        <f t="shared" si="9"/>
        <v>5.9224727496320071</v>
      </c>
      <c r="M204" s="21" t="str">
        <f t="shared" si="10"/>
        <v>23.05.2024</v>
      </c>
      <c r="N204" s="21">
        <f t="shared" si="11"/>
        <v>123.63025210084035</v>
      </c>
    </row>
    <row r="205" spans="1:14">
      <c r="A205" s="9" t="s">
        <v>409</v>
      </c>
      <c r="B205" s="8">
        <v>24</v>
      </c>
      <c r="C205" s="8" t="s">
        <v>35</v>
      </c>
      <c r="D205" s="8" t="s">
        <v>36</v>
      </c>
      <c r="E205" s="8" t="s">
        <v>57</v>
      </c>
      <c r="F205" s="8">
        <v>216</v>
      </c>
      <c r="G205" s="8">
        <v>88.04</v>
      </c>
      <c r="H205" s="10">
        <v>23.31</v>
      </c>
      <c r="I205" s="21">
        <f>Table1[[#This Row],[BRUTTO_monthly_bill_eur]]/1.19</f>
        <v>73.983193277310932</v>
      </c>
      <c r="J205" s="21">
        <f>Table1[[#This Row],[monthly_consumption_kwh]]*Table1[[#This Row],[NETTO_procurement_cost_ct_per_kwh]]/100</f>
        <v>50.349600000000002</v>
      </c>
      <c r="K205" s="21">
        <f>Table1[[#This Row],[NETTO_monthly_revenue(€)]]-Table1[[#This Row],[procurement_cost_(€)]]</f>
        <v>23.633593277310929</v>
      </c>
      <c r="L205" s="21">
        <f t="shared" si="9"/>
        <v>10.941478369125431</v>
      </c>
      <c r="M205" s="21" t="str">
        <f t="shared" si="10"/>
        <v>08.03.2025</v>
      </c>
      <c r="N205" s="21">
        <f t="shared" si="11"/>
        <v>73.983193277310932</v>
      </c>
    </row>
    <row r="206" spans="1:14">
      <c r="A206" s="9" t="s">
        <v>410</v>
      </c>
      <c r="B206" s="8">
        <v>24</v>
      </c>
      <c r="C206" s="8" t="s">
        <v>51</v>
      </c>
      <c r="D206" s="8" t="s">
        <v>36</v>
      </c>
      <c r="E206" s="8" t="s">
        <v>411</v>
      </c>
      <c r="F206" s="8">
        <v>450</v>
      </c>
      <c r="G206" s="8">
        <v>149.19</v>
      </c>
      <c r="H206" s="10">
        <v>20.239999999999998</v>
      </c>
      <c r="I206" s="21">
        <f>Table1[[#This Row],[BRUTTO_monthly_bill_eur]]/1.19</f>
        <v>125.36974789915966</v>
      </c>
      <c r="J206" s="21">
        <f>Table1[[#This Row],[monthly_consumption_kwh]]*Table1[[#This Row],[NETTO_procurement_cost_ct_per_kwh]]/100</f>
        <v>91.08</v>
      </c>
      <c r="K206" s="21">
        <f>Table1[[#This Row],[NETTO_monthly_revenue(€)]]-Table1[[#This Row],[procurement_cost_(€)]]</f>
        <v>34.289747899159664</v>
      </c>
      <c r="L206" s="21">
        <f t="shared" si="9"/>
        <v>7.6199439775910367</v>
      </c>
      <c r="M206" s="21" t="str">
        <f t="shared" si="10"/>
        <v>06.07.2024</v>
      </c>
      <c r="N206" s="21">
        <f t="shared" si="11"/>
        <v>125.36974789915966</v>
      </c>
    </row>
    <row r="207" spans="1:14">
      <c r="A207" s="9" t="s">
        <v>412</v>
      </c>
      <c r="B207" s="8">
        <v>12</v>
      </c>
      <c r="C207" s="8" t="s">
        <v>35</v>
      </c>
      <c r="D207" s="8" t="s">
        <v>36</v>
      </c>
      <c r="E207" s="8" t="s">
        <v>361</v>
      </c>
      <c r="F207" s="8">
        <v>296</v>
      </c>
      <c r="G207" s="8">
        <v>108.22</v>
      </c>
      <c r="H207" s="10">
        <v>25.23</v>
      </c>
      <c r="I207" s="21">
        <f>Table1[[#This Row],[BRUTTO_monthly_bill_eur]]/1.19</f>
        <v>90.941176470588232</v>
      </c>
      <c r="J207" s="21">
        <f>Table1[[#This Row],[monthly_consumption_kwh]]*Table1[[#This Row],[NETTO_procurement_cost_ct_per_kwh]]/100</f>
        <v>74.680800000000005</v>
      </c>
      <c r="K207" s="21">
        <f>Table1[[#This Row],[NETTO_monthly_revenue(€)]]-Table1[[#This Row],[procurement_cost_(€)]]</f>
        <v>16.260376470588227</v>
      </c>
      <c r="L207" s="21">
        <f t="shared" si="9"/>
        <v>5.4933704292527796</v>
      </c>
      <c r="M207" s="21" t="str">
        <f t="shared" si="10"/>
        <v>12.10.2024</v>
      </c>
      <c r="N207" s="21">
        <f t="shared" si="11"/>
        <v>90.941176470588232</v>
      </c>
    </row>
    <row r="208" spans="1:14">
      <c r="A208" s="9" t="s">
        <v>413</v>
      </c>
      <c r="B208" s="8">
        <v>12</v>
      </c>
      <c r="C208" s="8" t="s">
        <v>35</v>
      </c>
      <c r="D208" s="8" t="s">
        <v>36</v>
      </c>
      <c r="E208" s="8" t="s">
        <v>414</v>
      </c>
      <c r="F208" s="8">
        <v>277</v>
      </c>
      <c r="G208" s="8">
        <v>106.31</v>
      </c>
      <c r="H208" s="10">
        <v>25.43</v>
      </c>
      <c r="I208" s="21">
        <f>Table1[[#This Row],[BRUTTO_monthly_bill_eur]]/1.19</f>
        <v>89.336134453781511</v>
      </c>
      <c r="J208" s="21">
        <f>Table1[[#This Row],[monthly_consumption_kwh]]*Table1[[#This Row],[NETTO_procurement_cost_ct_per_kwh]]/100</f>
        <v>70.441099999999992</v>
      </c>
      <c r="K208" s="21">
        <f>Table1[[#This Row],[NETTO_monthly_revenue(€)]]-Table1[[#This Row],[procurement_cost_(€)]]</f>
        <v>18.89503445378152</v>
      </c>
      <c r="L208" s="21">
        <f t="shared" si="9"/>
        <v>6.8213120771774438</v>
      </c>
      <c r="M208" s="21" t="str">
        <f t="shared" si="10"/>
        <v>2025-04</v>
      </c>
      <c r="N208" s="21">
        <f t="shared" si="11"/>
        <v>89.336134453781511</v>
      </c>
    </row>
    <row r="209" spans="1:14">
      <c r="A209" s="9" t="s">
        <v>415</v>
      </c>
      <c r="B209" s="8">
        <v>24</v>
      </c>
      <c r="C209" s="8" t="s">
        <v>51</v>
      </c>
      <c r="D209" s="8" t="s">
        <v>36</v>
      </c>
      <c r="E209" s="8" t="s">
        <v>416</v>
      </c>
      <c r="F209" s="8">
        <v>395</v>
      </c>
      <c r="G209" s="8">
        <v>138.65</v>
      </c>
      <c r="H209" s="10">
        <v>21.49</v>
      </c>
      <c r="I209" s="21">
        <f>Table1[[#This Row],[BRUTTO_monthly_bill_eur]]/1.19</f>
        <v>116.51260504201682</v>
      </c>
      <c r="J209" s="21">
        <f>Table1[[#This Row],[monthly_consumption_kwh]]*Table1[[#This Row],[NETTO_procurement_cost_ct_per_kwh]]/100</f>
        <v>84.885499999999993</v>
      </c>
      <c r="K209" s="21">
        <f>Table1[[#This Row],[NETTO_monthly_revenue(€)]]-Table1[[#This Row],[procurement_cost_(€)]]</f>
        <v>31.627105042016822</v>
      </c>
      <c r="L209" s="21">
        <f t="shared" si="9"/>
        <v>8.0068620359536258</v>
      </c>
      <c r="M209" s="21" t="str">
        <f t="shared" si="10"/>
        <v>12.09.2024</v>
      </c>
      <c r="N209" s="21">
        <f t="shared" si="11"/>
        <v>116.51260504201682</v>
      </c>
    </row>
    <row r="210" spans="1:14">
      <c r="A210" s="9" t="s">
        <v>417</v>
      </c>
      <c r="B210" s="8">
        <v>12</v>
      </c>
      <c r="C210" s="8" t="s">
        <v>39</v>
      </c>
      <c r="D210" s="8" t="s">
        <v>46</v>
      </c>
      <c r="E210" s="8" t="s">
        <v>418</v>
      </c>
      <c r="F210" s="8">
        <v>98</v>
      </c>
      <c r="G210" s="8">
        <v>43.21</v>
      </c>
      <c r="H210" s="10">
        <v>28.97</v>
      </c>
      <c r="I210" s="21">
        <f>Table1[[#This Row],[BRUTTO_monthly_bill_eur]]/1.19</f>
        <v>36.310924369747902</v>
      </c>
      <c r="J210" s="21">
        <f>Table1[[#This Row],[monthly_consumption_kwh]]*Table1[[#This Row],[NETTO_procurement_cost_ct_per_kwh]]/100</f>
        <v>28.390599999999999</v>
      </c>
      <c r="K210" s="21">
        <f>Table1[[#This Row],[NETTO_monthly_revenue(€)]]-Table1[[#This Row],[procurement_cost_(€)]]</f>
        <v>7.9203243697479024</v>
      </c>
      <c r="L210" s="21">
        <f t="shared" si="9"/>
        <v>8.0819636425999004</v>
      </c>
      <c r="M210" s="21" t="str">
        <f t="shared" si="10"/>
        <v>18.03.2024</v>
      </c>
      <c r="N210" s="21">
        <f t="shared" si="11"/>
        <v>36.310924369747902</v>
      </c>
    </row>
    <row r="211" spans="1:14">
      <c r="A211" s="9" t="s">
        <v>419</v>
      </c>
      <c r="B211" s="8">
        <v>12</v>
      </c>
      <c r="C211" s="8" t="s">
        <v>35</v>
      </c>
      <c r="D211" s="8" t="s">
        <v>36</v>
      </c>
      <c r="E211" s="8" t="s">
        <v>420</v>
      </c>
      <c r="F211" s="8">
        <v>183</v>
      </c>
      <c r="G211" s="8">
        <v>69.739999999999995</v>
      </c>
      <c r="H211" s="10">
        <v>22.16</v>
      </c>
      <c r="I211" s="21">
        <f>Table1[[#This Row],[BRUTTO_monthly_bill_eur]]/1.19</f>
        <v>58.605042016806721</v>
      </c>
      <c r="J211" s="21">
        <f>Table1[[#This Row],[monthly_consumption_kwh]]*Table1[[#This Row],[NETTO_procurement_cost_ct_per_kwh]]/100</f>
        <v>40.552800000000005</v>
      </c>
      <c r="K211" s="21">
        <f>Table1[[#This Row],[NETTO_monthly_revenue(€)]]-Table1[[#This Row],[procurement_cost_(€)]]</f>
        <v>18.052242016806716</v>
      </c>
      <c r="L211" s="21">
        <f t="shared" si="9"/>
        <v>9.8646131239380956</v>
      </c>
      <c r="M211" s="21" t="str">
        <f t="shared" si="10"/>
        <v>29.03.2025</v>
      </c>
      <c r="N211" s="21">
        <f t="shared" si="11"/>
        <v>58.605042016806721</v>
      </c>
    </row>
    <row r="212" spans="1:14">
      <c r="A212" s="9" t="s">
        <v>421</v>
      </c>
      <c r="B212" s="8">
        <v>12</v>
      </c>
      <c r="C212" s="8" t="s">
        <v>39</v>
      </c>
      <c r="D212" s="8" t="s">
        <v>56</v>
      </c>
      <c r="E212" s="8" t="s">
        <v>393</v>
      </c>
      <c r="F212" s="8">
        <v>138</v>
      </c>
      <c r="G212" s="8">
        <v>56.98</v>
      </c>
      <c r="H212" s="10">
        <v>29.64</v>
      </c>
      <c r="I212" s="21">
        <f>Table1[[#This Row],[BRUTTO_monthly_bill_eur]]/1.19</f>
        <v>47.882352941176471</v>
      </c>
      <c r="J212" s="21">
        <f>Table1[[#This Row],[monthly_consumption_kwh]]*Table1[[#This Row],[NETTO_procurement_cost_ct_per_kwh]]/100</f>
        <v>40.903199999999998</v>
      </c>
      <c r="K212" s="21">
        <f>Table1[[#This Row],[NETTO_monthly_revenue(€)]]-Table1[[#This Row],[procurement_cost_(€)]]</f>
        <v>6.9791529411764728</v>
      </c>
      <c r="L212" s="21">
        <f t="shared" si="9"/>
        <v>5.0573572037510672</v>
      </c>
      <c r="M212" s="21" t="str">
        <f t="shared" si="10"/>
        <v>10.04.2024</v>
      </c>
      <c r="N212" s="21">
        <f t="shared" si="11"/>
        <v>47.882352941176471</v>
      </c>
    </row>
    <row r="213" spans="1:14">
      <c r="A213" s="9" t="s">
        <v>422</v>
      </c>
      <c r="B213" s="8">
        <v>24</v>
      </c>
      <c r="C213" s="8" t="s">
        <v>51</v>
      </c>
      <c r="D213" s="8" t="s">
        <v>36</v>
      </c>
      <c r="E213" s="8" t="s">
        <v>423</v>
      </c>
      <c r="F213" s="8">
        <v>588</v>
      </c>
      <c r="G213" s="8">
        <v>200.23</v>
      </c>
      <c r="H213" s="10">
        <v>17.149999999999999</v>
      </c>
      <c r="I213" s="21">
        <f>Table1[[#This Row],[BRUTTO_monthly_bill_eur]]/1.19</f>
        <v>168.26050420168067</v>
      </c>
      <c r="J213" s="21">
        <f>Table1[[#This Row],[monthly_consumption_kwh]]*Table1[[#This Row],[NETTO_procurement_cost_ct_per_kwh]]/100</f>
        <v>100.84199999999998</v>
      </c>
      <c r="K213" s="21">
        <f>Table1[[#This Row],[NETTO_monthly_revenue(€)]]-Table1[[#This Row],[procurement_cost_(€)]]</f>
        <v>67.41850420168069</v>
      </c>
      <c r="L213" s="21">
        <f t="shared" si="9"/>
        <v>11.465732007088553</v>
      </c>
      <c r="M213" s="21" t="str">
        <f t="shared" si="10"/>
        <v>21.02.2024</v>
      </c>
      <c r="N213" s="21">
        <f t="shared" si="11"/>
        <v>168.26050420168067</v>
      </c>
    </row>
    <row r="214" spans="1:14">
      <c r="A214" s="9" t="s">
        <v>424</v>
      </c>
      <c r="B214" s="8">
        <v>24</v>
      </c>
      <c r="C214" s="8" t="s">
        <v>51</v>
      </c>
      <c r="D214" s="8" t="s">
        <v>36</v>
      </c>
      <c r="E214" s="8" t="s">
        <v>425</v>
      </c>
      <c r="F214" s="8">
        <v>422</v>
      </c>
      <c r="G214" s="8">
        <v>145.63999999999999</v>
      </c>
      <c r="H214" s="10">
        <v>16.61</v>
      </c>
      <c r="I214" s="21">
        <f>Table1[[#This Row],[BRUTTO_monthly_bill_eur]]/1.19</f>
        <v>122.38655462184873</v>
      </c>
      <c r="J214" s="21">
        <f>Table1[[#This Row],[monthly_consumption_kwh]]*Table1[[#This Row],[NETTO_procurement_cost_ct_per_kwh]]/100</f>
        <v>70.094200000000001</v>
      </c>
      <c r="K214" s="21">
        <f>Table1[[#This Row],[NETTO_monthly_revenue(€)]]-Table1[[#This Row],[procurement_cost_(€)]]</f>
        <v>52.29235462184873</v>
      </c>
      <c r="L214" s="21">
        <f t="shared" si="9"/>
        <v>12.39155322792624</v>
      </c>
      <c r="M214" s="21" t="str">
        <f t="shared" si="10"/>
        <v>16.01.2024</v>
      </c>
      <c r="N214" s="21">
        <f t="shared" si="11"/>
        <v>122.38655462184873</v>
      </c>
    </row>
    <row r="215" spans="1:14">
      <c r="A215" s="9" t="s">
        <v>426</v>
      </c>
      <c r="B215" s="8">
        <v>12</v>
      </c>
      <c r="C215" s="8" t="s">
        <v>39</v>
      </c>
      <c r="D215" s="8" t="s">
        <v>46</v>
      </c>
      <c r="E215" s="8" t="s">
        <v>63</v>
      </c>
      <c r="F215" s="8">
        <v>85</v>
      </c>
      <c r="G215" s="8">
        <v>41.5</v>
      </c>
      <c r="H215" s="10">
        <v>29.44</v>
      </c>
      <c r="I215" s="21">
        <f>Table1[[#This Row],[BRUTTO_monthly_bill_eur]]/1.19</f>
        <v>34.873949579831937</v>
      </c>
      <c r="J215" s="21">
        <f>Table1[[#This Row],[monthly_consumption_kwh]]*Table1[[#This Row],[NETTO_procurement_cost_ct_per_kwh]]/100</f>
        <v>25.024000000000001</v>
      </c>
      <c r="K215" s="21">
        <f>Table1[[#This Row],[NETTO_monthly_revenue(€)]]-Table1[[#This Row],[procurement_cost_(€)]]</f>
        <v>9.8499495798319359</v>
      </c>
      <c r="L215" s="21">
        <f t="shared" si="9"/>
        <v>11.588175976272867</v>
      </c>
      <c r="M215" s="21" t="str">
        <f t="shared" si="10"/>
        <v>05.04.2024</v>
      </c>
      <c r="N215" s="21">
        <f t="shared" si="11"/>
        <v>34.873949579831937</v>
      </c>
    </row>
    <row r="216" spans="1:14">
      <c r="A216" s="9" t="s">
        <v>427</v>
      </c>
      <c r="B216" s="8">
        <v>24</v>
      </c>
      <c r="C216" s="8" t="s">
        <v>35</v>
      </c>
      <c r="D216" s="8" t="s">
        <v>36</v>
      </c>
      <c r="E216" s="8" t="s">
        <v>428</v>
      </c>
      <c r="F216" s="8">
        <v>181</v>
      </c>
      <c r="G216" s="8">
        <v>72.59</v>
      </c>
      <c r="H216" s="10">
        <v>25.13</v>
      </c>
      <c r="I216" s="21">
        <f>Table1[[#This Row],[BRUTTO_monthly_bill_eur]]/1.19</f>
        <v>61.000000000000007</v>
      </c>
      <c r="J216" s="21">
        <f>Table1[[#This Row],[monthly_consumption_kwh]]*Table1[[#This Row],[NETTO_procurement_cost_ct_per_kwh]]/100</f>
        <v>45.485299999999995</v>
      </c>
      <c r="K216" s="21">
        <f>Table1[[#This Row],[NETTO_monthly_revenue(€)]]-Table1[[#This Row],[procurement_cost_(€)]]</f>
        <v>15.514700000000012</v>
      </c>
      <c r="L216" s="21">
        <f t="shared" si="9"/>
        <v>8.5716574585635428</v>
      </c>
      <c r="M216" s="21" t="str">
        <f t="shared" si="10"/>
        <v>30.08.2024</v>
      </c>
      <c r="N216" s="21">
        <f t="shared" si="11"/>
        <v>61.000000000000007</v>
      </c>
    </row>
    <row r="217" spans="1:14">
      <c r="A217" s="9" t="s">
        <v>429</v>
      </c>
      <c r="B217" s="8">
        <v>12</v>
      </c>
      <c r="C217" s="8" t="s">
        <v>51</v>
      </c>
      <c r="D217" s="8" t="s">
        <v>36</v>
      </c>
      <c r="E217" s="8" t="s">
        <v>430</v>
      </c>
      <c r="F217" s="8">
        <v>656</v>
      </c>
      <c r="G217" s="8">
        <v>221.09</v>
      </c>
      <c r="H217" s="10">
        <v>21.33</v>
      </c>
      <c r="I217" s="21">
        <f>Table1[[#This Row],[BRUTTO_monthly_bill_eur]]/1.19</f>
        <v>185.78991596638656</v>
      </c>
      <c r="J217" s="21">
        <f>Table1[[#This Row],[monthly_consumption_kwh]]*Table1[[#This Row],[NETTO_procurement_cost_ct_per_kwh]]/100</f>
        <v>139.9248</v>
      </c>
      <c r="K217" s="21">
        <f>Table1[[#This Row],[NETTO_monthly_revenue(€)]]-Table1[[#This Row],[procurement_cost_(€)]]</f>
        <v>45.865115966386554</v>
      </c>
      <c r="L217" s="21">
        <f t="shared" si="9"/>
        <v>6.9916335314613649</v>
      </c>
      <c r="M217" s="21" t="str">
        <f t="shared" si="10"/>
        <v>2024-06</v>
      </c>
      <c r="N217" s="21">
        <f t="shared" si="11"/>
        <v>185.78991596638656</v>
      </c>
    </row>
    <row r="218" spans="1:14">
      <c r="A218" s="9" t="s">
        <v>431</v>
      </c>
      <c r="B218" s="8">
        <v>12</v>
      </c>
      <c r="C218" s="8" t="s">
        <v>39</v>
      </c>
      <c r="D218" s="8" t="s">
        <v>36</v>
      </c>
      <c r="E218" s="8" t="s">
        <v>374</v>
      </c>
      <c r="F218" s="8">
        <v>108</v>
      </c>
      <c r="G218" s="8">
        <v>45.8</v>
      </c>
      <c r="H218" s="10">
        <v>29.25</v>
      </c>
      <c r="I218" s="21">
        <f>Table1[[#This Row],[BRUTTO_monthly_bill_eur]]/1.19</f>
        <v>38.487394957983192</v>
      </c>
      <c r="J218" s="21">
        <f>Table1[[#This Row],[monthly_consumption_kwh]]*Table1[[#This Row],[NETTO_procurement_cost_ct_per_kwh]]/100</f>
        <v>31.59</v>
      </c>
      <c r="K218" s="21">
        <f>Table1[[#This Row],[NETTO_monthly_revenue(€)]]-Table1[[#This Row],[procurement_cost_(€)]]</f>
        <v>6.8973949579831917</v>
      </c>
      <c r="L218" s="21">
        <f t="shared" si="9"/>
        <v>6.3864768129474001</v>
      </c>
      <c r="M218" s="21" t="str">
        <f t="shared" si="10"/>
        <v>20.02.2025</v>
      </c>
      <c r="N218" s="21">
        <f t="shared" si="11"/>
        <v>38.487394957983192</v>
      </c>
    </row>
    <row r="219" spans="1:14">
      <c r="A219" s="9" t="s">
        <v>432</v>
      </c>
      <c r="B219" s="8">
        <v>24</v>
      </c>
      <c r="C219" s="8" t="s">
        <v>35</v>
      </c>
      <c r="D219" s="8" t="s">
        <v>36</v>
      </c>
      <c r="E219" s="8" t="s">
        <v>363</v>
      </c>
      <c r="F219" s="8">
        <v>295</v>
      </c>
      <c r="G219" s="8">
        <v>110.97</v>
      </c>
      <c r="H219" s="10">
        <v>26.62</v>
      </c>
      <c r="I219" s="21">
        <f>Table1[[#This Row],[BRUTTO_monthly_bill_eur]]/1.19</f>
        <v>93.252100840336141</v>
      </c>
      <c r="J219" s="21">
        <f>Table1[[#This Row],[monthly_consumption_kwh]]*Table1[[#This Row],[NETTO_procurement_cost_ct_per_kwh]]/100</f>
        <v>78.529000000000011</v>
      </c>
      <c r="K219" s="21">
        <f>Table1[[#This Row],[NETTO_monthly_revenue(€)]]-Table1[[#This Row],[procurement_cost_(€)]]</f>
        <v>14.72310084033613</v>
      </c>
      <c r="L219" s="21">
        <f t="shared" si="9"/>
        <v>4.9908816407919083</v>
      </c>
      <c r="M219" s="21" t="str">
        <f t="shared" si="10"/>
        <v>2025-05</v>
      </c>
      <c r="N219" s="21">
        <f t="shared" si="11"/>
        <v>93.252100840336141</v>
      </c>
    </row>
    <row r="220" spans="1:14">
      <c r="A220" s="9" t="s">
        <v>433</v>
      </c>
      <c r="B220" s="8">
        <v>24</v>
      </c>
      <c r="C220" s="8" t="s">
        <v>51</v>
      </c>
      <c r="D220" s="8" t="s">
        <v>56</v>
      </c>
      <c r="E220" s="8" t="s">
        <v>434</v>
      </c>
      <c r="F220" s="8">
        <v>542</v>
      </c>
      <c r="G220" s="8">
        <v>186.65</v>
      </c>
      <c r="H220" s="10">
        <v>19.66</v>
      </c>
      <c r="I220" s="21">
        <f>Table1[[#This Row],[BRUTTO_monthly_bill_eur]]/1.19</f>
        <v>156.84873949579833</v>
      </c>
      <c r="J220" s="21">
        <f>Table1[[#This Row],[monthly_consumption_kwh]]*Table1[[#This Row],[NETTO_procurement_cost_ct_per_kwh]]/100</f>
        <v>106.55719999999999</v>
      </c>
      <c r="K220" s="21">
        <f>Table1[[#This Row],[NETTO_monthly_revenue(€)]]-Table1[[#This Row],[procurement_cost_(€)]]</f>
        <v>50.291539495798332</v>
      </c>
      <c r="L220" s="21">
        <f t="shared" si="9"/>
        <v>9.2788818257930501</v>
      </c>
      <c r="M220" s="21" t="str">
        <f t="shared" si="10"/>
        <v>07.05.2025</v>
      </c>
      <c r="N220" s="21">
        <f t="shared" si="11"/>
        <v>156.84873949579833</v>
      </c>
    </row>
    <row r="221" spans="1:14">
      <c r="A221" s="9" t="s">
        <v>435</v>
      </c>
      <c r="B221" s="8">
        <v>24</v>
      </c>
      <c r="C221" s="8" t="s">
        <v>39</v>
      </c>
      <c r="D221" s="8" t="s">
        <v>36</v>
      </c>
      <c r="E221" s="8" t="s">
        <v>436</v>
      </c>
      <c r="F221" s="8">
        <v>115</v>
      </c>
      <c r="G221" s="8">
        <v>52.99</v>
      </c>
      <c r="H221" s="10">
        <v>28.06</v>
      </c>
      <c r="I221" s="21">
        <f>Table1[[#This Row],[BRUTTO_monthly_bill_eur]]/1.19</f>
        <v>44.529411764705884</v>
      </c>
      <c r="J221" s="21">
        <f>Table1[[#This Row],[monthly_consumption_kwh]]*Table1[[#This Row],[NETTO_procurement_cost_ct_per_kwh]]/100</f>
        <v>32.268999999999998</v>
      </c>
      <c r="K221" s="21">
        <f>Table1[[#This Row],[NETTO_monthly_revenue(€)]]-Table1[[#This Row],[procurement_cost_(€)]]</f>
        <v>12.260411764705886</v>
      </c>
      <c r="L221" s="21">
        <f t="shared" si="9"/>
        <v>10.661227621483379</v>
      </c>
      <c r="M221" s="21" t="str">
        <f t="shared" si="10"/>
        <v>06.08.2024</v>
      </c>
      <c r="N221" s="21">
        <f t="shared" si="11"/>
        <v>44.529411764705884</v>
      </c>
    </row>
    <row r="222" spans="1:14">
      <c r="A222" s="9" t="s">
        <v>437</v>
      </c>
      <c r="B222" s="8">
        <v>24</v>
      </c>
      <c r="C222" s="8" t="s">
        <v>35</v>
      </c>
      <c r="D222" s="8" t="s">
        <v>46</v>
      </c>
      <c r="E222" s="8" t="s">
        <v>179</v>
      </c>
      <c r="F222" s="8">
        <v>201</v>
      </c>
      <c r="G222" s="8">
        <v>79.510000000000005</v>
      </c>
      <c r="H222" s="10">
        <v>25.06</v>
      </c>
      <c r="I222" s="21">
        <f>Table1[[#This Row],[BRUTTO_monthly_bill_eur]]/1.19</f>
        <v>66.815126050420176</v>
      </c>
      <c r="J222" s="21">
        <f>Table1[[#This Row],[monthly_consumption_kwh]]*Table1[[#This Row],[NETTO_procurement_cost_ct_per_kwh]]/100</f>
        <v>50.370599999999996</v>
      </c>
      <c r="K222" s="21">
        <f>Table1[[#This Row],[NETTO_monthly_revenue(€)]]-Table1[[#This Row],[procurement_cost_(€)]]</f>
        <v>16.44452605042018</v>
      </c>
      <c r="L222" s="21">
        <f t="shared" si="9"/>
        <v>8.1813562439901393</v>
      </c>
      <c r="M222" s="21" t="str">
        <f t="shared" si="10"/>
        <v>14.02.2025</v>
      </c>
      <c r="N222" s="21">
        <f t="shared" si="11"/>
        <v>66.815126050420176</v>
      </c>
    </row>
    <row r="223" spans="1:14">
      <c r="A223" s="9" t="s">
        <v>438</v>
      </c>
      <c r="B223" s="8">
        <v>24</v>
      </c>
      <c r="C223" s="8" t="s">
        <v>39</v>
      </c>
      <c r="D223" s="8" t="s">
        <v>56</v>
      </c>
      <c r="E223" s="8" t="s">
        <v>349</v>
      </c>
      <c r="F223" s="8">
        <v>93</v>
      </c>
      <c r="G223" s="8">
        <v>44.69</v>
      </c>
      <c r="H223" s="10">
        <v>30.49</v>
      </c>
      <c r="I223" s="21">
        <f>Table1[[#This Row],[BRUTTO_monthly_bill_eur]]/1.19</f>
        <v>37.554621848739494</v>
      </c>
      <c r="J223" s="21">
        <f>Table1[[#This Row],[monthly_consumption_kwh]]*Table1[[#This Row],[NETTO_procurement_cost_ct_per_kwh]]/100</f>
        <v>28.355699999999999</v>
      </c>
      <c r="K223" s="21">
        <f>Table1[[#This Row],[NETTO_monthly_revenue(€)]]-Table1[[#This Row],[procurement_cost_(€)]]</f>
        <v>9.198921848739495</v>
      </c>
      <c r="L223" s="21">
        <f t="shared" si="9"/>
        <v>9.8913138158489193</v>
      </c>
      <c r="M223" s="21" t="str">
        <f t="shared" si="10"/>
        <v>01.03.2024</v>
      </c>
      <c r="N223" s="21">
        <f t="shared" si="11"/>
        <v>37.554621848739494</v>
      </c>
    </row>
    <row r="224" spans="1:14">
      <c r="A224" s="9" t="s">
        <v>439</v>
      </c>
      <c r="B224" s="8">
        <v>12</v>
      </c>
      <c r="C224" s="8" t="s">
        <v>51</v>
      </c>
      <c r="D224" s="8" t="s">
        <v>36</v>
      </c>
      <c r="E224" s="8" t="s">
        <v>440</v>
      </c>
      <c r="F224" s="8">
        <v>538</v>
      </c>
      <c r="G224" s="8">
        <v>188.26</v>
      </c>
      <c r="H224" s="10">
        <v>22.31</v>
      </c>
      <c r="I224" s="21">
        <f>Table1[[#This Row],[BRUTTO_monthly_bill_eur]]/1.19</f>
        <v>158.20168067226891</v>
      </c>
      <c r="J224" s="21">
        <f>Table1[[#This Row],[monthly_consumption_kwh]]*Table1[[#This Row],[NETTO_procurement_cost_ct_per_kwh]]/100</f>
        <v>120.02779999999998</v>
      </c>
      <c r="K224" s="21">
        <f>Table1[[#This Row],[NETTO_monthly_revenue(€)]]-Table1[[#This Row],[procurement_cost_(€)]]</f>
        <v>38.173880672268922</v>
      </c>
      <c r="L224" s="21">
        <f t="shared" si="9"/>
        <v>7.0955168535815831</v>
      </c>
      <c r="M224" s="21" t="str">
        <f t="shared" si="10"/>
        <v>17.06.2024</v>
      </c>
      <c r="N224" s="21">
        <f t="shared" si="11"/>
        <v>158.20168067226891</v>
      </c>
    </row>
    <row r="225" spans="1:14">
      <c r="A225" s="9" t="s">
        <v>441</v>
      </c>
      <c r="B225" s="8">
        <v>12</v>
      </c>
      <c r="C225" s="8" t="s">
        <v>51</v>
      </c>
      <c r="D225" s="8" t="s">
        <v>56</v>
      </c>
      <c r="E225" s="8" t="s">
        <v>164</v>
      </c>
      <c r="F225" s="8">
        <v>592</v>
      </c>
      <c r="G225" s="8">
        <v>202.57</v>
      </c>
      <c r="H225" s="10">
        <v>16.690000000000001</v>
      </c>
      <c r="I225" s="21">
        <f>Table1[[#This Row],[BRUTTO_monthly_bill_eur]]/1.19</f>
        <v>170.22689075630251</v>
      </c>
      <c r="J225" s="21">
        <f>Table1[[#This Row],[monthly_consumption_kwh]]*Table1[[#This Row],[NETTO_procurement_cost_ct_per_kwh]]/100</f>
        <v>98.804800000000014</v>
      </c>
      <c r="K225" s="21">
        <f>Table1[[#This Row],[NETTO_monthly_revenue(€)]]-Table1[[#This Row],[procurement_cost_(€)]]</f>
        <v>71.422090756302495</v>
      </c>
      <c r="L225" s="21">
        <f t="shared" si="9"/>
        <v>12.064542357483528</v>
      </c>
      <c r="M225" s="21" t="str">
        <f t="shared" si="10"/>
        <v>23.01.2025</v>
      </c>
      <c r="N225" s="21">
        <f t="shared" si="11"/>
        <v>170.22689075630251</v>
      </c>
    </row>
    <row r="226" spans="1:14">
      <c r="A226" s="9" t="s">
        <v>442</v>
      </c>
      <c r="B226" s="8">
        <v>12</v>
      </c>
      <c r="C226" s="8" t="s">
        <v>51</v>
      </c>
      <c r="D226" s="8" t="s">
        <v>36</v>
      </c>
      <c r="E226" s="8" t="s">
        <v>443</v>
      </c>
      <c r="F226" s="8">
        <v>548</v>
      </c>
      <c r="G226" s="8">
        <v>185.16</v>
      </c>
      <c r="H226" s="10">
        <v>20.69</v>
      </c>
      <c r="I226" s="21">
        <f>Table1[[#This Row],[BRUTTO_monthly_bill_eur]]/1.19</f>
        <v>155.59663865546219</v>
      </c>
      <c r="J226" s="21">
        <f>Table1[[#This Row],[monthly_consumption_kwh]]*Table1[[#This Row],[NETTO_procurement_cost_ct_per_kwh]]/100</f>
        <v>113.38120000000001</v>
      </c>
      <c r="K226" s="21">
        <f>Table1[[#This Row],[NETTO_monthly_revenue(€)]]-Table1[[#This Row],[procurement_cost_(€)]]</f>
        <v>42.215438655462179</v>
      </c>
      <c r="L226" s="21">
        <f t="shared" si="9"/>
        <v>7.7035471999018572</v>
      </c>
      <c r="M226" s="21" t="str">
        <f t="shared" si="10"/>
        <v>03.01.2024</v>
      </c>
      <c r="N226" s="21">
        <f t="shared" si="11"/>
        <v>155.59663865546219</v>
      </c>
    </row>
    <row r="227" spans="1:14">
      <c r="A227" s="9" t="s">
        <v>444</v>
      </c>
      <c r="B227" s="8">
        <v>12</v>
      </c>
      <c r="C227" s="8" t="s">
        <v>35</v>
      </c>
      <c r="D227" s="8" t="s">
        <v>56</v>
      </c>
      <c r="E227" s="8" t="s">
        <v>445</v>
      </c>
      <c r="F227" s="8">
        <v>255</v>
      </c>
      <c r="G227" s="8">
        <v>99.09</v>
      </c>
      <c r="H227" s="10">
        <v>24.48</v>
      </c>
      <c r="I227" s="21">
        <f>Table1[[#This Row],[BRUTTO_monthly_bill_eur]]/1.19</f>
        <v>83.268907563025223</v>
      </c>
      <c r="J227" s="21">
        <f>Table1[[#This Row],[monthly_consumption_kwh]]*Table1[[#This Row],[NETTO_procurement_cost_ct_per_kwh]]/100</f>
        <v>62.424000000000007</v>
      </c>
      <c r="K227" s="21">
        <f>Table1[[#This Row],[NETTO_monthly_revenue(€)]]-Table1[[#This Row],[procurement_cost_(€)]]</f>
        <v>20.844907563025217</v>
      </c>
      <c r="L227" s="21">
        <f t="shared" si="9"/>
        <v>8.1744735541275357</v>
      </c>
      <c r="M227" s="21" t="str">
        <f t="shared" si="10"/>
        <v>03.02.2025</v>
      </c>
      <c r="N227" s="21">
        <f t="shared" si="11"/>
        <v>83.268907563025223</v>
      </c>
    </row>
    <row r="228" spans="1:14">
      <c r="A228" s="9" t="s">
        <v>446</v>
      </c>
      <c r="B228" s="8">
        <v>24</v>
      </c>
      <c r="C228" s="8" t="s">
        <v>51</v>
      </c>
      <c r="D228" s="8" t="s">
        <v>36</v>
      </c>
      <c r="E228" s="8" t="s">
        <v>199</v>
      </c>
      <c r="F228" s="8">
        <v>-15</v>
      </c>
      <c r="G228" s="8">
        <v>118.49</v>
      </c>
      <c r="H228" s="10">
        <v>20.82</v>
      </c>
      <c r="I228" s="21">
        <f>Table1[[#This Row],[BRUTTO_monthly_bill_eur]]/1.19</f>
        <v>99.571428571428569</v>
      </c>
      <c r="J228" s="21">
        <f>Table1[[#This Row],[monthly_consumption_kwh]]*Table1[[#This Row],[NETTO_procurement_cost_ct_per_kwh]]/100</f>
        <v>-3.1230000000000002</v>
      </c>
      <c r="K228" s="21">
        <f>Table1[[#This Row],[NETTO_monthly_revenue(€)]]-Table1[[#This Row],[procurement_cost_(€)]]</f>
        <v>102.69442857142857</v>
      </c>
      <c r="L228" s="21">
        <f t="shared" si="9"/>
        <v>-684.62952380952379</v>
      </c>
      <c r="M228" s="21" t="str">
        <f t="shared" si="10"/>
        <v>28.09.2024</v>
      </c>
      <c r="N228" s="21">
        <f t="shared" si="11"/>
        <v>99.571428571428569</v>
      </c>
    </row>
    <row r="229" spans="1:14">
      <c r="A229" s="9" t="s">
        <v>447</v>
      </c>
      <c r="B229" s="8">
        <v>12</v>
      </c>
      <c r="C229" s="8" t="s">
        <v>51</v>
      </c>
      <c r="D229" s="8" t="s">
        <v>46</v>
      </c>
      <c r="E229" s="8" t="s">
        <v>448</v>
      </c>
      <c r="F229" s="8">
        <v>656</v>
      </c>
      <c r="G229" s="8">
        <v>216.17</v>
      </c>
      <c r="H229" s="10">
        <v>19.62</v>
      </c>
      <c r="I229" s="21">
        <f>Table1[[#This Row],[BRUTTO_monthly_bill_eur]]/1.19</f>
        <v>181.65546218487395</v>
      </c>
      <c r="J229" s="21">
        <f>Table1[[#This Row],[monthly_consumption_kwh]]*Table1[[#This Row],[NETTO_procurement_cost_ct_per_kwh]]/100</f>
        <v>128.7072</v>
      </c>
      <c r="K229" s="21">
        <f>Table1[[#This Row],[NETTO_monthly_revenue(€)]]-Table1[[#This Row],[procurement_cost_(€)]]</f>
        <v>52.948262184873954</v>
      </c>
      <c r="L229" s="21">
        <f t="shared" si="9"/>
        <v>8.071381430621031</v>
      </c>
      <c r="M229" s="21" t="str">
        <f t="shared" si="10"/>
        <v>10.04.2025</v>
      </c>
      <c r="N229" s="21">
        <f t="shared" si="11"/>
        <v>181.65546218487395</v>
      </c>
    </row>
    <row r="230" spans="1:14">
      <c r="A230" s="9" t="s">
        <v>449</v>
      </c>
      <c r="B230" s="8">
        <v>24</v>
      </c>
      <c r="C230" s="8" t="s">
        <v>39</v>
      </c>
      <c r="D230" s="8" t="s">
        <v>36</v>
      </c>
      <c r="E230" s="8" t="s">
        <v>450</v>
      </c>
      <c r="F230" s="8">
        <v>150</v>
      </c>
      <c r="G230" s="8">
        <v>65.48</v>
      </c>
      <c r="H230" s="10">
        <v>31.46</v>
      </c>
      <c r="I230" s="21">
        <f>Table1[[#This Row],[BRUTTO_monthly_bill_eur]]/1.19</f>
        <v>55.025210084033617</v>
      </c>
      <c r="J230" s="21">
        <f>Table1[[#This Row],[monthly_consumption_kwh]]*Table1[[#This Row],[NETTO_procurement_cost_ct_per_kwh]]/100</f>
        <v>47.19</v>
      </c>
      <c r="K230" s="21">
        <f>Table1[[#This Row],[NETTO_monthly_revenue(€)]]-Table1[[#This Row],[procurement_cost_(€)]]</f>
        <v>7.8352100840336192</v>
      </c>
      <c r="L230" s="21">
        <f t="shared" si="9"/>
        <v>5.2234733893557461</v>
      </c>
      <c r="M230" s="21" t="str">
        <f t="shared" si="10"/>
        <v>19.10.2024</v>
      </c>
      <c r="N230" s="21">
        <f t="shared" si="11"/>
        <v>55.025210084033617</v>
      </c>
    </row>
    <row r="231" spans="1:14">
      <c r="A231" s="9" t="s">
        <v>451</v>
      </c>
      <c r="B231" s="8">
        <v>24</v>
      </c>
      <c r="C231" s="8" t="s">
        <v>51</v>
      </c>
      <c r="D231" s="8" t="s">
        <v>36</v>
      </c>
      <c r="E231" s="8" t="s">
        <v>315</v>
      </c>
      <c r="F231" s="8">
        <v>431</v>
      </c>
      <c r="G231" s="8">
        <v>141.19</v>
      </c>
      <c r="H231" s="10">
        <v>19.43</v>
      </c>
      <c r="I231" s="21">
        <f>Table1[[#This Row],[BRUTTO_monthly_bill_eur]]/1.19</f>
        <v>118.64705882352942</v>
      </c>
      <c r="J231" s="21">
        <f>Table1[[#This Row],[monthly_consumption_kwh]]*Table1[[#This Row],[NETTO_procurement_cost_ct_per_kwh]]/100</f>
        <v>83.743300000000005</v>
      </c>
      <c r="K231" s="21">
        <f>Table1[[#This Row],[NETTO_monthly_revenue(€)]]-Table1[[#This Row],[procurement_cost_(€)]]</f>
        <v>34.903758823529415</v>
      </c>
      <c r="L231" s="21">
        <f t="shared" si="9"/>
        <v>8.0983199126518368</v>
      </c>
      <c r="M231" s="21" t="str">
        <f t="shared" si="10"/>
        <v>09.03.2025</v>
      </c>
      <c r="N231" s="21">
        <f t="shared" si="11"/>
        <v>118.64705882352942</v>
      </c>
    </row>
    <row r="232" spans="1:14">
      <c r="A232" s="9" t="s">
        <v>452</v>
      </c>
      <c r="B232" s="8">
        <v>24</v>
      </c>
      <c r="C232" s="8" t="s">
        <v>39</v>
      </c>
      <c r="D232" s="8" t="s">
        <v>46</v>
      </c>
      <c r="E232" s="8" t="s">
        <v>453</v>
      </c>
      <c r="F232" s="8">
        <v>165</v>
      </c>
      <c r="G232" s="8">
        <v>70.19</v>
      </c>
      <c r="H232" s="10">
        <v>32.32</v>
      </c>
      <c r="I232" s="21">
        <f>Table1[[#This Row],[BRUTTO_monthly_bill_eur]]/1.19</f>
        <v>58.983193277310924</v>
      </c>
      <c r="J232" s="21">
        <f>Table1[[#This Row],[monthly_consumption_kwh]]*Table1[[#This Row],[NETTO_procurement_cost_ct_per_kwh]]/100</f>
        <v>53.328000000000003</v>
      </c>
      <c r="K232" s="21">
        <f>Table1[[#This Row],[NETTO_monthly_revenue(€)]]-Table1[[#This Row],[procurement_cost_(€)]]</f>
        <v>5.6551932773109215</v>
      </c>
      <c r="L232" s="21">
        <f t="shared" si="9"/>
        <v>3.4273898650369219</v>
      </c>
      <c r="M232" s="21" t="str">
        <f t="shared" si="10"/>
        <v>2025-05</v>
      </c>
      <c r="N232" s="21">
        <f t="shared" si="11"/>
        <v>58.983193277310924</v>
      </c>
    </row>
    <row r="233" spans="1:14">
      <c r="A233" s="9" t="s">
        <v>454</v>
      </c>
      <c r="B233" s="8">
        <v>12</v>
      </c>
      <c r="C233" s="8" t="s">
        <v>35</v>
      </c>
      <c r="D233" s="8" t="s">
        <v>46</v>
      </c>
      <c r="E233" s="8" t="s">
        <v>455</v>
      </c>
      <c r="F233" s="8">
        <v>267</v>
      </c>
      <c r="G233" s="8">
        <v>101.53</v>
      </c>
      <c r="H233" s="10">
        <v>27.96</v>
      </c>
      <c r="I233" s="21">
        <f>Table1[[#This Row],[BRUTTO_monthly_bill_eur]]/1.19</f>
        <v>85.319327731092443</v>
      </c>
      <c r="J233" s="21">
        <f>Table1[[#This Row],[monthly_consumption_kwh]]*Table1[[#This Row],[NETTO_procurement_cost_ct_per_kwh]]/100</f>
        <v>74.653200000000012</v>
      </c>
      <c r="K233" s="21">
        <f>Table1[[#This Row],[NETTO_monthly_revenue(€)]]-Table1[[#This Row],[procurement_cost_(€)]]</f>
        <v>10.666127731092431</v>
      </c>
      <c r="L233" s="21">
        <f t="shared" si="9"/>
        <v>3.9948043936675766</v>
      </c>
      <c r="M233" s="21" t="str">
        <f t="shared" si="10"/>
        <v>07.06.2024</v>
      </c>
      <c r="N233" s="21">
        <f t="shared" si="11"/>
        <v>85.319327731092443</v>
      </c>
    </row>
    <row r="234" spans="1:14">
      <c r="A234" s="9" t="s">
        <v>456</v>
      </c>
      <c r="B234" s="8">
        <v>24</v>
      </c>
      <c r="C234" s="8" t="s">
        <v>39</v>
      </c>
      <c r="D234" s="8" t="s">
        <v>36</v>
      </c>
      <c r="E234" s="8" t="s">
        <v>376</v>
      </c>
      <c r="F234" s="8">
        <v>132</v>
      </c>
      <c r="G234" s="8">
        <v>57.85</v>
      </c>
      <c r="H234" s="10">
        <v>31.03</v>
      </c>
      <c r="I234" s="21">
        <f>Table1[[#This Row],[BRUTTO_monthly_bill_eur]]/1.19</f>
        <v>48.613445378151262</v>
      </c>
      <c r="J234" s="21">
        <f>Table1[[#This Row],[monthly_consumption_kwh]]*Table1[[#This Row],[NETTO_procurement_cost_ct_per_kwh]]/100</f>
        <v>40.959600000000002</v>
      </c>
      <c r="K234" s="21">
        <f>Table1[[#This Row],[NETTO_monthly_revenue(€)]]-Table1[[#This Row],[procurement_cost_(€)]]</f>
        <v>7.6538453781512601</v>
      </c>
      <c r="L234" s="21">
        <f t="shared" si="9"/>
        <v>5.7983677107206519</v>
      </c>
      <c r="M234" s="21" t="str">
        <f t="shared" si="10"/>
        <v>13.07.2024</v>
      </c>
      <c r="N234" s="21">
        <f t="shared" si="11"/>
        <v>48.613445378151262</v>
      </c>
    </row>
    <row r="235" spans="1:14">
      <c r="A235" s="9" t="s">
        <v>457</v>
      </c>
      <c r="B235" s="8">
        <v>12</v>
      </c>
      <c r="C235" s="8" t="s">
        <v>39</v>
      </c>
      <c r="D235" s="8" t="s">
        <v>36</v>
      </c>
      <c r="E235" s="8" t="s">
        <v>458</v>
      </c>
      <c r="F235" s="8">
        <v>146</v>
      </c>
      <c r="G235" s="8">
        <v>65.69</v>
      </c>
      <c r="H235" s="10">
        <v>29.77</v>
      </c>
      <c r="I235" s="21">
        <f>Table1[[#This Row],[BRUTTO_monthly_bill_eur]]/1.19</f>
        <v>55.201680672268907</v>
      </c>
      <c r="J235" s="21">
        <f>Table1[[#This Row],[monthly_consumption_kwh]]*Table1[[#This Row],[NETTO_procurement_cost_ct_per_kwh]]/100</f>
        <v>43.464199999999998</v>
      </c>
      <c r="K235" s="21">
        <f>Table1[[#This Row],[NETTO_monthly_revenue(€)]]-Table1[[#This Row],[procurement_cost_(€)]]</f>
        <v>11.737480672268909</v>
      </c>
      <c r="L235" s="21">
        <f t="shared" si="9"/>
        <v>8.0393703234718554</v>
      </c>
      <c r="M235" s="21" t="str">
        <f t="shared" si="10"/>
        <v>30.10.2024</v>
      </c>
      <c r="N235" s="21">
        <f t="shared" si="11"/>
        <v>55.201680672268907</v>
      </c>
    </row>
    <row r="236" spans="1:14">
      <c r="A236" s="9" t="s">
        <v>459</v>
      </c>
      <c r="B236" s="8">
        <v>12</v>
      </c>
      <c r="C236" s="8" t="s">
        <v>39</v>
      </c>
      <c r="D236" s="8" t="s">
        <v>46</v>
      </c>
      <c r="E236" s="8" t="s">
        <v>460</v>
      </c>
      <c r="F236" s="8">
        <v>151</v>
      </c>
      <c r="G236" s="8">
        <v>60.81</v>
      </c>
      <c r="H236" s="10">
        <v>30.83</v>
      </c>
      <c r="I236" s="21">
        <f>Table1[[#This Row],[BRUTTO_monthly_bill_eur]]/1.19</f>
        <v>51.100840336134461</v>
      </c>
      <c r="J236" s="21">
        <f>Table1[[#This Row],[monthly_consumption_kwh]]*Table1[[#This Row],[NETTO_procurement_cost_ct_per_kwh]]/100</f>
        <v>46.5533</v>
      </c>
      <c r="K236" s="21">
        <f>Table1[[#This Row],[NETTO_monthly_revenue(€)]]-Table1[[#This Row],[procurement_cost_(€)]]</f>
        <v>4.5475403361344604</v>
      </c>
      <c r="L236" s="21">
        <f t="shared" si="9"/>
        <v>3.0116161166453379</v>
      </c>
      <c r="M236" s="21" t="str">
        <f t="shared" si="10"/>
        <v>10.08.2024</v>
      </c>
      <c r="N236" s="21">
        <f t="shared" si="11"/>
        <v>51.100840336134461</v>
      </c>
    </row>
    <row r="237" spans="1:14">
      <c r="A237" s="9" t="s">
        <v>461</v>
      </c>
      <c r="B237" s="8">
        <v>24</v>
      </c>
      <c r="C237" s="8" t="s">
        <v>35</v>
      </c>
      <c r="D237" s="8" t="s">
        <v>46</v>
      </c>
      <c r="E237" s="8" t="s">
        <v>292</v>
      </c>
      <c r="F237" s="8">
        <v>276</v>
      </c>
      <c r="G237" s="8">
        <v>103.13</v>
      </c>
      <c r="H237" s="10">
        <v>23.56</v>
      </c>
      <c r="I237" s="21">
        <f>Table1[[#This Row],[BRUTTO_monthly_bill_eur]]/1.19</f>
        <v>86.663865546218489</v>
      </c>
      <c r="J237" s="21">
        <f>Table1[[#This Row],[monthly_consumption_kwh]]*Table1[[#This Row],[NETTO_procurement_cost_ct_per_kwh]]/100</f>
        <v>65.025599999999997</v>
      </c>
      <c r="K237" s="21">
        <f>Table1[[#This Row],[NETTO_monthly_revenue(€)]]-Table1[[#This Row],[procurement_cost_(€)]]</f>
        <v>21.638265546218491</v>
      </c>
      <c r="L237" s="21">
        <f t="shared" si="9"/>
        <v>7.8399512848617725</v>
      </c>
      <c r="M237" s="21" t="str">
        <f t="shared" si="10"/>
        <v>29.02.2024</v>
      </c>
      <c r="N237" s="21">
        <f t="shared" si="11"/>
        <v>86.663865546218489</v>
      </c>
    </row>
    <row r="238" spans="1:14">
      <c r="A238" s="9" t="s">
        <v>462</v>
      </c>
      <c r="B238" s="8">
        <v>12</v>
      </c>
      <c r="C238" s="8" t="s">
        <v>39</v>
      </c>
      <c r="D238" s="8" t="s">
        <v>56</v>
      </c>
      <c r="E238" s="8" t="s">
        <v>395</v>
      </c>
      <c r="F238" s="8">
        <v>94</v>
      </c>
      <c r="G238" s="8">
        <v>43.9</v>
      </c>
      <c r="H238" s="10">
        <v>28.92</v>
      </c>
      <c r="I238" s="21">
        <f>Table1[[#This Row],[BRUTTO_monthly_bill_eur]]/1.19</f>
        <v>36.890756302521012</v>
      </c>
      <c r="J238" s="21">
        <f>Table1[[#This Row],[monthly_consumption_kwh]]*Table1[[#This Row],[NETTO_procurement_cost_ct_per_kwh]]/100</f>
        <v>27.184799999999999</v>
      </c>
      <c r="K238" s="21">
        <f>Table1[[#This Row],[NETTO_monthly_revenue(€)]]-Table1[[#This Row],[procurement_cost_(€)]]</f>
        <v>9.7059563025210132</v>
      </c>
      <c r="L238" s="21">
        <f t="shared" si="9"/>
        <v>10.325485428213845</v>
      </c>
      <c r="M238" s="21" t="str">
        <f t="shared" si="10"/>
        <v>03.03.2024</v>
      </c>
      <c r="N238" s="21">
        <f t="shared" si="11"/>
        <v>36.890756302521012</v>
      </c>
    </row>
    <row r="239" spans="1:14">
      <c r="A239" s="9" t="s">
        <v>463</v>
      </c>
      <c r="B239" s="8">
        <v>12</v>
      </c>
      <c r="C239" s="8" t="s">
        <v>35</v>
      </c>
      <c r="D239" s="8" t="s">
        <v>46</v>
      </c>
      <c r="E239" s="8" t="s">
        <v>464</v>
      </c>
      <c r="F239" s="8">
        <v>223</v>
      </c>
      <c r="G239" s="8">
        <v>90.63</v>
      </c>
      <c r="H239" s="10">
        <v>24.39</v>
      </c>
      <c r="I239" s="21">
        <f>Table1[[#This Row],[BRUTTO_monthly_bill_eur]]/1.19</f>
        <v>76.159663865546221</v>
      </c>
      <c r="J239" s="21">
        <f>Table1[[#This Row],[monthly_consumption_kwh]]*Table1[[#This Row],[NETTO_procurement_cost_ct_per_kwh]]/100</f>
        <v>54.389700000000005</v>
      </c>
      <c r="K239" s="21">
        <f>Table1[[#This Row],[NETTO_monthly_revenue(€)]]-Table1[[#This Row],[procurement_cost_(€)]]</f>
        <v>21.769963865546217</v>
      </c>
      <c r="L239" s="21">
        <f t="shared" si="9"/>
        <v>9.7623156347740885</v>
      </c>
      <c r="M239" s="21" t="str">
        <f t="shared" si="10"/>
        <v>17.11.2024</v>
      </c>
      <c r="N239" s="21">
        <f t="shared" si="11"/>
        <v>76.159663865546221</v>
      </c>
    </row>
    <row r="240" spans="1:14">
      <c r="A240" s="9" t="s">
        <v>465</v>
      </c>
      <c r="B240" s="8">
        <v>24</v>
      </c>
      <c r="C240" s="8" t="s">
        <v>39</v>
      </c>
      <c r="D240" s="8" t="s">
        <v>56</v>
      </c>
      <c r="E240" s="8" t="s">
        <v>466</v>
      </c>
      <c r="F240" s="8">
        <v>161</v>
      </c>
      <c r="G240" s="8">
        <v>70.67</v>
      </c>
      <c r="H240" s="10">
        <v>31.71</v>
      </c>
      <c r="I240" s="21">
        <f>Table1[[#This Row],[BRUTTO_monthly_bill_eur]]/1.19</f>
        <v>59.386554621848745</v>
      </c>
      <c r="J240" s="21">
        <f>Table1[[#This Row],[monthly_consumption_kwh]]*Table1[[#This Row],[NETTO_procurement_cost_ct_per_kwh]]/100</f>
        <v>51.053100000000001</v>
      </c>
      <c r="K240" s="21">
        <f>Table1[[#This Row],[NETTO_monthly_revenue(€)]]-Table1[[#This Row],[procurement_cost_(€)]]</f>
        <v>8.3334546218487446</v>
      </c>
      <c r="L240" s="21">
        <f t="shared" si="9"/>
        <v>5.176058771334624</v>
      </c>
      <c r="M240" s="21" t="str">
        <f t="shared" si="10"/>
        <v>28.02.2024</v>
      </c>
      <c r="N240" s="21">
        <f t="shared" si="11"/>
        <v>59.386554621848745</v>
      </c>
    </row>
    <row r="241" spans="1:14">
      <c r="A241" s="9" t="s">
        <v>467</v>
      </c>
      <c r="B241" s="8">
        <v>12</v>
      </c>
      <c r="C241" s="8" t="s">
        <v>39</v>
      </c>
      <c r="D241" s="8" t="s">
        <v>46</v>
      </c>
      <c r="E241" s="8" t="s">
        <v>423</v>
      </c>
      <c r="F241" s="8">
        <v>102</v>
      </c>
      <c r="G241" s="8">
        <v>49.06</v>
      </c>
      <c r="H241" s="10">
        <v>31.72</v>
      </c>
      <c r="I241" s="21">
        <f>Table1[[#This Row],[BRUTTO_monthly_bill_eur]]/1.19</f>
        <v>41.226890756302524</v>
      </c>
      <c r="J241" s="21">
        <f>Table1[[#This Row],[monthly_consumption_kwh]]*Table1[[#This Row],[NETTO_procurement_cost_ct_per_kwh]]/100</f>
        <v>32.354399999999998</v>
      </c>
      <c r="K241" s="21">
        <f>Table1[[#This Row],[NETTO_monthly_revenue(€)]]-Table1[[#This Row],[procurement_cost_(€)]]</f>
        <v>8.8724907563025255</v>
      </c>
      <c r="L241" s="21">
        <f t="shared" si="9"/>
        <v>8.6985203493162011</v>
      </c>
      <c r="M241" s="21" t="str">
        <f t="shared" si="10"/>
        <v>21.02.2024</v>
      </c>
      <c r="N241" s="21">
        <f t="shared" si="11"/>
        <v>41.226890756302524</v>
      </c>
    </row>
    <row r="242" spans="1:14">
      <c r="A242" s="9" t="s">
        <v>468</v>
      </c>
      <c r="B242" s="8">
        <v>24</v>
      </c>
      <c r="C242" s="8" t="s">
        <v>35</v>
      </c>
      <c r="D242" s="8" t="s">
        <v>36</v>
      </c>
      <c r="E242" s="8" t="s">
        <v>469</v>
      </c>
      <c r="F242" s="8">
        <v>229</v>
      </c>
      <c r="G242" s="8">
        <v>92.19</v>
      </c>
      <c r="H242" s="10">
        <v>25.37</v>
      </c>
      <c r="I242" s="21">
        <f>Table1[[#This Row],[BRUTTO_monthly_bill_eur]]/1.19</f>
        <v>77.470588235294116</v>
      </c>
      <c r="J242" s="21">
        <f>Table1[[#This Row],[monthly_consumption_kwh]]*Table1[[#This Row],[NETTO_procurement_cost_ct_per_kwh]]/100</f>
        <v>58.097300000000004</v>
      </c>
      <c r="K242" s="21">
        <f>Table1[[#This Row],[NETTO_monthly_revenue(€)]]-Table1[[#This Row],[procurement_cost_(€)]]</f>
        <v>19.373288235294112</v>
      </c>
      <c r="L242" s="21">
        <f t="shared" si="9"/>
        <v>8.4599511944515768</v>
      </c>
      <c r="M242" s="21" t="str">
        <f t="shared" si="10"/>
        <v>03.05.2025</v>
      </c>
      <c r="N242" s="21">
        <f t="shared" si="11"/>
        <v>77.470588235294116</v>
      </c>
    </row>
    <row r="243" spans="1:14">
      <c r="A243" s="9" t="s">
        <v>470</v>
      </c>
      <c r="B243" s="8">
        <v>24</v>
      </c>
      <c r="C243" s="8" t="s">
        <v>51</v>
      </c>
      <c r="D243" s="8" t="s">
        <v>36</v>
      </c>
      <c r="E243" s="8" t="s">
        <v>471</v>
      </c>
      <c r="F243" s="8">
        <v>477</v>
      </c>
      <c r="G243" s="8">
        <v>161.1</v>
      </c>
      <c r="H243" s="10">
        <v>21.14</v>
      </c>
      <c r="I243" s="21">
        <f>Table1[[#This Row],[BRUTTO_monthly_bill_eur]]/1.19</f>
        <v>135.37815126050421</v>
      </c>
      <c r="J243" s="21">
        <f>Table1[[#This Row],[monthly_consumption_kwh]]*Table1[[#This Row],[NETTO_procurement_cost_ct_per_kwh]]/100</f>
        <v>100.8378</v>
      </c>
      <c r="K243" s="21">
        <f>Table1[[#This Row],[NETTO_monthly_revenue(€)]]-Table1[[#This Row],[procurement_cost_(€)]]</f>
        <v>34.54035126050421</v>
      </c>
      <c r="L243" s="21">
        <f t="shared" si="9"/>
        <v>7.2411637862692269</v>
      </c>
      <c r="M243" s="21" t="str">
        <f t="shared" si="10"/>
        <v>29.05.2025</v>
      </c>
      <c r="N243" s="21">
        <f t="shared" si="11"/>
        <v>135.37815126050421</v>
      </c>
    </row>
    <row r="244" spans="1:14">
      <c r="A244" s="9" t="s">
        <v>472</v>
      </c>
      <c r="B244" s="8">
        <v>24</v>
      </c>
      <c r="C244" s="8" t="s">
        <v>39</v>
      </c>
      <c r="D244" s="8" t="s">
        <v>46</v>
      </c>
      <c r="E244" s="8" t="s">
        <v>275</v>
      </c>
      <c r="F244" s="8">
        <v>120</v>
      </c>
      <c r="G244" s="8">
        <v>53.63</v>
      </c>
      <c r="H244" s="10">
        <v>28.85</v>
      </c>
      <c r="I244" s="21">
        <f>Table1[[#This Row],[BRUTTO_monthly_bill_eur]]/1.19</f>
        <v>45.067226890756309</v>
      </c>
      <c r="J244" s="21">
        <f>Table1[[#This Row],[monthly_consumption_kwh]]*Table1[[#This Row],[NETTO_procurement_cost_ct_per_kwh]]/100</f>
        <v>34.619999999999997</v>
      </c>
      <c r="K244" s="21">
        <f>Table1[[#This Row],[NETTO_monthly_revenue(€)]]-Table1[[#This Row],[procurement_cost_(€)]]</f>
        <v>10.447226890756312</v>
      </c>
      <c r="L244" s="21">
        <f t="shared" si="9"/>
        <v>8.7060224089635927</v>
      </c>
      <c r="M244" s="21" t="str">
        <f t="shared" si="10"/>
        <v>27.06.2025</v>
      </c>
      <c r="N244" s="21">
        <f t="shared" si="11"/>
        <v>45.067226890756309</v>
      </c>
    </row>
    <row r="245" spans="1:14">
      <c r="A245" s="9" t="s">
        <v>473</v>
      </c>
      <c r="B245" s="8">
        <v>12</v>
      </c>
      <c r="C245" s="8" t="s">
        <v>35</v>
      </c>
      <c r="D245" s="8" t="s">
        <v>46</v>
      </c>
      <c r="E245" s="8" t="s">
        <v>250</v>
      </c>
      <c r="F245" s="8">
        <v>269</v>
      </c>
      <c r="G245" s="8">
        <v>101.78</v>
      </c>
      <c r="H245" s="10">
        <v>27.98</v>
      </c>
      <c r="I245" s="21">
        <f>Table1[[#This Row],[BRUTTO_monthly_bill_eur]]/1.19</f>
        <v>85.529411764705884</v>
      </c>
      <c r="J245" s="21">
        <f>Table1[[#This Row],[monthly_consumption_kwh]]*Table1[[#This Row],[NETTO_procurement_cost_ct_per_kwh]]/100</f>
        <v>75.266199999999998</v>
      </c>
      <c r="K245" s="21">
        <f>Table1[[#This Row],[NETTO_monthly_revenue(€)]]-Table1[[#This Row],[procurement_cost_(€)]]</f>
        <v>10.263211764705886</v>
      </c>
      <c r="L245" s="21">
        <f t="shared" si="9"/>
        <v>3.8153203586267233</v>
      </c>
      <c r="M245" s="21" t="str">
        <f t="shared" si="10"/>
        <v>10.06.2024</v>
      </c>
      <c r="N245" s="21">
        <f t="shared" si="11"/>
        <v>85.529411764705884</v>
      </c>
    </row>
    <row r="246" spans="1:14">
      <c r="A246" s="9" t="s">
        <v>474</v>
      </c>
      <c r="B246" s="8">
        <v>12</v>
      </c>
      <c r="C246" s="8" t="s">
        <v>51</v>
      </c>
      <c r="D246" s="8" t="s">
        <v>36</v>
      </c>
      <c r="E246" s="8" t="s">
        <v>466</v>
      </c>
      <c r="F246" s="8">
        <v>648</v>
      </c>
      <c r="G246" s="8">
        <v>210.97</v>
      </c>
      <c r="H246" s="10">
        <v>21.41</v>
      </c>
      <c r="I246" s="21">
        <f>Table1[[#This Row],[BRUTTO_monthly_bill_eur]]/1.19</f>
        <v>177.28571428571431</v>
      </c>
      <c r="J246" s="21">
        <f>Table1[[#This Row],[monthly_consumption_kwh]]*Table1[[#This Row],[NETTO_procurement_cost_ct_per_kwh]]/100</f>
        <v>138.73680000000002</v>
      </c>
      <c r="K246" s="21">
        <f>Table1[[#This Row],[NETTO_monthly_revenue(€)]]-Table1[[#This Row],[procurement_cost_(€)]]</f>
        <v>38.548914285714289</v>
      </c>
      <c r="L246" s="21">
        <f t="shared" si="9"/>
        <v>5.948906525573193</v>
      </c>
      <c r="M246" s="21" t="str">
        <f t="shared" si="10"/>
        <v>28.02.2024</v>
      </c>
      <c r="N246" s="21">
        <f t="shared" si="11"/>
        <v>177.28571428571431</v>
      </c>
    </row>
    <row r="247" spans="1:14">
      <c r="A247" s="9" t="s">
        <v>475</v>
      </c>
      <c r="B247" s="8">
        <v>24</v>
      </c>
      <c r="C247" s="8" t="s">
        <v>35</v>
      </c>
      <c r="D247" s="8" t="s">
        <v>36</v>
      </c>
      <c r="E247" s="8" t="s">
        <v>476</v>
      </c>
      <c r="F247" s="8">
        <v>207</v>
      </c>
      <c r="G247" s="8">
        <v>85.79</v>
      </c>
      <c r="H247" s="10">
        <v>24.6</v>
      </c>
      <c r="I247" s="21">
        <f>Table1[[#This Row],[BRUTTO_monthly_bill_eur]]/1.19</f>
        <v>72.092436974789919</v>
      </c>
      <c r="J247" s="21">
        <f>Table1[[#This Row],[monthly_consumption_kwh]]*Table1[[#This Row],[NETTO_procurement_cost_ct_per_kwh]]/100</f>
        <v>50.922000000000004</v>
      </c>
      <c r="K247" s="21">
        <f>Table1[[#This Row],[NETTO_monthly_revenue(€)]]-Table1[[#This Row],[procurement_cost_(€)]]</f>
        <v>21.170436974789915</v>
      </c>
      <c r="L247" s="21">
        <f t="shared" si="9"/>
        <v>10.227264239028946</v>
      </c>
      <c r="M247" s="21" t="str">
        <f t="shared" si="10"/>
        <v>04.06.2025</v>
      </c>
      <c r="N247" s="21">
        <f t="shared" si="11"/>
        <v>72.092436974789919</v>
      </c>
    </row>
    <row r="248" spans="1:14">
      <c r="A248" s="9" t="s">
        <v>477</v>
      </c>
      <c r="B248" s="8">
        <v>12</v>
      </c>
      <c r="C248" s="8" t="s">
        <v>39</v>
      </c>
      <c r="D248" s="8" t="s">
        <v>56</v>
      </c>
      <c r="E248" s="8" t="s">
        <v>478</v>
      </c>
      <c r="F248" s="8">
        <v>93</v>
      </c>
      <c r="G248" s="8">
        <v>43.74</v>
      </c>
      <c r="H248" s="10">
        <v>31.22</v>
      </c>
      <c r="I248" s="21">
        <f>Table1[[#This Row],[BRUTTO_monthly_bill_eur]]/1.19</f>
        <v>36.756302521008408</v>
      </c>
      <c r="J248" s="21">
        <f>Table1[[#This Row],[monthly_consumption_kwh]]*Table1[[#This Row],[NETTO_procurement_cost_ct_per_kwh]]/100</f>
        <v>29.034600000000001</v>
      </c>
      <c r="K248" s="21">
        <f>Table1[[#This Row],[NETTO_monthly_revenue(€)]]-Table1[[#This Row],[procurement_cost_(€)]]</f>
        <v>7.7217025210084067</v>
      </c>
      <c r="L248" s="21">
        <f t="shared" si="9"/>
        <v>8.3029059365681785</v>
      </c>
      <c r="M248" s="21" t="str">
        <f t="shared" si="10"/>
        <v>23.03.2024</v>
      </c>
      <c r="N248" s="21">
        <f t="shared" si="11"/>
        <v>36.756302521008408</v>
      </c>
    </row>
    <row r="249" spans="1:14">
      <c r="A249" s="9" t="s">
        <v>479</v>
      </c>
      <c r="B249" s="8">
        <v>24</v>
      </c>
      <c r="C249" s="8" t="s">
        <v>39</v>
      </c>
      <c r="D249" s="8" t="s">
        <v>36</v>
      </c>
      <c r="E249" s="8" t="s">
        <v>480</v>
      </c>
      <c r="F249" s="8">
        <v>100</v>
      </c>
      <c r="G249" s="8">
        <v>45.64</v>
      </c>
      <c r="H249" s="10">
        <v>30.86</v>
      </c>
      <c r="I249" s="21">
        <f>Table1[[#This Row],[BRUTTO_monthly_bill_eur]]/1.19</f>
        <v>38.352941176470587</v>
      </c>
      <c r="J249" s="21">
        <f>Table1[[#This Row],[monthly_consumption_kwh]]*Table1[[#This Row],[NETTO_procurement_cost_ct_per_kwh]]/100</f>
        <v>30.86</v>
      </c>
      <c r="K249" s="21">
        <f>Table1[[#This Row],[NETTO_monthly_revenue(€)]]-Table1[[#This Row],[procurement_cost_(€)]]</f>
        <v>7.4929411764705875</v>
      </c>
      <c r="L249" s="21">
        <f t="shared" si="9"/>
        <v>7.4929411764705867</v>
      </c>
      <c r="M249" s="21" t="str">
        <f t="shared" si="10"/>
        <v>09.07.2024</v>
      </c>
      <c r="N249" s="21">
        <f t="shared" si="11"/>
        <v>38.352941176470587</v>
      </c>
    </row>
    <row r="250" spans="1:14">
      <c r="A250" s="9" t="s">
        <v>481</v>
      </c>
      <c r="B250" s="8">
        <v>24</v>
      </c>
      <c r="C250" s="8" t="s">
        <v>51</v>
      </c>
      <c r="D250" s="8" t="s">
        <v>36</v>
      </c>
      <c r="E250" s="8" t="s">
        <v>300</v>
      </c>
      <c r="F250" s="8">
        <v>629</v>
      </c>
      <c r="G250" s="8">
        <v>211.4</v>
      </c>
      <c r="H250" s="10">
        <v>19.47</v>
      </c>
      <c r="I250" s="21">
        <f>Table1[[#This Row],[BRUTTO_monthly_bill_eur]]/1.19</f>
        <v>177.64705882352942</v>
      </c>
      <c r="J250" s="21">
        <f>Table1[[#This Row],[monthly_consumption_kwh]]*Table1[[#This Row],[NETTO_procurement_cost_ct_per_kwh]]/100</f>
        <v>122.46629999999999</v>
      </c>
      <c r="K250" s="21">
        <f>Table1[[#This Row],[NETTO_monthly_revenue(€)]]-Table1[[#This Row],[procurement_cost_(€)]]</f>
        <v>55.18075882352943</v>
      </c>
      <c r="L250" s="21">
        <f t="shared" si="9"/>
        <v>8.772775647619941</v>
      </c>
      <c r="M250" s="21" t="str">
        <f t="shared" si="10"/>
        <v>11.03.2024</v>
      </c>
      <c r="N250" s="21">
        <f t="shared" si="11"/>
        <v>177.64705882352942</v>
      </c>
    </row>
    <row r="251" spans="1:14">
      <c r="A251" s="9" t="s">
        <v>482</v>
      </c>
      <c r="B251" s="8">
        <v>24</v>
      </c>
      <c r="C251" s="8" t="s">
        <v>39</v>
      </c>
      <c r="D251" s="8" t="s">
        <v>36</v>
      </c>
      <c r="E251" s="8" t="s">
        <v>351</v>
      </c>
      <c r="F251" s="8">
        <v>137</v>
      </c>
      <c r="G251" s="8">
        <v>62.46</v>
      </c>
      <c r="H251" s="10">
        <v>28.21</v>
      </c>
      <c r="I251" s="21">
        <f>Table1[[#This Row],[BRUTTO_monthly_bill_eur]]/1.19</f>
        <v>52.487394957983199</v>
      </c>
      <c r="J251" s="21">
        <f>Table1[[#This Row],[monthly_consumption_kwh]]*Table1[[#This Row],[NETTO_procurement_cost_ct_per_kwh]]/100</f>
        <v>38.6477</v>
      </c>
      <c r="K251" s="21">
        <f>Table1[[#This Row],[NETTO_monthly_revenue(€)]]-Table1[[#This Row],[procurement_cost_(€)]]</f>
        <v>13.839694957983198</v>
      </c>
      <c r="L251" s="21">
        <f t="shared" si="9"/>
        <v>10.101967122615472</v>
      </c>
      <c r="M251" s="21" t="str">
        <f t="shared" si="10"/>
        <v>10.03.2024</v>
      </c>
      <c r="N251" s="21">
        <f t="shared" si="11"/>
        <v>52.487394957983199</v>
      </c>
    </row>
    <row r="252" spans="1:14">
      <c r="A252" s="9" t="s">
        <v>483</v>
      </c>
      <c r="B252" s="8">
        <v>12</v>
      </c>
      <c r="C252" s="8" t="s">
        <v>51</v>
      </c>
      <c r="D252" s="8" t="s">
        <v>36</v>
      </c>
      <c r="E252" s="8" t="s">
        <v>484</v>
      </c>
      <c r="F252" s="8">
        <v>428</v>
      </c>
      <c r="G252" s="8">
        <v>141.15</v>
      </c>
      <c r="H252" s="10">
        <v>18.77</v>
      </c>
      <c r="I252" s="21">
        <f>Table1[[#This Row],[BRUTTO_monthly_bill_eur]]/1.19</f>
        <v>118.61344537815127</v>
      </c>
      <c r="J252" s="21">
        <f>Table1[[#This Row],[monthly_consumption_kwh]]*Table1[[#This Row],[NETTO_procurement_cost_ct_per_kwh]]/100</f>
        <v>80.335599999999999</v>
      </c>
      <c r="K252" s="21">
        <f>Table1[[#This Row],[NETTO_monthly_revenue(€)]]-Table1[[#This Row],[procurement_cost_(€)]]</f>
        <v>38.27784537815127</v>
      </c>
      <c r="L252" s="21">
        <f t="shared" si="9"/>
        <v>8.9434218173250635</v>
      </c>
      <c r="M252" s="21" t="str">
        <f t="shared" si="10"/>
        <v>28.08.2024</v>
      </c>
      <c r="N252" s="21">
        <f t="shared" si="11"/>
        <v>118.61344537815127</v>
      </c>
    </row>
    <row r="253" spans="1:14">
      <c r="A253" s="9" t="s">
        <v>485</v>
      </c>
      <c r="B253" s="8">
        <v>12</v>
      </c>
      <c r="C253" s="8" t="s">
        <v>35</v>
      </c>
      <c r="D253" s="8" t="s">
        <v>36</v>
      </c>
      <c r="E253" s="8" t="s">
        <v>486</v>
      </c>
      <c r="F253" s="8">
        <v>302</v>
      </c>
      <c r="G253" s="8">
        <v>109.4</v>
      </c>
      <c r="H253" s="10">
        <v>24.7</v>
      </c>
      <c r="I253" s="21">
        <f>Table1[[#This Row],[BRUTTO_monthly_bill_eur]]/1.19</f>
        <v>91.932773109243712</v>
      </c>
      <c r="J253" s="21">
        <f>Table1[[#This Row],[monthly_consumption_kwh]]*Table1[[#This Row],[NETTO_procurement_cost_ct_per_kwh]]/100</f>
        <v>74.593999999999994</v>
      </c>
      <c r="K253" s="21">
        <f>Table1[[#This Row],[NETTO_monthly_revenue(€)]]-Table1[[#This Row],[procurement_cost_(€)]]</f>
        <v>17.338773109243718</v>
      </c>
      <c r="L253" s="21">
        <f t="shared" si="9"/>
        <v>5.7413155990873239</v>
      </c>
      <c r="M253" s="21" t="str">
        <f t="shared" si="10"/>
        <v>17.02.2025</v>
      </c>
      <c r="N253" s="21">
        <f t="shared" si="11"/>
        <v>91.932773109243712</v>
      </c>
    </row>
    <row r="254" spans="1:14">
      <c r="A254" s="9" t="s">
        <v>487</v>
      </c>
      <c r="B254" s="8">
        <v>24</v>
      </c>
      <c r="C254" s="8" t="s">
        <v>51</v>
      </c>
      <c r="D254" s="8" t="s">
        <v>36</v>
      </c>
      <c r="E254" s="8" t="s">
        <v>488</v>
      </c>
      <c r="F254" s="8">
        <v>621</v>
      </c>
      <c r="G254" s="8">
        <v>202.59</v>
      </c>
      <c r="H254" s="10">
        <v>19.89</v>
      </c>
      <c r="I254" s="21">
        <f>Table1[[#This Row],[BRUTTO_monthly_bill_eur]]/1.19</f>
        <v>170.24369747899161</v>
      </c>
      <c r="J254" s="21">
        <f>Table1[[#This Row],[monthly_consumption_kwh]]*Table1[[#This Row],[NETTO_procurement_cost_ct_per_kwh]]/100</f>
        <v>123.51690000000001</v>
      </c>
      <c r="K254" s="21">
        <f>Table1[[#This Row],[NETTO_monthly_revenue(€)]]-Table1[[#This Row],[procurement_cost_(€)]]</f>
        <v>46.7267974789916</v>
      </c>
      <c r="L254" s="21">
        <f t="shared" si="9"/>
        <v>7.5244440384849591</v>
      </c>
      <c r="M254" s="21" t="str">
        <f t="shared" si="10"/>
        <v>02.05.2024</v>
      </c>
      <c r="N254" s="21">
        <f t="shared" si="11"/>
        <v>170.24369747899161</v>
      </c>
    </row>
    <row r="255" spans="1:14">
      <c r="A255" s="9" t="s">
        <v>489</v>
      </c>
      <c r="B255" s="8">
        <v>12</v>
      </c>
      <c r="C255" s="8" t="s">
        <v>51</v>
      </c>
      <c r="D255" s="8" t="s">
        <v>36</v>
      </c>
      <c r="E255" s="8" t="s">
        <v>202</v>
      </c>
      <c r="F255" s="8">
        <v>616</v>
      </c>
      <c r="G255" s="8">
        <v>200.57</v>
      </c>
      <c r="H255" s="10">
        <v>18.37</v>
      </c>
      <c r="I255" s="21">
        <f>Table1[[#This Row],[BRUTTO_monthly_bill_eur]]/1.19</f>
        <v>168.54621848739495</v>
      </c>
      <c r="J255" s="21">
        <f>Table1[[#This Row],[monthly_consumption_kwh]]*Table1[[#This Row],[NETTO_procurement_cost_ct_per_kwh]]/100</f>
        <v>113.1592</v>
      </c>
      <c r="K255" s="21">
        <f>Table1[[#This Row],[NETTO_monthly_revenue(€)]]-Table1[[#This Row],[procurement_cost_(€)]]</f>
        <v>55.387018487394954</v>
      </c>
      <c r="L255" s="21">
        <f t="shared" si="9"/>
        <v>8.9913991050965834</v>
      </c>
      <c r="M255" s="21" t="str">
        <f t="shared" si="10"/>
        <v>09.09.2024</v>
      </c>
      <c r="N255" s="21">
        <f t="shared" si="11"/>
        <v>168.54621848739495</v>
      </c>
    </row>
    <row r="256" spans="1:14">
      <c r="A256" s="9" t="s">
        <v>490</v>
      </c>
      <c r="B256" s="8">
        <v>12</v>
      </c>
      <c r="C256" s="8" t="s">
        <v>51</v>
      </c>
      <c r="D256" s="8" t="s">
        <v>46</v>
      </c>
      <c r="E256" s="8" t="s">
        <v>491</v>
      </c>
      <c r="F256" s="8">
        <v>640</v>
      </c>
      <c r="G256" s="8">
        <v>201.88</v>
      </c>
      <c r="H256" s="10">
        <v>21.21</v>
      </c>
      <c r="I256" s="21">
        <f>Table1[[#This Row],[BRUTTO_monthly_bill_eur]]/1.19</f>
        <v>169.64705882352942</v>
      </c>
      <c r="J256" s="21">
        <f>Table1[[#This Row],[monthly_consumption_kwh]]*Table1[[#This Row],[NETTO_procurement_cost_ct_per_kwh]]/100</f>
        <v>135.74400000000003</v>
      </c>
      <c r="K256" s="21">
        <f>Table1[[#This Row],[NETTO_monthly_revenue(€)]]-Table1[[#This Row],[procurement_cost_(€)]]</f>
        <v>33.903058823529392</v>
      </c>
      <c r="L256" s="21">
        <f t="shared" si="9"/>
        <v>5.2973529411764675</v>
      </c>
      <c r="M256" s="21" t="str">
        <f t="shared" si="10"/>
        <v>10.02.2024</v>
      </c>
      <c r="N256" s="21">
        <f t="shared" si="11"/>
        <v>169.64705882352942</v>
      </c>
    </row>
    <row r="257" spans="1:14">
      <c r="A257" s="9" t="s">
        <v>492</v>
      </c>
      <c r="B257" s="8">
        <v>24</v>
      </c>
      <c r="C257" s="8" t="s">
        <v>35</v>
      </c>
      <c r="D257" s="8" t="s">
        <v>36</v>
      </c>
      <c r="E257" s="8" t="s">
        <v>493</v>
      </c>
      <c r="F257" s="8">
        <v>209</v>
      </c>
      <c r="G257" s="8">
        <v>84.67</v>
      </c>
      <c r="H257" s="10">
        <v>22.67</v>
      </c>
      <c r="I257" s="21">
        <f>Table1[[#This Row],[BRUTTO_monthly_bill_eur]]/1.19</f>
        <v>71.151260504201687</v>
      </c>
      <c r="J257" s="21">
        <f>Table1[[#This Row],[monthly_consumption_kwh]]*Table1[[#This Row],[NETTO_procurement_cost_ct_per_kwh]]/100</f>
        <v>47.380300000000005</v>
      </c>
      <c r="K257" s="21">
        <f>Table1[[#This Row],[NETTO_monthly_revenue(€)]]-Table1[[#This Row],[procurement_cost_(€)]]</f>
        <v>23.770960504201682</v>
      </c>
      <c r="L257" s="21">
        <f t="shared" si="9"/>
        <v>11.373665313015159</v>
      </c>
      <c r="M257" s="21" t="str">
        <f t="shared" si="10"/>
        <v>24.03.2024</v>
      </c>
      <c r="N257" s="21">
        <f t="shared" si="11"/>
        <v>71.151260504201687</v>
      </c>
    </row>
    <row r="258" spans="1:14">
      <c r="A258" s="9" t="s">
        <v>494</v>
      </c>
      <c r="B258" s="8">
        <v>24</v>
      </c>
      <c r="C258" s="8" t="s">
        <v>51</v>
      </c>
      <c r="D258" s="8" t="s">
        <v>56</v>
      </c>
      <c r="E258" s="8" t="s">
        <v>75</v>
      </c>
      <c r="F258" s="8">
        <v>585</v>
      </c>
      <c r="G258" s="8">
        <v>206.52</v>
      </c>
      <c r="H258" s="10">
        <v>19</v>
      </c>
      <c r="I258" s="21">
        <f>Table1[[#This Row],[BRUTTO_monthly_bill_eur]]/1.19</f>
        <v>173.54621848739498</v>
      </c>
      <c r="J258" s="21">
        <f>Table1[[#This Row],[monthly_consumption_kwh]]*Table1[[#This Row],[NETTO_procurement_cost_ct_per_kwh]]/100</f>
        <v>111.15</v>
      </c>
      <c r="K258" s="21">
        <f>Table1[[#This Row],[NETTO_monthly_revenue(€)]]-Table1[[#This Row],[procurement_cost_(€)]]</f>
        <v>62.396218487394975</v>
      </c>
      <c r="L258" s="21">
        <f t="shared" ref="L258:L321" si="12">IF(F258=0,"",K258/F258*100)</f>
        <v>10.666020254255551</v>
      </c>
      <c r="M258" s="21" t="str">
        <f t="shared" ref="M258:M321" si="13">TEXT(E258,"yyyy-mm")</f>
        <v>05.03.2025</v>
      </c>
      <c r="N258" s="21">
        <f t="shared" ref="N258:N321" si="14">G258/1.19</f>
        <v>173.54621848739498</v>
      </c>
    </row>
    <row r="259" spans="1:14">
      <c r="A259" s="9" t="s">
        <v>495</v>
      </c>
      <c r="B259" s="8">
        <v>24</v>
      </c>
      <c r="C259" s="8" t="s">
        <v>35</v>
      </c>
      <c r="D259" s="8" t="s">
        <v>56</v>
      </c>
      <c r="E259" s="8" t="s">
        <v>496</v>
      </c>
      <c r="F259" s="8">
        <v>243</v>
      </c>
      <c r="G259" s="8">
        <v>92.98</v>
      </c>
      <c r="H259" s="10">
        <v>24.76</v>
      </c>
      <c r="I259" s="21">
        <f>Table1[[#This Row],[BRUTTO_monthly_bill_eur]]/1.19</f>
        <v>78.134453781512619</v>
      </c>
      <c r="J259" s="21">
        <f>Table1[[#This Row],[monthly_consumption_kwh]]*Table1[[#This Row],[NETTO_procurement_cost_ct_per_kwh]]/100</f>
        <v>60.166800000000002</v>
      </c>
      <c r="K259" s="21">
        <f>Table1[[#This Row],[NETTO_monthly_revenue(€)]]-Table1[[#This Row],[procurement_cost_(€)]]</f>
        <v>17.967653781512617</v>
      </c>
      <c r="L259" s="21">
        <f t="shared" si="12"/>
        <v>7.3940962063837929</v>
      </c>
      <c r="M259" s="21" t="str">
        <f t="shared" si="13"/>
        <v>19.06.2025</v>
      </c>
      <c r="N259" s="21">
        <f t="shared" si="14"/>
        <v>78.134453781512619</v>
      </c>
    </row>
    <row r="260" spans="1:14">
      <c r="A260" s="9" t="s">
        <v>497</v>
      </c>
      <c r="B260" s="8">
        <v>24</v>
      </c>
      <c r="C260" s="8" t="s">
        <v>35</v>
      </c>
      <c r="D260" s="8" t="s">
        <v>36</v>
      </c>
      <c r="E260" s="8" t="s">
        <v>177</v>
      </c>
      <c r="F260" s="8">
        <v>307</v>
      </c>
      <c r="G260" s="8">
        <v>114.62</v>
      </c>
      <c r="H260" s="10">
        <v>24.79</v>
      </c>
      <c r="I260" s="21">
        <f>Table1[[#This Row],[BRUTTO_monthly_bill_eur]]/1.19</f>
        <v>96.319327731092443</v>
      </c>
      <c r="J260" s="21">
        <f>Table1[[#This Row],[monthly_consumption_kwh]]*Table1[[#This Row],[NETTO_procurement_cost_ct_per_kwh]]/100</f>
        <v>76.1053</v>
      </c>
      <c r="K260" s="21">
        <f>Table1[[#This Row],[NETTO_monthly_revenue(€)]]-Table1[[#This Row],[procurement_cost_(€)]]</f>
        <v>20.214027731092443</v>
      </c>
      <c r="L260" s="21">
        <f t="shared" si="12"/>
        <v>6.5843738537760403</v>
      </c>
      <c r="M260" s="21" t="str">
        <f t="shared" si="13"/>
        <v>19.11.2024</v>
      </c>
      <c r="N260" s="21">
        <f t="shared" si="14"/>
        <v>96.319327731092443</v>
      </c>
    </row>
    <row r="261" spans="1:14">
      <c r="A261" s="9" t="s">
        <v>498</v>
      </c>
      <c r="B261" s="8">
        <v>12</v>
      </c>
      <c r="C261" s="8" t="s">
        <v>35</v>
      </c>
      <c r="D261" s="8" t="s">
        <v>46</v>
      </c>
      <c r="E261" s="8" t="s">
        <v>499</v>
      </c>
      <c r="F261" s="8">
        <v>288</v>
      </c>
      <c r="G261" s="8">
        <v>106.07</v>
      </c>
      <c r="H261" s="10">
        <v>24.59</v>
      </c>
      <c r="I261" s="21">
        <f>Table1[[#This Row],[BRUTTO_monthly_bill_eur]]/1.19</f>
        <v>89.134453781512605</v>
      </c>
      <c r="J261" s="21">
        <f>Table1[[#This Row],[monthly_consumption_kwh]]*Table1[[#This Row],[NETTO_procurement_cost_ct_per_kwh]]/100</f>
        <v>70.819199999999995</v>
      </c>
      <c r="K261" s="21">
        <f>Table1[[#This Row],[NETTO_monthly_revenue(€)]]-Table1[[#This Row],[procurement_cost_(€)]]</f>
        <v>18.31525378151261</v>
      </c>
      <c r="L261" s="21">
        <f t="shared" si="12"/>
        <v>6.3594631185807673</v>
      </c>
      <c r="M261" s="21" t="str">
        <f t="shared" si="13"/>
        <v>24.09.2024</v>
      </c>
      <c r="N261" s="21">
        <f t="shared" si="14"/>
        <v>89.134453781512605</v>
      </c>
    </row>
    <row r="262" spans="1:14">
      <c r="A262" s="9" t="s">
        <v>500</v>
      </c>
      <c r="B262" s="8">
        <v>24</v>
      </c>
      <c r="C262" s="8" t="s">
        <v>51</v>
      </c>
      <c r="D262" s="8" t="s">
        <v>36</v>
      </c>
      <c r="E262" s="8" t="s">
        <v>501</v>
      </c>
      <c r="F262" s="8">
        <v>592</v>
      </c>
      <c r="G262" s="8">
        <v>192.63</v>
      </c>
      <c r="H262" s="10">
        <v>17.88</v>
      </c>
      <c r="I262" s="21">
        <f>Table1[[#This Row],[BRUTTO_monthly_bill_eur]]/1.19</f>
        <v>161.87394957983193</v>
      </c>
      <c r="J262" s="21">
        <f>Table1[[#This Row],[monthly_consumption_kwh]]*Table1[[#This Row],[NETTO_procurement_cost_ct_per_kwh]]/100</f>
        <v>105.8496</v>
      </c>
      <c r="K262" s="21">
        <f>Table1[[#This Row],[NETTO_monthly_revenue(€)]]-Table1[[#This Row],[procurement_cost_(€)]]</f>
        <v>56.024349579831934</v>
      </c>
      <c r="L262" s="21">
        <f t="shared" si="12"/>
        <v>9.4635725641607991</v>
      </c>
      <c r="M262" s="21" t="str">
        <f t="shared" si="13"/>
        <v>28.07.2024</v>
      </c>
      <c r="N262" s="21">
        <f t="shared" si="14"/>
        <v>161.87394957983193</v>
      </c>
    </row>
    <row r="263" spans="1:14">
      <c r="A263" s="9" t="s">
        <v>502</v>
      </c>
      <c r="B263" s="8">
        <v>24</v>
      </c>
      <c r="C263" s="8" t="s">
        <v>51</v>
      </c>
      <c r="D263" s="8" t="s">
        <v>56</v>
      </c>
      <c r="E263" s="8" t="s">
        <v>464</v>
      </c>
      <c r="F263" s="8">
        <v>552</v>
      </c>
      <c r="G263" s="8">
        <v>195.6</v>
      </c>
      <c r="H263" s="10">
        <v>17.28</v>
      </c>
      <c r="I263" s="21">
        <f>Table1[[#This Row],[BRUTTO_monthly_bill_eur]]/1.19</f>
        <v>164.36974789915968</v>
      </c>
      <c r="J263" s="21">
        <f>Table1[[#This Row],[monthly_consumption_kwh]]*Table1[[#This Row],[NETTO_procurement_cost_ct_per_kwh]]/100</f>
        <v>95.385600000000011</v>
      </c>
      <c r="K263" s="21">
        <f>Table1[[#This Row],[NETTO_monthly_revenue(€)]]-Table1[[#This Row],[procurement_cost_(€)]]</f>
        <v>68.984147899159666</v>
      </c>
      <c r="L263" s="21">
        <f t="shared" si="12"/>
        <v>12.49712824260139</v>
      </c>
      <c r="M263" s="21" t="str">
        <f t="shared" si="13"/>
        <v>17.11.2024</v>
      </c>
      <c r="N263" s="21">
        <f t="shared" si="14"/>
        <v>164.36974789915968</v>
      </c>
    </row>
    <row r="264" spans="1:14">
      <c r="A264" s="9" t="s">
        <v>503</v>
      </c>
      <c r="B264" s="8">
        <v>12</v>
      </c>
      <c r="C264" s="8" t="s">
        <v>51</v>
      </c>
      <c r="D264" s="8" t="s">
        <v>36</v>
      </c>
      <c r="E264" s="8" t="s">
        <v>504</v>
      </c>
      <c r="F264" s="8">
        <v>392</v>
      </c>
      <c r="G264" s="8">
        <v>132.08000000000001</v>
      </c>
      <c r="H264" s="10">
        <v>19.68</v>
      </c>
      <c r="I264" s="21">
        <f>Table1[[#This Row],[BRUTTO_monthly_bill_eur]]/1.19</f>
        <v>110.99159663865548</v>
      </c>
      <c r="J264" s="21">
        <f>Table1[[#This Row],[monthly_consumption_kwh]]*Table1[[#This Row],[NETTO_procurement_cost_ct_per_kwh]]/100</f>
        <v>77.145600000000002</v>
      </c>
      <c r="K264" s="21">
        <f>Table1[[#This Row],[NETTO_monthly_revenue(€)]]-Table1[[#This Row],[procurement_cost_(€)]]</f>
        <v>33.845996638655478</v>
      </c>
      <c r="L264" s="21">
        <f t="shared" si="12"/>
        <v>8.6341828159835412</v>
      </c>
      <c r="M264" s="21" t="str">
        <f t="shared" si="13"/>
        <v>01.09.2024</v>
      </c>
      <c r="N264" s="21">
        <f t="shared" si="14"/>
        <v>110.99159663865548</v>
      </c>
    </row>
    <row r="265" spans="1:14">
      <c r="A265" s="9" t="s">
        <v>505</v>
      </c>
      <c r="B265" s="8">
        <v>12</v>
      </c>
      <c r="C265" s="8" t="s">
        <v>35</v>
      </c>
      <c r="D265" s="8" t="s">
        <v>46</v>
      </c>
      <c r="E265" s="8" t="s">
        <v>199</v>
      </c>
      <c r="F265" s="8">
        <v>258</v>
      </c>
      <c r="G265" s="8">
        <v>95.84</v>
      </c>
      <c r="H265" s="10">
        <v>24.4</v>
      </c>
      <c r="I265" s="21">
        <f>Table1[[#This Row],[BRUTTO_monthly_bill_eur]]/1.19</f>
        <v>80.537815126050432</v>
      </c>
      <c r="J265" s="21">
        <f>Table1[[#This Row],[monthly_consumption_kwh]]*Table1[[#This Row],[NETTO_procurement_cost_ct_per_kwh]]/100</f>
        <v>62.951999999999998</v>
      </c>
      <c r="K265" s="21">
        <f>Table1[[#This Row],[NETTO_monthly_revenue(€)]]-Table1[[#This Row],[procurement_cost_(€)]]</f>
        <v>17.585815126050434</v>
      </c>
      <c r="L265" s="21">
        <f t="shared" si="12"/>
        <v>6.8162074131978434</v>
      </c>
      <c r="M265" s="21" t="str">
        <f t="shared" si="13"/>
        <v>28.09.2024</v>
      </c>
      <c r="N265" s="21">
        <f t="shared" si="14"/>
        <v>80.537815126050432</v>
      </c>
    </row>
    <row r="266" spans="1:14">
      <c r="A266" s="9" t="s">
        <v>506</v>
      </c>
      <c r="B266" s="8">
        <v>24</v>
      </c>
      <c r="C266" s="8" t="s">
        <v>35</v>
      </c>
      <c r="D266" s="8" t="s">
        <v>46</v>
      </c>
      <c r="E266" s="8" t="s">
        <v>193</v>
      </c>
      <c r="F266" s="8">
        <v>330</v>
      </c>
      <c r="G266" s="8">
        <v>127.01</v>
      </c>
      <c r="H266" s="10">
        <v>22.72</v>
      </c>
      <c r="I266" s="21">
        <f>Table1[[#This Row],[BRUTTO_monthly_bill_eur]]/1.19</f>
        <v>106.73109243697481</v>
      </c>
      <c r="J266" s="21">
        <f>Table1[[#This Row],[monthly_consumption_kwh]]*Table1[[#This Row],[NETTO_procurement_cost_ct_per_kwh]]/100</f>
        <v>74.975999999999999</v>
      </c>
      <c r="K266" s="21">
        <f>Table1[[#This Row],[NETTO_monthly_revenue(€)]]-Table1[[#This Row],[procurement_cost_(€)]]</f>
        <v>31.755092436974806</v>
      </c>
      <c r="L266" s="21">
        <f t="shared" si="12"/>
        <v>9.6227552839317596</v>
      </c>
      <c r="M266" s="21" t="str">
        <f t="shared" si="13"/>
        <v>09.02.2025</v>
      </c>
      <c r="N266" s="21">
        <f t="shared" si="14"/>
        <v>106.73109243697481</v>
      </c>
    </row>
    <row r="267" spans="1:14">
      <c r="A267" s="9" t="s">
        <v>507</v>
      </c>
      <c r="B267" s="8">
        <v>24</v>
      </c>
      <c r="C267" s="8" t="s">
        <v>35</v>
      </c>
      <c r="D267" s="8" t="s">
        <v>36</v>
      </c>
      <c r="E267" s="8" t="s">
        <v>508</v>
      </c>
      <c r="F267" s="8">
        <v>323</v>
      </c>
      <c r="G267" s="8">
        <v>118.46</v>
      </c>
      <c r="H267" s="10">
        <v>24.82</v>
      </c>
      <c r="I267" s="21">
        <f>Table1[[#This Row],[BRUTTO_monthly_bill_eur]]/1.19</f>
        <v>99.546218487394952</v>
      </c>
      <c r="J267" s="21">
        <f>Table1[[#This Row],[monthly_consumption_kwh]]*Table1[[#This Row],[NETTO_procurement_cost_ct_per_kwh]]/100</f>
        <v>80.168599999999998</v>
      </c>
      <c r="K267" s="21">
        <f>Table1[[#This Row],[NETTO_monthly_revenue(€)]]-Table1[[#This Row],[procurement_cost_(€)]]</f>
        <v>19.377618487394955</v>
      </c>
      <c r="L267" s="21">
        <f t="shared" si="12"/>
        <v>5.9992626895959615</v>
      </c>
      <c r="M267" s="21" t="str">
        <f t="shared" si="13"/>
        <v>14.05.2024</v>
      </c>
      <c r="N267" s="21">
        <f t="shared" si="14"/>
        <v>99.546218487394952</v>
      </c>
    </row>
    <row r="268" spans="1:14">
      <c r="A268" s="9" t="s">
        <v>509</v>
      </c>
      <c r="B268" s="8">
        <v>24</v>
      </c>
      <c r="C268" s="8" t="s">
        <v>39</v>
      </c>
      <c r="D268" s="8" t="s">
        <v>36</v>
      </c>
      <c r="E268" s="8" t="s">
        <v>510</v>
      </c>
      <c r="F268" s="8">
        <v>87</v>
      </c>
      <c r="G268" s="8">
        <v>42.64</v>
      </c>
      <c r="H268" s="10">
        <v>29.82</v>
      </c>
      <c r="I268" s="21">
        <f>Table1[[#This Row],[BRUTTO_monthly_bill_eur]]/1.19</f>
        <v>35.831932773109244</v>
      </c>
      <c r="J268" s="21">
        <f>Table1[[#This Row],[monthly_consumption_kwh]]*Table1[[#This Row],[NETTO_procurement_cost_ct_per_kwh]]/100</f>
        <v>25.9434</v>
      </c>
      <c r="K268" s="21">
        <f>Table1[[#This Row],[NETTO_monthly_revenue(€)]]-Table1[[#This Row],[procurement_cost_(€)]]</f>
        <v>9.8885327731092438</v>
      </c>
      <c r="L268" s="21">
        <f t="shared" si="12"/>
        <v>11.366129624263499</v>
      </c>
      <c r="M268" s="21" t="str">
        <f t="shared" si="13"/>
        <v>03.11.2024</v>
      </c>
      <c r="N268" s="21">
        <f t="shared" si="14"/>
        <v>35.831932773109244</v>
      </c>
    </row>
    <row r="269" spans="1:14">
      <c r="A269" s="9" t="s">
        <v>511</v>
      </c>
      <c r="B269" s="8">
        <v>24</v>
      </c>
      <c r="C269" s="8" t="s">
        <v>39</v>
      </c>
      <c r="D269" s="8" t="s">
        <v>46</v>
      </c>
      <c r="E269" s="8" t="s">
        <v>512</v>
      </c>
      <c r="F269" s="8">
        <v>97</v>
      </c>
      <c r="G269" s="8">
        <v>43.59</v>
      </c>
      <c r="H269" s="10">
        <v>30.67</v>
      </c>
      <c r="I269" s="21">
        <f>Table1[[#This Row],[BRUTTO_monthly_bill_eur]]/1.19</f>
        <v>36.630252100840337</v>
      </c>
      <c r="J269" s="21">
        <f>Table1[[#This Row],[monthly_consumption_kwh]]*Table1[[#This Row],[NETTO_procurement_cost_ct_per_kwh]]/100</f>
        <v>29.749900000000004</v>
      </c>
      <c r="K269" s="21">
        <f>Table1[[#This Row],[NETTO_monthly_revenue(€)]]-Table1[[#This Row],[procurement_cost_(€)]]</f>
        <v>6.8803521008403337</v>
      </c>
      <c r="L269" s="21">
        <f t="shared" si="12"/>
        <v>7.0931464957116841</v>
      </c>
      <c r="M269" s="21" t="str">
        <f t="shared" si="13"/>
        <v>13.04.2025</v>
      </c>
      <c r="N269" s="21">
        <f t="shared" si="14"/>
        <v>36.630252100840337</v>
      </c>
    </row>
    <row r="270" spans="1:14">
      <c r="A270" s="9" t="s">
        <v>513</v>
      </c>
      <c r="B270" s="8">
        <v>12</v>
      </c>
      <c r="C270" s="8" t="s">
        <v>35</v>
      </c>
      <c r="D270" s="8" t="s">
        <v>46</v>
      </c>
      <c r="E270" s="8" t="s">
        <v>177</v>
      </c>
      <c r="F270" s="8">
        <v>189</v>
      </c>
      <c r="G270" s="8">
        <v>78.95</v>
      </c>
      <c r="H270" s="10">
        <v>25.35</v>
      </c>
      <c r="I270" s="21">
        <f>Table1[[#This Row],[BRUTTO_monthly_bill_eur]]/1.19</f>
        <v>66.34453781512606</v>
      </c>
      <c r="J270" s="21">
        <f>Table1[[#This Row],[monthly_consumption_kwh]]*Table1[[#This Row],[NETTO_procurement_cost_ct_per_kwh]]/100</f>
        <v>47.911500000000004</v>
      </c>
      <c r="K270" s="21">
        <f>Table1[[#This Row],[NETTO_monthly_revenue(€)]]-Table1[[#This Row],[procurement_cost_(€)]]</f>
        <v>18.433037815126056</v>
      </c>
      <c r="L270" s="21">
        <f t="shared" si="12"/>
        <v>9.7529300609132576</v>
      </c>
      <c r="M270" s="21" t="str">
        <f t="shared" si="13"/>
        <v>19.11.2024</v>
      </c>
      <c r="N270" s="21">
        <f t="shared" si="14"/>
        <v>66.34453781512606</v>
      </c>
    </row>
    <row r="271" spans="1:14">
      <c r="A271" s="9" t="s">
        <v>514</v>
      </c>
      <c r="B271" s="8">
        <v>12</v>
      </c>
      <c r="C271" s="8" t="s">
        <v>39</v>
      </c>
      <c r="D271" s="8" t="s">
        <v>36</v>
      </c>
      <c r="E271" s="8" t="s">
        <v>515</v>
      </c>
      <c r="F271" s="8">
        <v>144</v>
      </c>
      <c r="G271" s="8">
        <v>62.39</v>
      </c>
      <c r="H271" s="10">
        <v>28.68</v>
      </c>
      <c r="I271" s="21">
        <f>Table1[[#This Row],[BRUTTO_monthly_bill_eur]]/1.19</f>
        <v>52.428571428571431</v>
      </c>
      <c r="J271" s="21">
        <f>Table1[[#This Row],[monthly_consumption_kwh]]*Table1[[#This Row],[NETTO_procurement_cost_ct_per_kwh]]/100</f>
        <v>41.299199999999999</v>
      </c>
      <c r="K271" s="21">
        <f>Table1[[#This Row],[NETTO_monthly_revenue(€)]]-Table1[[#This Row],[procurement_cost_(€)]]</f>
        <v>11.129371428571432</v>
      </c>
      <c r="L271" s="21">
        <f t="shared" si="12"/>
        <v>7.7287301587301611</v>
      </c>
      <c r="M271" s="21" t="str">
        <f t="shared" si="13"/>
        <v>15.03.2024</v>
      </c>
      <c r="N271" s="21">
        <f t="shared" si="14"/>
        <v>52.428571428571431</v>
      </c>
    </row>
    <row r="272" spans="1:14">
      <c r="A272" s="9" t="s">
        <v>516</v>
      </c>
      <c r="B272" s="8">
        <v>24</v>
      </c>
      <c r="C272" s="8" t="s">
        <v>39</v>
      </c>
      <c r="D272" s="8" t="s">
        <v>46</v>
      </c>
      <c r="E272" s="8" t="s">
        <v>517</v>
      </c>
      <c r="F272" s="8">
        <v>152</v>
      </c>
      <c r="G272" s="8">
        <v>66.22</v>
      </c>
      <c r="H272" s="10">
        <v>28.08</v>
      </c>
      <c r="I272" s="21">
        <f>Table1[[#This Row],[BRUTTO_monthly_bill_eur]]/1.19</f>
        <v>55.647058823529413</v>
      </c>
      <c r="J272" s="21">
        <f>Table1[[#This Row],[monthly_consumption_kwh]]*Table1[[#This Row],[NETTO_procurement_cost_ct_per_kwh]]/100</f>
        <v>42.681599999999996</v>
      </c>
      <c r="K272" s="21">
        <f>Table1[[#This Row],[NETTO_monthly_revenue(€)]]-Table1[[#This Row],[procurement_cost_(€)]]</f>
        <v>12.965458823529417</v>
      </c>
      <c r="L272" s="21">
        <f t="shared" si="12"/>
        <v>8.5299071207430366</v>
      </c>
      <c r="M272" s="21" t="str">
        <f t="shared" si="13"/>
        <v>10.01.2024</v>
      </c>
      <c r="N272" s="21">
        <f t="shared" si="14"/>
        <v>55.647058823529413</v>
      </c>
    </row>
    <row r="273" spans="1:14">
      <c r="A273" s="9" t="s">
        <v>518</v>
      </c>
      <c r="B273" s="8">
        <v>24</v>
      </c>
      <c r="C273" s="8" t="s">
        <v>39</v>
      </c>
      <c r="D273" s="8" t="s">
        <v>36</v>
      </c>
      <c r="E273" s="8" t="s">
        <v>195</v>
      </c>
      <c r="F273" s="8">
        <v>101</v>
      </c>
      <c r="G273" s="8">
        <v>50.1</v>
      </c>
      <c r="H273" s="10">
        <v>31.12</v>
      </c>
      <c r="I273" s="21">
        <f>Table1[[#This Row],[BRUTTO_monthly_bill_eur]]/1.19</f>
        <v>42.100840336134453</v>
      </c>
      <c r="J273" s="21">
        <f>Table1[[#This Row],[monthly_consumption_kwh]]*Table1[[#This Row],[NETTO_procurement_cost_ct_per_kwh]]/100</f>
        <v>31.4312</v>
      </c>
      <c r="K273" s="21">
        <f>Table1[[#This Row],[NETTO_monthly_revenue(€)]]-Table1[[#This Row],[procurement_cost_(€)]]</f>
        <v>10.669640336134453</v>
      </c>
      <c r="L273" s="21">
        <f t="shared" si="12"/>
        <v>10.564000332806389</v>
      </c>
      <c r="M273" s="21" t="str">
        <f t="shared" si="13"/>
        <v>14.04.2025</v>
      </c>
      <c r="N273" s="21">
        <f t="shared" si="14"/>
        <v>42.100840336134453</v>
      </c>
    </row>
    <row r="274" spans="1:14">
      <c r="A274" s="9" t="s">
        <v>519</v>
      </c>
      <c r="B274" s="8">
        <v>24</v>
      </c>
      <c r="C274" s="8" t="s">
        <v>39</v>
      </c>
      <c r="D274" s="8" t="s">
        <v>46</v>
      </c>
      <c r="E274" s="8" t="s">
        <v>520</v>
      </c>
      <c r="F274" s="8">
        <v>126</v>
      </c>
      <c r="G274" s="8">
        <v>54.32</v>
      </c>
      <c r="H274" s="10">
        <v>30.44</v>
      </c>
      <c r="I274" s="21">
        <f>Table1[[#This Row],[BRUTTO_monthly_bill_eur]]/1.19</f>
        <v>45.647058823529413</v>
      </c>
      <c r="J274" s="21">
        <f>Table1[[#This Row],[monthly_consumption_kwh]]*Table1[[#This Row],[NETTO_procurement_cost_ct_per_kwh]]/100</f>
        <v>38.354399999999998</v>
      </c>
      <c r="K274" s="21">
        <f>Table1[[#This Row],[NETTO_monthly_revenue(€)]]-Table1[[#This Row],[procurement_cost_(€)]]</f>
        <v>7.2926588235294147</v>
      </c>
      <c r="L274" s="21">
        <f t="shared" si="12"/>
        <v>5.7878244631185831</v>
      </c>
      <c r="M274" s="21" t="str">
        <f t="shared" si="13"/>
        <v>12.04.2024</v>
      </c>
      <c r="N274" s="21">
        <f t="shared" si="14"/>
        <v>45.647058823529413</v>
      </c>
    </row>
    <row r="275" spans="1:14">
      <c r="A275" s="9" t="s">
        <v>521</v>
      </c>
      <c r="B275" s="8">
        <v>24</v>
      </c>
      <c r="C275" s="8" t="s">
        <v>39</v>
      </c>
      <c r="D275" s="8" t="s">
        <v>36</v>
      </c>
      <c r="E275" s="8" t="s">
        <v>522</v>
      </c>
      <c r="F275" s="8">
        <v>154</v>
      </c>
      <c r="G275" s="8">
        <v>63.72</v>
      </c>
      <c r="H275" s="10">
        <v>30.8</v>
      </c>
      <c r="I275" s="21">
        <f>Table1[[#This Row],[BRUTTO_monthly_bill_eur]]/1.19</f>
        <v>53.54621848739496</v>
      </c>
      <c r="J275" s="21">
        <f>Table1[[#This Row],[monthly_consumption_kwh]]*Table1[[#This Row],[NETTO_procurement_cost_ct_per_kwh]]/100</f>
        <v>47.431999999999995</v>
      </c>
      <c r="K275" s="21">
        <f>Table1[[#This Row],[NETTO_monthly_revenue(€)]]-Table1[[#This Row],[procurement_cost_(€)]]</f>
        <v>6.1142184873949645</v>
      </c>
      <c r="L275" s="21">
        <f t="shared" si="12"/>
        <v>3.9702717450616651</v>
      </c>
      <c r="M275" s="21" t="str">
        <f t="shared" si="13"/>
        <v>16.03.2024</v>
      </c>
      <c r="N275" s="21">
        <f t="shared" si="14"/>
        <v>53.54621848739496</v>
      </c>
    </row>
    <row r="276" spans="1:14">
      <c r="A276" s="9" t="s">
        <v>523</v>
      </c>
      <c r="B276" s="8">
        <v>12</v>
      </c>
      <c r="C276" s="8" t="s">
        <v>51</v>
      </c>
      <c r="D276" s="8" t="s">
        <v>56</v>
      </c>
      <c r="E276" s="8" t="s">
        <v>436</v>
      </c>
      <c r="F276" s="8">
        <v>578</v>
      </c>
      <c r="G276" s="8">
        <v>195.05</v>
      </c>
      <c r="H276" s="10">
        <v>20.69</v>
      </c>
      <c r="I276" s="21">
        <f>Table1[[#This Row],[BRUTTO_monthly_bill_eur]]/1.19</f>
        <v>163.9075630252101</v>
      </c>
      <c r="J276" s="21">
        <f>Table1[[#This Row],[monthly_consumption_kwh]]*Table1[[#This Row],[NETTO_procurement_cost_ct_per_kwh]]/100</f>
        <v>119.58820000000001</v>
      </c>
      <c r="K276" s="21">
        <f>Table1[[#This Row],[NETTO_monthly_revenue(€)]]-Table1[[#This Row],[procurement_cost_(€)]]</f>
        <v>44.31936302521008</v>
      </c>
      <c r="L276" s="21">
        <f t="shared" si="12"/>
        <v>7.6677098659533014</v>
      </c>
      <c r="M276" s="21" t="str">
        <f t="shared" si="13"/>
        <v>06.08.2024</v>
      </c>
      <c r="N276" s="21">
        <f t="shared" si="14"/>
        <v>163.9075630252101</v>
      </c>
    </row>
    <row r="277" spans="1:14">
      <c r="A277" s="9" t="s">
        <v>524</v>
      </c>
      <c r="B277" s="8">
        <v>12</v>
      </c>
      <c r="C277" s="8" t="s">
        <v>35</v>
      </c>
      <c r="D277" s="8" t="s">
        <v>36</v>
      </c>
      <c r="E277" s="8" t="s">
        <v>525</v>
      </c>
      <c r="F277" s="8">
        <v>257</v>
      </c>
      <c r="G277" s="8">
        <v>98.38</v>
      </c>
      <c r="H277" s="10">
        <v>25.21</v>
      </c>
      <c r="I277" s="21">
        <f>Table1[[#This Row],[BRUTTO_monthly_bill_eur]]/1.19</f>
        <v>82.672268907563023</v>
      </c>
      <c r="J277" s="21">
        <f>Table1[[#This Row],[monthly_consumption_kwh]]*Table1[[#This Row],[NETTO_procurement_cost_ct_per_kwh]]/100</f>
        <v>64.789699999999996</v>
      </c>
      <c r="K277" s="21">
        <f>Table1[[#This Row],[NETTO_monthly_revenue(€)]]-Table1[[#This Row],[procurement_cost_(€)]]</f>
        <v>17.882568907563027</v>
      </c>
      <c r="L277" s="21">
        <f t="shared" si="12"/>
        <v>6.958198018507014</v>
      </c>
      <c r="M277" s="21" t="str">
        <f t="shared" si="13"/>
        <v>02.06.2025</v>
      </c>
      <c r="N277" s="21">
        <f t="shared" si="14"/>
        <v>82.672268907563023</v>
      </c>
    </row>
    <row r="278" spans="1:14">
      <c r="A278" s="9" t="s">
        <v>526</v>
      </c>
      <c r="B278" s="8">
        <v>24</v>
      </c>
      <c r="C278" s="8" t="s">
        <v>35</v>
      </c>
      <c r="D278" s="8" t="s">
        <v>36</v>
      </c>
      <c r="E278" s="8" t="s">
        <v>199</v>
      </c>
      <c r="F278" s="8">
        <v>265</v>
      </c>
      <c r="G278" s="8">
        <v>101.38</v>
      </c>
      <c r="H278" s="10">
        <v>25.84</v>
      </c>
      <c r="I278" s="21">
        <f>Table1[[#This Row],[BRUTTO_monthly_bill_eur]]/1.19</f>
        <v>85.193277310924373</v>
      </c>
      <c r="J278" s="21">
        <f>Table1[[#This Row],[monthly_consumption_kwh]]*Table1[[#This Row],[NETTO_procurement_cost_ct_per_kwh]]/100</f>
        <v>68.475999999999999</v>
      </c>
      <c r="K278" s="21">
        <f>Table1[[#This Row],[NETTO_monthly_revenue(€)]]-Table1[[#This Row],[procurement_cost_(€)]]</f>
        <v>16.717277310924374</v>
      </c>
      <c r="L278" s="21">
        <f t="shared" si="12"/>
        <v>6.3084065324242919</v>
      </c>
      <c r="M278" s="21" t="str">
        <f t="shared" si="13"/>
        <v>28.09.2024</v>
      </c>
      <c r="N278" s="21">
        <f t="shared" si="14"/>
        <v>85.193277310924373</v>
      </c>
    </row>
    <row r="279" spans="1:14">
      <c r="A279" s="9" t="s">
        <v>527</v>
      </c>
      <c r="B279" s="8">
        <v>24</v>
      </c>
      <c r="C279" s="8" t="s">
        <v>35</v>
      </c>
      <c r="D279" s="8" t="s">
        <v>36</v>
      </c>
      <c r="E279" s="8" t="s">
        <v>367</v>
      </c>
      <c r="F279" s="8">
        <v>251</v>
      </c>
      <c r="G279" s="8">
        <v>94.45</v>
      </c>
      <c r="H279" s="10">
        <v>24.14</v>
      </c>
      <c r="I279" s="21">
        <f>Table1[[#This Row],[BRUTTO_monthly_bill_eur]]/1.19</f>
        <v>79.369747899159677</v>
      </c>
      <c r="J279" s="21">
        <f>Table1[[#This Row],[monthly_consumption_kwh]]*Table1[[#This Row],[NETTO_procurement_cost_ct_per_kwh]]/100</f>
        <v>60.5914</v>
      </c>
      <c r="K279" s="21">
        <f>Table1[[#This Row],[NETTO_monthly_revenue(€)]]-Table1[[#This Row],[procurement_cost_(€)]]</f>
        <v>18.778347899159677</v>
      </c>
      <c r="L279" s="21">
        <f t="shared" si="12"/>
        <v>7.4814135056413056</v>
      </c>
      <c r="M279" s="21" t="str">
        <f t="shared" si="13"/>
        <v>15.05.2024</v>
      </c>
      <c r="N279" s="21">
        <f t="shared" si="14"/>
        <v>79.369747899159677</v>
      </c>
    </row>
    <row r="280" spans="1:14">
      <c r="A280" s="9" t="s">
        <v>528</v>
      </c>
      <c r="B280" s="8">
        <v>24</v>
      </c>
      <c r="C280" s="8" t="s">
        <v>39</v>
      </c>
      <c r="D280" s="8" t="s">
        <v>36</v>
      </c>
      <c r="E280" s="8" t="s">
        <v>529</v>
      </c>
      <c r="F280" s="8">
        <v>108</v>
      </c>
      <c r="G280" s="8">
        <v>48.29</v>
      </c>
      <c r="H280" s="10">
        <v>29.95</v>
      </c>
      <c r="I280" s="21">
        <f>Table1[[#This Row],[BRUTTO_monthly_bill_eur]]/1.19</f>
        <v>40.579831932773111</v>
      </c>
      <c r="J280" s="21">
        <f>Table1[[#This Row],[monthly_consumption_kwh]]*Table1[[#This Row],[NETTO_procurement_cost_ct_per_kwh]]/100</f>
        <v>32.345999999999997</v>
      </c>
      <c r="K280" s="21">
        <f>Table1[[#This Row],[NETTO_monthly_revenue(€)]]-Table1[[#This Row],[procurement_cost_(€)]]</f>
        <v>8.2338319327731142</v>
      </c>
      <c r="L280" s="21">
        <f t="shared" si="12"/>
        <v>7.6239184562714017</v>
      </c>
      <c r="M280" s="21" t="str">
        <f t="shared" si="13"/>
        <v>23.12.2024</v>
      </c>
      <c r="N280" s="21">
        <f t="shared" si="14"/>
        <v>40.579831932773111</v>
      </c>
    </row>
    <row r="281" spans="1:14">
      <c r="A281" s="9" t="s">
        <v>530</v>
      </c>
      <c r="B281" s="8">
        <v>24</v>
      </c>
      <c r="C281" s="8" t="s">
        <v>51</v>
      </c>
      <c r="D281" s="8" t="s">
        <v>36</v>
      </c>
      <c r="E281" s="8" t="s">
        <v>300</v>
      </c>
      <c r="F281" s="8">
        <v>522</v>
      </c>
      <c r="G281" s="8">
        <v>174.1</v>
      </c>
      <c r="H281" s="10">
        <v>18.510000000000002</v>
      </c>
      <c r="I281" s="21">
        <f>Table1[[#This Row],[BRUTTO_monthly_bill_eur]]/1.19</f>
        <v>146.30252100840337</v>
      </c>
      <c r="J281" s="21">
        <f>Table1[[#This Row],[monthly_consumption_kwh]]*Table1[[#This Row],[NETTO_procurement_cost_ct_per_kwh]]/100</f>
        <v>96.622200000000007</v>
      </c>
      <c r="K281" s="21">
        <f>Table1[[#This Row],[NETTO_monthly_revenue(€)]]-Table1[[#This Row],[procurement_cost_(€)]]</f>
        <v>49.680321008403368</v>
      </c>
      <c r="L281" s="21">
        <f t="shared" si="12"/>
        <v>9.5173028751730584</v>
      </c>
      <c r="M281" s="21" t="str">
        <f t="shared" si="13"/>
        <v>11.03.2024</v>
      </c>
      <c r="N281" s="21">
        <f t="shared" si="14"/>
        <v>146.30252100840337</v>
      </c>
    </row>
    <row r="282" spans="1:14">
      <c r="A282" s="9" t="s">
        <v>531</v>
      </c>
      <c r="B282" s="8">
        <v>24</v>
      </c>
      <c r="C282" s="8" t="s">
        <v>51</v>
      </c>
      <c r="D282" s="8" t="s">
        <v>36</v>
      </c>
      <c r="E282" s="8" t="s">
        <v>44</v>
      </c>
      <c r="F282" s="8">
        <v>563</v>
      </c>
      <c r="G282" s="8">
        <v>180.68</v>
      </c>
      <c r="H282" s="10">
        <v>17.27</v>
      </c>
      <c r="I282" s="21">
        <f>Table1[[#This Row],[BRUTTO_monthly_bill_eur]]/1.19</f>
        <v>151.83193277310926</v>
      </c>
      <c r="J282" s="21">
        <f>Table1[[#This Row],[monthly_consumption_kwh]]*Table1[[#This Row],[NETTO_procurement_cost_ct_per_kwh]]/100</f>
        <v>97.230100000000007</v>
      </c>
      <c r="K282" s="21">
        <f>Table1[[#This Row],[NETTO_monthly_revenue(€)]]-Table1[[#This Row],[procurement_cost_(€)]]</f>
        <v>54.601832773109251</v>
      </c>
      <c r="L282" s="21">
        <f t="shared" si="12"/>
        <v>9.6983717181366345</v>
      </c>
      <c r="M282" s="21" t="str">
        <f t="shared" si="13"/>
        <v>07.09.2024</v>
      </c>
      <c r="N282" s="21">
        <f t="shared" si="14"/>
        <v>151.83193277310926</v>
      </c>
    </row>
    <row r="283" spans="1:14">
      <c r="A283" s="9" t="s">
        <v>532</v>
      </c>
      <c r="B283" s="8">
        <v>12</v>
      </c>
      <c r="C283" s="8" t="s">
        <v>39</v>
      </c>
      <c r="D283" s="8" t="s">
        <v>56</v>
      </c>
      <c r="E283" s="8" t="s">
        <v>533</v>
      </c>
      <c r="F283" s="8">
        <v>156</v>
      </c>
      <c r="G283" s="8">
        <v>66.23</v>
      </c>
      <c r="H283" s="10">
        <v>30.29</v>
      </c>
      <c r="I283" s="21">
        <f>Table1[[#This Row],[BRUTTO_monthly_bill_eur]]/1.19</f>
        <v>55.655462184873954</v>
      </c>
      <c r="J283" s="21">
        <f>Table1[[#This Row],[monthly_consumption_kwh]]*Table1[[#This Row],[NETTO_procurement_cost_ct_per_kwh]]/100</f>
        <v>47.252399999999994</v>
      </c>
      <c r="K283" s="21">
        <f>Table1[[#This Row],[NETTO_monthly_revenue(€)]]-Table1[[#This Row],[procurement_cost_(€)]]</f>
        <v>8.4030621848739599</v>
      </c>
      <c r="L283" s="21">
        <f t="shared" si="12"/>
        <v>5.3865783236371545</v>
      </c>
      <c r="M283" s="21" t="str">
        <f t="shared" si="13"/>
        <v>13.01.2025</v>
      </c>
      <c r="N283" s="21">
        <f t="shared" si="14"/>
        <v>55.655462184873954</v>
      </c>
    </row>
    <row r="284" spans="1:14">
      <c r="A284" s="9" t="s">
        <v>534</v>
      </c>
      <c r="B284" s="8">
        <v>12</v>
      </c>
      <c r="C284" s="8" t="s">
        <v>35</v>
      </c>
      <c r="D284" s="8" t="s">
        <v>36</v>
      </c>
      <c r="E284" s="8" t="s">
        <v>535</v>
      </c>
      <c r="F284" s="8">
        <v>273</v>
      </c>
      <c r="G284" s="8">
        <v>101.51</v>
      </c>
      <c r="H284" s="10">
        <v>23.11</v>
      </c>
      <c r="I284" s="21">
        <f>Table1[[#This Row],[BRUTTO_monthly_bill_eur]]/1.19</f>
        <v>85.302521008403374</v>
      </c>
      <c r="J284" s="21">
        <f>Table1[[#This Row],[monthly_consumption_kwh]]*Table1[[#This Row],[NETTO_procurement_cost_ct_per_kwh]]/100</f>
        <v>63.090299999999999</v>
      </c>
      <c r="K284" s="21">
        <f>Table1[[#This Row],[NETTO_monthly_revenue(€)]]-Table1[[#This Row],[procurement_cost_(€)]]</f>
        <v>22.212221008403375</v>
      </c>
      <c r="L284" s="21">
        <f t="shared" si="12"/>
        <v>8.1363446917228472</v>
      </c>
      <c r="M284" s="21" t="str">
        <f t="shared" si="13"/>
        <v>18.10.2024</v>
      </c>
      <c r="N284" s="21">
        <f t="shared" si="14"/>
        <v>85.302521008403374</v>
      </c>
    </row>
    <row r="285" spans="1:14">
      <c r="A285" s="9" t="s">
        <v>536</v>
      </c>
      <c r="B285" s="8">
        <v>12</v>
      </c>
      <c r="C285" s="8" t="s">
        <v>51</v>
      </c>
      <c r="D285" s="8" t="s">
        <v>36</v>
      </c>
      <c r="E285" s="8" t="s">
        <v>537</v>
      </c>
      <c r="F285" s="8">
        <v>587</v>
      </c>
      <c r="G285" s="8">
        <v>183.12</v>
      </c>
      <c r="H285" s="10">
        <v>23.11</v>
      </c>
      <c r="I285" s="21">
        <f>Table1[[#This Row],[BRUTTO_monthly_bill_eur]]/1.19</f>
        <v>153.88235294117649</v>
      </c>
      <c r="J285" s="21">
        <f>Table1[[#This Row],[monthly_consumption_kwh]]*Table1[[#This Row],[NETTO_procurement_cost_ct_per_kwh]]/100</f>
        <v>135.6557</v>
      </c>
      <c r="K285" s="21">
        <f>Table1[[#This Row],[NETTO_monthly_revenue(€)]]-Table1[[#This Row],[procurement_cost_(€)]]</f>
        <v>18.226652941176496</v>
      </c>
      <c r="L285" s="21">
        <f t="shared" si="12"/>
        <v>3.1050516083775972</v>
      </c>
      <c r="M285" s="21" t="str">
        <f t="shared" si="13"/>
        <v>2024-06</v>
      </c>
      <c r="N285" s="21">
        <f t="shared" si="14"/>
        <v>153.88235294117649</v>
      </c>
    </row>
    <row r="286" spans="1:14">
      <c r="A286" s="9" t="s">
        <v>538</v>
      </c>
      <c r="B286" s="8">
        <v>24</v>
      </c>
      <c r="C286" s="8" t="s">
        <v>51</v>
      </c>
      <c r="D286" s="8" t="s">
        <v>36</v>
      </c>
      <c r="E286" s="8" t="s">
        <v>539</v>
      </c>
      <c r="F286" s="8">
        <v>386</v>
      </c>
      <c r="G286" s="8">
        <v>133.07</v>
      </c>
      <c r="H286" s="10">
        <v>19.420000000000002</v>
      </c>
      <c r="I286" s="21">
        <f>Table1[[#This Row],[BRUTTO_monthly_bill_eur]]/1.19</f>
        <v>111.82352941176471</v>
      </c>
      <c r="J286" s="21">
        <f>Table1[[#This Row],[monthly_consumption_kwh]]*Table1[[#This Row],[NETTO_procurement_cost_ct_per_kwh]]/100</f>
        <v>74.961200000000005</v>
      </c>
      <c r="K286" s="21">
        <f>Table1[[#This Row],[NETTO_monthly_revenue(€)]]-Table1[[#This Row],[procurement_cost_(€)]]</f>
        <v>36.862329411764705</v>
      </c>
      <c r="L286" s="21">
        <f t="shared" si="12"/>
        <v>9.5498262724779028</v>
      </c>
      <c r="M286" s="21" t="str">
        <f t="shared" si="13"/>
        <v>24.03.2025</v>
      </c>
      <c r="N286" s="21">
        <f t="shared" si="14"/>
        <v>111.82352941176471</v>
      </c>
    </row>
    <row r="287" spans="1:14">
      <c r="A287" s="9" t="s">
        <v>540</v>
      </c>
      <c r="B287" s="8">
        <v>12</v>
      </c>
      <c r="C287" s="8" t="s">
        <v>35</v>
      </c>
      <c r="D287" s="8" t="s">
        <v>36</v>
      </c>
      <c r="E287" s="8" t="s">
        <v>541</v>
      </c>
      <c r="F287" s="8">
        <v>244</v>
      </c>
      <c r="G287" s="8">
        <v>93.93</v>
      </c>
      <c r="H287" s="10">
        <v>24.37</v>
      </c>
      <c r="I287" s="21">
        <f>Table1[[#This Row],[BRUTTO_monthly_bill_eur]]/1.19</f>
        <v>78.932773109243712</v>
      </c>
      <c r="J287" s="21">
        <f>Table1[[#This Row],[monthly_consumption_kwh]]*Table1[[#This Row],[NETTO_procurement_cost_ct_per_kwh]]/100</f>
        <v>59.462800000000009</v>
      </c>
      <c r="K287" s="21">
        <f>Table1[[#This Row],[NETTO_monthly_revenue(€)]]-Table1[[#This Row],[procurement_cost_(€)]]</f>
        <v>19.469973109243703</v>
      </c>
      <c r="L287" s="21">
        <f t="shared" si="12"/>
        <v>7.9794971759195503</v>
      </c>
      <c r="M287" s="21" t="str">
        <f t="shared" si="13"/>
        <v>05.11.2024</v>
      </c>
      <c r="N287" s="21">
        <f t="shared" si="14"/>
        <v>78.932773109243712</v>
      </c>
    </row>
    <row r="288" spans="1:14">
      <c r="A288" s="9" t="s">
        <v>542</v>
      </c>
      <c r="B288" s="8">
        <v>12</v>
      </c>
      <c r="C288" s="8" t="s">
        <v>35</v>
      </c>
      <c r="D288" s="8" t="s">
        <v>36</v>
      </c>
      <c r="E288" s="8" t="s">
        <v>236</v>
      </c>
      <c r="F288" s="8">
        <v>168</v>
      </c>
      <c r="G288" s="8">
        <v>71.56</v>
      </c>
      <c r="H288" s="10">
        <v>23.42</v>
      </c>
      <c r="I288" s="21">
        <f>Table1[[#This Row],[BRUTTO_monthly_bill_eur]]/1.19</f>
        <v>60.134453781512612</v>
      </c>
      <c r="J288" s="21">
        <f>Table1[[#This Row],[monthly_consumption_kwh]]*Table1[[#This Row],[NETTO_procurement_cost_ct_per_kwh]]/100</f>
        <v>39.345600000000005</v>
      </c>
      <c r="K288" s="21">
        <f>Table1[[#This Row],[NETTO_monthly_revenue(€)]]-Table1[[#This Row],[procurement_cost_(€)]]</f>
        <v>20.788853781512607</v>
      </c>
      <c r="L288" s="21">
        <f t="shared" si="12"/>
        <v>12.374317727090837</v>
      </c>
      <c r="M288" s="21" t="str">
        <f t="shared" si="13"/>
        <v>25.06.2025</v>
      </c>
      <c r="N288" s="21">
        <f t="shared" si="14"/>
        <v>60.134453781512612</v>
      </c>
    </row>
    <row r="289" spans="1:14">
      <c r="A289" s="9" t="s">
        <v>543</v>
      </c>
      <c r="B289" s="8">
        <v>12</v>
      </c>
      <c r="C289" s="8" t="s">
        <v>39</v>
      </c>
      <c r="D289" s="8" t="s">
        <v>36</v>
      </c>
      <c r="E289" s="8" t="s">
        <v>544</v>
      </c>
      <c r="F289" s="8">
        <v>104</v>
      </c>
      <c r="G289" s="8">
        <v>46.51</v>
      </c>
      <c r="H289" s="10">
        <v>28.21</v>
      </c>
      <c r="I289" s="21">
        <f>Table1[[#This Row],[BRUTTO_monthly_bill_eur]]/1.19</f>
        <v>39.084033613445378</v>
      </c>
      <c r="J289" s="21">
        <f>Table1[[#This Row],[monthly_consumption_kwh]]*Table1[[#This Row],[NETTO_procurement_cost_ct_per_kwh]]/100</f>
        <v>29.3384</v>
      </c>
      <c r="K289" s="21">
        <f>Table1[[#This Row],[NETTO_monthly_revenue(€)]]-Table1[[#This Row],[procurement_cost_(€)]]</f>
        <v>9.7456336134453778</v>
      </c>
      <c r="L289" s="21">
        <f t="shared" si="12"/>
        <v>9.3708015513897855</v>
      </c>
      <c r="M289" s="21" t="str">
        <f t="shared" si="13"/>
        <v>09.01.2024</v>
      </c>
      <c r="N289" s="21">
        <f t="shared" si="14"/>
        <v>39.084033613445378</v>
      </c>
    </row>
    <row r="290" spans="1:14">
      <c r="A290" s="9" t="s">
        <v>545</v>
      </c>
      <c r="B290" s="8">
        <v>12</v>
      </c>
      <c r="C290" s="8" t="s">
        <v>51</v>
      </c>
      <c r="D290" s="8" t="s">
        <v>36</v>
      </c>
      <c r="E290" s="8" t="s">
        <v>546</v>
      </c>
      <c r="F290" s="8">
        <v>576</v>
      </c>
      <c r="G290" s="8">
        <v>187.21</v>
      </c>
      <c r="H290" s="10">
        <v>16.66</v>
      </c>
      <c r="I290" s="21">
        <f>Table1[[#This Row],[BRUTTO_monthly_bill_eur]]/1.19</f>
        <v>157.31932773109244</v>
      </c>
      <c r="J290" s="21">
        <f>Table1[[#This Row],[monthly_consumption_kwh]]*Table1[[#This Row],[NETTO_procurement_cost_ct_per_kwh]]/100</f>
        <v>95.961600000000004</v>
      </c>
      <c r="K290" s="21">
        <f>Table1[[#This Row],[NETTO_monthly_revenue(€)]]-Table1[[#This Row],[procurement_cost_(€)]]</f>
        <v>61.357727731092439</v>
      </c>
      <c r="L290" s="21">
        <f t="shared" si="12"/>
        <v>10.652383286647993</v>
      </c>
      <c r="M290" s="21" t="str">
        <f t="shared" si="13"/>
        <v>02.11.2024</v>
      </c>
      <c r="N290" s="21">
        <f t="shared" si="14"/>
        <v>157.31932773109244</v>
      </c>
    </row>
    <row r="291" spans="1:14">
      <c r="A291" s="9" t="s">
        <v>547</v>
      </c>
      <c r="B291" s="8">
        <v>24</v>
      </c>
      <c r="C291" s="8" t="s">
        <v>39</v>
      </c>
      <c r="D291" s="8" t="s">
        <v>36</v>
      </c>
      <c r="E291" s="8" t="s">
        <v>548</v>
      </c>
      <c r="F291" s="8">
        <v>166</v>
      </c>
      <c r="G291" s="8">
        <v>70.27</v>
      </c>
      <c r="H291" s="10">
        <v>29.69</v>
      </c>
      <c r="I291" s="21">
        <f>Table1[[#This Row],[BRUTTO_monthly_bill_eur]]/1.19</f>
        <v>59.050420168067227</v>
      </c>
      <c r="J291" s="21">
        <f>Table1[[#This Row],[monthly_consumption_kwh]]*Table1[[#This Row],[NETTO_procurement_cost_ct_per_kwh]]/100</f>
        <v>49.285400000000003</v>
      </c>
      <c r="K291" s="21">
        <f>Table1[[#This Row],[NETTO_monthly_revenue(€)]]-Table1[[#This Row],[procurement_cost_(€)]]</f>
        <v>9.7650201680672239</v>
      </c>
      <c r="L291" s="21">
        <f t="shared" si="12"/>
        <v>5.8825422699200143</v>
      </c>
      <c r="M291" s="21" t="str">
        <f t="shared" si="13"/>
        <v>16.04.2024</v>
      </c>
      <c r="N291" s="21">
        <f t="shared" si="14"/>
        <v>59.050420168067227</v>
      </c>
    </row>
    <row r="292" spans="1:14">
      <c r="A292" s="9" t="s">
        <v>549</v>
      </c>
      <c r="B292" s="8">
        <v>12</v>
      </c>
      <c r="C292" s="8" t="s">
        <v>51</v>
      </c>
      <c r="D292" s="8" t="s">
        <v>36</v>
      </c>
      <c r="E292" s="8" t="s">
        <v>550</v>
      </c>
      <c r="F292" s="8">
        <v>366</v>
      </c>
      <c r="G292" s="8">
        <v>123.49</v>
      </c>
      <c r="H292" s="10">
        <v>16.920000000000002</v>
      </c>
      <c r="I292" s="21">
        <f>Table1[[#This Row],[BRUTTO_monthly_bill_eur]]/1.19</f>
        <v>103.77310924369748</v>
      </c>
      <c r="J292" s="21">
        <f>Table1[[#This Row],[monthly_consumption_kwh]]*Table1[[#This Row],[NETTO_procurement_cost_ct_per_kwh]]/100</f>
        <v>61.927199999999999</v>
      </c>
      <c r="K292" s="21">
        <f>Table1[[#This Row],[NETTO_monthly_revenue(€)]]-Table1[[#This Row],[procurement_cost_(€)]]</f>
        <v>41.845909243697477</v>
      </c>
      <c r="L292" s="21">
        <f t="shared" si="12"/>
        <v>11.433308536529365</v>
      </c>
      <c r="M292" s="21" t="str">
        <f t="shared" si="13"/>
        <v>17.05.2024</v>
      </c>
      <c r="N292" s="21">
        <f t="shared" si="14"/>
        <v>103.77310924369748</v>
      </c>
    </row>
    <row r="293" spans="1:14">
      <c r="A293" s="9" t="s">
        <v>551</v>
      </c>
      <c r="B293" s="8">
        <v>12</v>
      </c>
      <c r="C293" s="8" t="s">
        <v>35</v>
      </c>
      <c r="D293" s="8" t="s">
        <v>46</v>
      </c>
      <c r="E293" s="8" t="s">
        <v>108</v>
      </c>
      <c r="F293" s="8">
        <v>234</v>
      </c>
      <c r="G293" s="8">
        <v>84.1</v>
      </c>
      <c r="H293" s="10">
        <v>24.43</v>
      </c>
      <c r="I293" s="21">
        <f>Table1[[#This Row],[BRUTTO_monthly_bill_eur]]/1.19</f>
        <v>70.672268907563023</v>
      </c>
      <c r="J293" s="21">
        <f>Table1[[#This Row],[monthly_consumption_kwh]]*Table1[[#This Row],[NETTO_procurement_cost_ct_per_kwh]]/100</f>
        <v>57.166199999999996</v>
      </c>
      <c r="K293" s="21">
        <f>Table1[[#This Row],[NETTO_monthly_revenue(€)]]-Table1[[#This Row],[procurement_cost_(€)]]</f>
        <v>13.506068907563026</v>
      </c>
      <c r="L293" s="21">
        <f t="shared" si="12"/>
        <v>5.7718243194713788</v>
      </c>
      <c r="M293" s="21" t="str">
        <f t="shared" si="13"/>
        <v>27.09.2024</v>
      </c>
      <c r="N293" s="21">
        <f t="shared" si="14"/>
        <v>70.672268907563023</v>
      </c>
    </row>
    <row r="294" spans="1:14">
      <c r="A294" s="9" t="s">
        <v>552</v>
      </c>
      <c r="B294" s="8">
        <v>24</v>
      </c>
      <c r="C294" s="8" t="s">
        <v>35</v>
      </c>
      <c r="D294" s="8" t="s">
        <v>36</v>
      </c>
      <c r="E294" s="8" t="s">
        <v>553</v>
      </c>
      <c r="F294" s="8">
        <v>300</v>
      </c>
      <c r="G294" s="8">
        <v>115.89</v>
      </c>
      <c r="H294" s="10">
        <v>25.52</v>
      </c>
      <c r="I294" s="21">
        <f>Table1[[#This Row],[BRUTTO_monthly_bill_eur]]/1.19</f>
        <v>97.386554621848745</v>
      </c>
      <c r="J294" s="21">
        <f>Table1[[#This Row],[monthly_consumption_kwh]]*Table1[[#This Row],[NETTO_procurement_cost_ct_per_kwh]]/100</f>
        <v>76.56</v>
      </c>
      <c r="K294" s="21">
        <f>Table1[[#This Row],[NETTO_monthly_revenue(€)]]-Table1[[#This Row],[procurement_cost_(€)]]</f>
        <v>20.826554621848743</v>
      </c>
      <c r="L294" s="21">
        <f t="shared" si="12"/>
        <v>6.9421848739495804</v>
      </c>
      <c r="M294" s="21" t="str">
        <f t="shared" si="13"/>
        <v>28.04.2024</v>
      </c>
      <c r="N294" s="21">
        <f t="shared" si="14"/>
        <v>97.386554621848745</v>
      </c>
    </row>
    <row r="295" spans="1:14">
      <c r="A295" s="9" t="s">
        <v>554</v>
      </c>
      <c r="B295" s="8">
        <v>12</v>
      </c>
      <c r="C295" s="8" t="s">
        <v>35</v>
      </c>
      <c r="D295" s="8" t="s">
        <v>36</v>
      </c>
      <c r="E295" s="8" t="s">
        <v>555</v>
      </c>
      <c r="F295" s="8">
        <v>201</v>
      </c>
      <c r="G295" s="8">
        <v>79.94</v>
      </c>
      <c r="H295" s="10">
        <v>25.53</v>
      </c>
      <c r="I295" s="21">
        <f>Table1[[#This Row],[BRUTTO_monthly_bill_eur]]/1.19</f>
        <v>67.17647058823529</v>
      </c>
      <c r="J295" s="21">
        <f>Table1[[#This Row],[monthly_consumption_kwh]]*Table1[[#This Row],[NETTO_procurement_cost_ct_per_kwh]]/100</f>
        <v>51.315300000000008</v>
      </c>
      <c r="K295" s="21">
        <f>Table1[[#This Row],[NETTO_monthly_revenue(€)]]-Table1[[#This Row],[procurement_cost_(€)]]</f>
        <v>15.861170588235282</v>
      </c>
      <c r="L295" s="21">
        <f t="shared" si="12"/>
        <v>7.891129645888201</v>
      </c>
      <c r="M295" s="21" t="str">
        <f t="shared" si="13"/>
        <v>19.04.2024</v>
      </c>
      <c r="N295" s="21">
        <f t="shared" si="14"/>
        <v>67.17647058823529</v>
      </c>
    </row>
    <row r="296" spans="1:14">
      <c r="A296" s="9" t="s">
        <v>556</v>
      </c>
      <c r="B296" s="8">
        <v>12</v>
      </c>
      <c r="C296" s="8" t="s">
        <v>39</v>
      </c>
      <c r="D296" s="8" t="s">
        <v>56</v>
      </c>
      <c r="E296" s="8" t="s">
        <v>91</v>
      </c>
      <c r="F296" s="8">
        <v>130</v>
      </c>
      <c r="G296" s="8">
        <v>54.75</v>
      </c>
      <c r="H296" s="10">
        <v>32.64</v>
      </c>
      <c r="I296" s="21">
        <f>Table1[[#This Row],[BRUTTO_monthly_bill_eur]]/1.19</f>
        <v>46.008403361344541</v>
      </c>
      <c r="J296" s="21">
        <f>Table1[[#This Row],[monthly_consumption_kwh]]*Table1[[#This Row],[NETTO_procurement_cost_ct_per_kwh]]/100</f>
        <v>42.431999999999995</v>
      </c>
      <c r="K296" s="21">
        <f>Table1[[#This Row],[NETTO_monthly_revenue(€)]]-Table1[[#This Row],[procurement_cost_(€)]]</f>
        <v>3.5764033613445463</v>
      </c>
      <c r="L296" s="21">
        <f t="shared" si="12"/>
        <v>2.751079508726574</v>
      </c>
      <c r="M296" s="21" t="str">
        <f t="shared" si="13"/>
        <v>08.06.2024</v>
      </c>
      <c r="N296" s="21">
        <f t="shared" si="14"/>
        <v>46.008403361344541</v>
      </c>
    </row>
    <row r="297" spans="1:14">
      <c r="A297" s="9" t="s">
        <v>557</v>
      </c>
      <c r="B297" s="8">
        <v>12</v>
      </c>
      <c r="C297" s="8" t="s">
        <v>39</v>
      </c>
      <c r="D297" s="8" t="s">
        <v>36</v>
      </c>
      <c r="E297" s="8" t="s">
        <v>558</v>
      </c>
      <c r="F297" s="8">
        <v>145</v>
      </c>
      <c r="G297" s="8">
        <v>61.31</v>
      </c>
      <c r="H297" s="10">
        <v>28.84</v>
      </c>
      <c r="I297" s="21">
        <f>Table1[[#This Row],[BRUTTO_monthly_bill_eur]]/1.19</f>
        <v>51.52100840336135</v>
      </c>
      <c r="J297" s="21">
        <f>Table1[[#This Row],[monthly_consumption_kwh]]*Table1[[#This Row],[NETTO_procurement_cost_ct_per_kwh]]/100</f>
        <v>41.818000000000005</v>
      </c>
      <c r="K297" s="21">
        <f>Table1[[#This Row],[NETTO_monthly_revenue(€)]]-Table1[[#This Row],[procurement_cost_(€)]]</f>
        <v>9.7030084033613448</v>
      </c>
      <c r="L297" s="21">
        <f t="shared" si="12"/>
        <v>6.6917299333526508</v>
      </c>
      <c r="M297" s="21" t="str">
        <f t="shared" si="13"/>
        <v>05.10.2024</v>
      </c>
      <c r="N297" s="21">
        <f t="shared" si="14"/>
        <v>51.52100840336135</v>
      </c>
    </row>
    <row r="298" spans="1:14">
      <c r="A298" s="9" t="s">
        <v>559</v>
      </c>
      <c r="B298" s="8">
        <v>24</v>
      </c>
      <c r="C298" s="8" t="s">
        <v>39</v>
      </c>
      <c r="D298" s="8" t="s">
        <v>46</v>
      </c>
      <c r="E298" s="8" t="s">
        <v>560</v>
      </c>
      <c r="F298" s="8">
        <v>135</v>
      </c>
      <c r="G298" s="8">
        <v>59.11</v>
      </c>
      <c r="H298" s="10">
        <v>31.45</v>
      </c>
      <c r="I298" s="21">
        <f>Table1[[#This Row],[BRUTTO_monthly_bill_eur]]/1.19</f>
        <v>49.67226890756303</v>
      </c>
      <c r="J298" s="21">
        <f>Table1[[#This Row],[monthly_consumption_kwh]]*Table1[[#This Row],[NETTO_procurement_cost_ct_per_kwh]]/100</f>
        <v>42.457500000000003</v>
      </c>
      <c r="K298" s="21">
        <f>Table1[[#This Row],[NETTO_monthly_revenue(€)]]-Table1[[#This Row],[procurement_cost_(€)]]</f>
        <v>7.2147689075630268</v>
      </c>
      <c r="L298" s="21">
        <f t="shared" si="12"/>
        <v>5.3442732648615019</v>
      </c>
      <c r="M298" s="21" t="str">
        <f t="shared" si="13"/>
        <v>15.10.2024</v>
      </c>
      <c r="N298" s="21">
        <f t="shared" si="14"/>
        <v>49.67226890756303</v>
      </c>
    </row>
    <row r="299" spans="1:14">
      <c r="A299" s="9" t="s">
        <v>561</v>
      </c>
      <c r="B299" s="8">
        <v>12</v>
      </c>
      <c r="C299" s="8" t="s">
        <v>39</v>
      </c>
      <c r="D299" s="8" t="s">
        <v>36</v>
      </c>
      <c r="E299" s="8" t="s">
        <v>562</v>
      </c>
      <c r="F299" s="8">
        <v>99</v>
      </c>
      <c r="G299" s="8">
        <v>44.22</v>
      </c>
      <c r="H299" s="10">
        <v>31.54</v>
      </c>
      <c r="I299" s="21">
        <f>Table1[[#This Row],[BRUTTO_monthly_bill_eur]]/1.19</f>
        <v>37.159663865546221</v>
      </c>
      <c r="J299" s="21">
        <f>Table1[[#This Row],[monthly_consumption_kwh]]*Table1[[#This Row],[NETTO_procurement_cost_ct_per_kwh]]/100</f>
        <v>31.224599999999999</v>
      </c>
      <c r="K299" s="21">
        <f>Table1[[#This Row],[NETTO_monthly_revenue(€)]]-Table1[[#This Row],[procurement_cost_(€)]]</f>
        <v>5.9350638655462227</v>
      </c>
      <c r="L299" s="21">
        <f t="shared" si="12"/>
        <v>5.9950140056022452</v>
      </c>
      <c r="M299" s="21" t="str">
        <f t="shared" si="13"/>
        <v>03.08.2024</v>
      </c>
      <c r="N299" s="21">
        <f t="shared" si="14"/>
        <v>37.159663865546221</v>
      </c>
    </row>
    <row r="300" spans="1:14">
      <c r="A300" s="9" t="s">
        <v>563</v>
      </c>
      <c r="B300" s="8">
        <v>24</v>
      </c>
      <c r="C300" s="8" t="s">
        <v>51</v>
      </c>
      <c r="D300" s="8" t="s">
        <v>46</v>
      </c>
      <c r="E300" s="8" t="s">
        <v>564</v>
      </c>
      <c r="F300" s="8">
        <v>452</v>
      </c>
      <c r="G300" s="8">
        <v>152.9</v>
      </c>
      <c r="H300" s="10">
        <v>17.48</v>
      </c>
      <c r="I300" s="21">
        <f>Table1[[#This Row],[BRUTTO_monthly_bill_eur]]/1.19</f>
        <v>128.48739495798321</v>
      </c>
      <c r="J300" s="21">
        <f>Table1[[#This Row],[monthly_consumption_kwh]]*Table1[[#This Row],[NETTO_procurement_cost_ct_per_kwh]]/100</f>
        <v>79.009600000000006</v>
      </c>
      <c r="K300" s="21">
        <f>Table1[[#This Row],[NETTO_monthly_revenue(€)]]-Table1[[#This Row],[procurement_cost_(€)]]</f>
        <v>49.477794957983207</v>
      </c>
      <c r="L300" s="21">
        <f t="shared" si="12"/>
        <v>10.946414813713098</v>
      </c>
      <c r="M300" s="21" t="str">
        <f t="shared" si="13"/>
        <v>17.12.2024</v>
      </c>
      <c r="N300" s="21">
        <f t="shared" si="14"/>
        <v>128.48739495798321</v>
      </c>
    </row>
    <row r="301" spans="1:14">
      <c r="A301" s="9" t="s">
        <v>565</v>
      </c>
      <c r="B301" s="8">
        <v>12</v>
      </c>
      <c r="C301" s="8" t="s">
        <v>35</v>
      </c>
      <c r="D301" s="8" t="s">
        <v>46</v>
      </c>
      <c r="E301" s="8" t="s">
        <v>566</v>
      </c>
      <c r="F301" s="8">
        <v>297</v>
      </c>
      <c r="G301" s="8">
        <v>109.73</v>
      </c>
      <c r="H301" s="10">
        <v>24.95</v>
      </c>
      <c r="I301" s="21">
        <f>Table1[[#This Row],[BRUTTO_monthly_bill_eur]]/1.19</f>
        <v>92.210084033613455</v>
      </c>
      <c r="J301" s="21">
        <f>Table1[[#This Row],[monthly_consumption_kwh]]*Table1[[#This Row],[NETTO_procurement_cost_ct_per_kwh]]/100</f>
        <v>74.101500000000001</v>
      </c>
      <c r="K301" s="21">
        <f>Table1[[#This Row],[NETTO_monthly_revenue(€)]]-Table1[[#This Row],[procurement_cost_(€)]]</f>
        <v>18.108584033613454</v>
      </c>
      <c r="L301" s="21">
        <f t="shared" si="12"/>
        <v>6.0971663412839909</v>
      </c>
      <c r="M301" s="21" t="str">
        <f t="shared" si="13"/>
        <v>27.07.2024</v>
      </c>
      <c r="N301" s="21">
        <f t="shared" si="14"/>
        <v>92.210084033613455</v>
      </c>
    </row>
    <row r="302" spans="1:14">
      <c r="A302" s="9" t="s">
        <v>567</v>
      </c>
      <c r="B302" s="8">
        <v>12</v>
      </c>
      <c r="C302" s="8" t="s">
        <v>39</v>
      </c>
      <c r="D302" s="8" t="s">
        <v>36</v>
      </c>
      <c r="E302" s="8" t="s">
        <v>108</v>
      </c>
      <c r="F302" s="8">
        <v>130</v>
      </c>
      <c r="G302" s="8">
        <v>55.21</v>
      </c>
      <c r="H302" s="10">
        <v>29.15</v>
      </c>
      <c r="I302" s="21">
        <f>Table1[[#This Row],[BRUTTO_monthly_bill_eur]]/1.19</f>
        <v>46.394957983193279</v>
      </c>
      <c r="J302" s="21">
        <f>Table1[[#This Row],[monthly_consumption_kwh]]*Table1[[#This Row],[NETTO_procurement_cost_ct_per_kwh]]/100</f>
        <v>37.895000000000003</v>
      </c>
      <c r="K302" s="21">
        <f>Table1[[#This Row],[NETTO_monthly_revenue(€)]]-Table1[[#This Row],[procurement_cost_(€)]]</f>
        <v>8.4999579831932763</v>
      </c>
      <c r="L302" s="21">
        <f t="shared" si="12"/>
        <v>6.5384292178409815</v>
      </c>
      <c r="M302" s="21" t="str">
        <f t="shared" si="13"/>
        <v>27.09.2024</v>
      </c>
      <c r="N302" s="21">
        <f t="shared" si="14"/>
        <v>46.394957983193279</v>
      </c>
    </row>
    <row r="303" spans="1:14">
      <c r="A303" s="9" t="s">
        <v>568</v>
      </c>
      <c r="B303" s="8">
        <v>12</v>
      </c>
      <c r="C303" s="8" t="s">
        <v>51</v>
      </c>
      <c r="D303" s="8" t="s">
        <v>56</v>
      </c>
      <c r="E303" s="8" t="s">
        <v>69</v>
      </c>
      <c r="F303" s="8">
        <v>335</v>
      </c>
      <c r="G303" s="8">
        <v>121.08</v>
      </c>
      <c r="H303" s="10">
        <v>20.51</v>
      </c>
      <c r="I303" s="21">
        <f>Table1[[#This Row],[BRUTTO_monthly_bill_eur]]/1.19</f>
        <v>101.74789915966387</v>
      </c>
      <c r="J303" s="21">
        <f>Table1[[#This Row],[monthly_consumption_kwh]]*Table1[[#This Row],[NETTO_procurement_cost_ct_per_kwh]]/100</f>
        <v>68.708500000000001</v>
      </c>
      <c r="K303" s="21">
        <f>Table1[[#This Row],[NETTO_monthly_revenue(€)]]-Table1[[#This Row],[procurement_cost_(€)]]</f>
        <v>33.039399159663873</v>
      </c>
      <c r="L303" s="21">
        <f t="shared" si="12"/>
        <v>9.8625072118399615</v>
      </c>
      <c r="M303" s="21" t="str">
        <f t="shared" si="13"/>
        <v>01.06.2025</v>
      </c>
      <c r="N303" s="21">
        <f t="shared" si="14"/>
        <v>101.74789915966387</v>
      </c>
    </row>
    <row r="304" spans="1:14">
      <c r="A304" s="9" t="s">
        <v>569</v>
      </c>
      <c r="B304" s="8">
        <v>12</v>
      </c>
      <c r="C304" s="8" t="s">
        <v>51</v>
      </c>
      <c r="D304" s="8" t="s">
        <v>36</v>
      </c>
      <c r="E304" s="8" t="s">
        <v>281</v>
      </c>
      <c r="F304" s="8">
        <v>587</v>
      </c>
      <c r="G304" s="8">
        <v>199.29</v>
      </c>
      <c r="H304" s="10">
        <v>23.49</v>
      </c>
      <c r="I304" s="21">
        <f>Table1[[#This Row],[BRUTTO_monthly_bill_eur]]/1.19</f>
        <v>167.47058823529412</v>
      </c>
      <c r="J304" s="21">
        <f>Table1[[#This Row],[monthly_consumption_kwh]]*Table1[[#This Row],[NETTO_procurement_cost_ct_per_kwh]]/100</f>
        <v>137.88630000000001</v>
      </c>
      <c r="K304" s="21">
        <f>Table1[[#This Row],[NETTO_monthly_revenue(€)]]-Table1[[#This Row],[procurement_cost_(€)]]</f>
        <v>29.58428823529411</v>
      </c>
      <c r="L304" s="21">
        <f t="shared" si="12"/>
        <v>5.0399128169155212</v>
      </c>
      <c r="M304" s="21" t="str">
        <f t="shared" si="13"/>
        <v>15.05.2025</v>
      </c>
      <c r="N304" s="21">
        <f t="shared" si="14"/>
        <v>167.47058823529412</v>
      </c>
    </row>
    <row r="305" spans="1:14">
      <c r="A305" s="9" t="s">
        <v>570</v>
      </c>
      <c r="B305" s="8">
        <v>24</v>
      </c>
      <c r="C305" s="8" t="s">
        <v>51</v>
      </c>
      <c r="D305" s="8" t="s">
        <v>36</v>
      </c>
      <c r="E305" s="8" t="s">
        <v>238</v>
      </c>
      <c r="F305" s="8">
        <v>345</v>
      </c>
      <c r="G305" s="8">
        <v>120.9</v>
      </c>
      <c r="H305" s="10">
        <v>16.649999999999999</v>
      </c>
      <c r="I305" s="21">
        <f>Table1[[#This Row],[BRUTTO_monthly_bill_eur]]/1.19</f>
        <v>101.5966386554622</v>
      </c>
      <c r="J305" s="21">
        <f>Table1[[#This Row],[monthly_consumption_kwh]]*Table1[[#This Row],[NETTO_procurement_cost_ct_per_kwh]]/100</f>
        <v>57.442499999999988</v>
      </c>
      <c r="K305" s="21">
        <f>Table1[[#This Row],[NETTO_monthly_revenue(€)]]-Table1[[#This Row],[procurement_cost_(€)]]</f>
        <v>44.154138655462212</v>
      </c>
      <c r="L305" s="21">
        <f t="shared" si="12"/>
        <v>12.798301059554266</v>
      </c>
      <c r="M305" s="21" t="str">
        <f t="shared" si="13"/>
        <v>14.09.2024</v>
      </c>
      <c r="N305" s="21">
        <f t="shared" si="14"/>
        <v>101.5966386554622</v>
      </c>
    </row>
    <row r="306" spans="1:14">
      <c r="A306" s="9" t="s">
        <v>571</v>
      </c>
      <c r="B306" s="8">
        <v>24</v>
      </c>
      <c r="C306" s="8" t="s">
        <v>51</v>
      </c>
      <c r="D306" s="8" t="s">
        <v>46</v>
      </c>
      <c r="E306" s="8" t="s">
        <v>572</v>
      </c>
      <c r="F306" s="8">
        <v>-15</v>
      </c>
      <c r="G306" s="8">
        <v>201.44</v>
      </c>
      <c r="H306" s="10">
        <v>22.49</v>
      </c>
      <c r="I306" s="21">
        <f>Table1[[#This Row],[BRUTTO_monthly_bill_eur]]/1.19</f>
        <v>169.27731092436974</v>
      </c>
      <c r="J306" s="21">
        <f>Table1[[#This Row],[monthly_consumption_kwh]]*Table1[[#This Row],[NETTO_procurement_cost_ct_per_kwh]]/100</f>
        <v>-3.3734999999999995</v>
      </c>
      <c r="K306" s="21">
        <f>Table1[[#This Row],[NETTO_monthly_revenue(€)]]-Table1[[#This Row],[procurement_cost_(€)]]</f>
        <v>172.65081092436975</v>
      </c>
      <c r="L306" s="21">
        <f t="shared" si="12"/>
        <v>-1151.0054061624651</v>
      </c>
      <c r="M306" s="21" t="str">
        <f t="shared" si="13"/>
        <v>22.02.2024</v>
      </c>
      <c r="N306" s="21">
        <f t="shared" si="14"/>
        <v>169.27731092436974</v>
      </c>
    </row>
    <row r="307" spans="1:14">
      <c r="A307" s="9" t="s">
        <v>573</v>
      </c>
      <c r="B307" s="8">
        <v>24</v>
      </c>
      <c r="C307" s="8" t="s">
        <v>39</v>
      </c>
      <c r="D307" s="8" t="s">
        <v>56</v>
      </c>
      <c r="E307" s="8" t="s">
        <v>574</v>
      </c>
      <c r="F307" s="8">
        <v>100</v>
      </c>
      <c r="G307" s="8">
        <v>43.64</v>
      </c>
      <c r="H307" s="10">
        <v>30.49</v>
      </c>
      <c r="I307" s="21">
        <f>Table1[[#This Row],[BRUTTO_monthly_bill_eur]]/1.19</f>
        <v>36.67226890756303</v>
      </c>
      <c r="J307" s="21">
        <f>Table1[[#This Row],[monthly_consumption_kwh]]*Table1[[#This Row],[NETTO_procurement_cost_ct_per_kwh]]/100</f>
        <v>30.49</v>
      </c>
      <c r="K307" s="21">
        <f>Table1[[#This Row],[NETTO_monthly_revenue(€)]]-Table1[[#This Row],[procurement_cost_(€)]]</f>
        <v>6.1822689075630315</v>
      </c>
      <c r="L307" s="21">
        <f t="shared" si="12"/>
        <v>6.1822689075630315</v>
      </c>
      <c r="M307" s="21" t="str">
        <f t="shared" si="13"/>
        <v>2024-04</v>
      </c>
      <c r="N307" s="21">
        <f t="shared" si="14"/>
        <v>36.67226890756303</v>
      </c>
    </row>
    <row r="308" spans="1:14">
      <c r="A308" s="9" t="s">
        <v>575</v>
      </c>
      <c r="B308" s="8">
        <v>12</v>
      </c>
      <c r="C308" s="8" t="s">
        <v>35</v>
      </c>
      <c r="D308" s="8" t="s">
        <v>36</v>
      </c>
      <c r="E308" s="8" t="s">
        <v>315</v>
      </c>
      <c r="F308" s="8">
        <v>326</v>
      </c>
      <c r="G308" s="8">
        <v>119.62</v>
      </c>
      <c r="H308" s="10">
        <v>25.89</v>
      </c>
      <c r="I308" s="21">
        <f>Table1[[#This Row],[BRUTTO_monthly_bill_eur]]/1.19</f>
        <v>100.52100840336135</v>
      </c>
      <c r="J308" s="21">
        <f>Table1[[#This Row],[monthly_consumption_kwh]]*Table1[[#This Row],[NETTO_procurement_cost_ct_per_kwh]]/100</f>
        <v>84.401399999999995</v>
      </c>
      <c r="K308" s="21">
        <f>Table1[[#This Row],[NETTO_monthly_revenue(€)]]-Table1[[#This Row],[procurement_cost_(€)]]</f>
        <v>16.119608403361354</v>
      </c>
      <c r="L308" s="21">
        <f t="shared" si="12"/>
        <v>4.9446651544053237</v>
      </c>
      <c r="M308" s="21" t="str">
        <f t="shared" si="13"/>
        <v>09.03.2025</v>
      </c>
      <c r="N308" s="21">
        <f t="shared" si="14"/>
        <v>100.52100840336135</v>
      </c>
    </row>
    <row r="309" spans="1:14">
      <c r="A309" s="9" t="s">
        <v>576</v>
      </c>
      <c r="B309" s="8">
        <v>12</v>
      </c>
      <c r="C309" s="8" t="s">
        <v>51</v>
      </c>
      <c r="D309" s="8" t="s">
        <v>36</v>
      </c>
      <c r="E309" s="8" t="s">
        <v>577</v>
      </c>
      <c r="F309" s="8">
        <v>456</v>
      </c>
      <c r="G309" s="8">
        <v>153.16999999999999</v>
      </c>
      <c r="H309" s="10">
        <v>18.829999999999998</v>
      </c>
      <c r="I309" s="21">
        <f>Table1[[#This Row],[BRUTTO_monthly_bill_eur]]/1.19</f>
        <v>128.71428571428572</v>
      </c>
      <c r="J309" s="21">
        <f>Table1[[#This Row],[monthly_consumption_kwh]]*Table1[[#This Row],[NETTO_procurement_cost_ct_per_kwh]]/100</f>
        <v>85.864800000000002</v>
      </c>
      <c r="K309" s="21">
        <f>Table1[[#This Row],[NETTO_monthly_revenue(€)]]-Table1[[#This Row],[procurement_cost_(€)]]</f>
        <v>42.84948571428572</v>
      </c>
      <c r="L309" s="21">
        <f t="shared" si="12"/>
        <v>9.3968170426065178</v>
      </c>
      <c r="M309" s="21" t="str">
        <f t="shared" si="13"/>
        <v>10.10.2024</v>
      </c>
      <c r="N309" s="21">
        <f t="shared" si="14"/>
        <v>128.71428571428572</v>
      </c>
    </row>
    <row r="310" spans="1:14">
      <c r="A310" s="9" t="s">
        <v>578</v>
      </c>
      <c r="B310" s="8">
        <v>24</v>
      </c>
      <c r="C310" s="8" t="s">
        <v>35</v>
      </c>
      <c r="D310" s="8" t="s">
        <v>36</v>
      </c>
      <c r="E310" s="8" t="s">
        <v>579</v>
      </c>
      <c r="F310" s="8">
        <v>221</v>
      </c>
      <c r="G310" s="8">
        <v>90.83</v>
      </c>
      <c r="H310" s="10">
        <v>25.39</v>
      </c>
      <c r="I310" s="21">
        <f>Table1[[#This Row],[BRUTTO_monthly_bill_eur]]/1.19</f>
        <v>76.327731092436977</v>
      </c>
      <c r="J310" s="21">
        <f>Table1[[#This Row],[monthly_consumption_kwh]]*Table1[[#This Row],[NETTO_procurement_cost_ct_per_kwh]]/100</f>
        <v>56.111900000000006</v>
      </c>
      <c r="K310" s="21">
        <f>Table1[[#This Row],[NETTO_monthly_revenue(€)]]-Table1[[#This Row],[procurement_cost_(€)]]</f>
        <v>20.215831092436972</v>
      </c>
      <c r="L310" s="21">
        <f t="shared" si="12"/>
        <v>9.1474348834556434</v>
      </c>
      <c r="M310" s="21" t="str">
        <f t="shared" si="13"/>
        <v>15.02.2024</v>
      </c>
      <c r="N310" s="21">
        <f t="shared" si="14"/>
        <v>76.327731092436977</v>
      </c>
    </row>
    <row r="311" spans="1:14">
      <c r="A311" s="9" t="s">
        <v>580</v>
      </c>
      <c r="B311" s="8">
        <v>12</v>
      </c>
      <c r="C311" s="8" t="s">
        <v>39</v>
      </c>
      <c r="D311" s="8" t="s">
        <v>36</v>
      </c>
      <c r="E311" s="8" t="s">
        <v>581</v>
      </c>
      <c r="F311" s="8">
        <v>96</v>
      </c>
      <c r="G311" s="8">
        <v>48.62</v>
      </c>
      <c r="H311" s="10">
        <v>28.25</v>
      </c>
      <c r="I311" s="21">
        <f>Table1[[#This Row],[BRUTTO_monthly_bill_eur]]/1.19</f>
        <v>40.857142857142854</v>
      </c>
      <c r="J311" s="21">
        <f>Table1[[#This Row],[monthly_consumption_kwh]]*Table1[[#This Row],[NETTO_procurement_cost_ct_per_kwh]]/100</f>
        <v>27.12</v>
      </c>
      <c r="K311" s="21">
        <f>Table1[[#This Row],[NETTO_monthly_revenue(€)]]-Table1[[#This Row],[procurement_cost_(€)]]</f>
        <v>13.737142857142853</v>
      </c>
      <c r="L311" s="21">
        <f t="shared" si="12"/>
        <v>14.309523809523805</v>
      </c>
      <c r="M311" s="21" t="str">
        <f t="shared" si="13"/>
        <v>2024-01</v>
      </c>
      <c r="N311" s="21">
        <f t="shared" si="14"/>
        <v>40.857142857142854</v>
      </c>
    </row>
    <row r="312" spans="1:14">
      <c r="A312" s="9" t="s">
        <v>582</v>
      </c>
      <c r="B312" s="8">
        <v>12</v>
      </c>
      <c r="C312" s="8" t="s">
        <v>51</v>
      </c>
      <c r="D312" s="8" t="s">
        <v>46</v>
      </c>
      <c r="E312" s="8" t="s">
        <v>583</v>
      </c>
      <c r="F312" s="8">
        <v>435</v>
      </c>
      <c r="G312" s="8">
        <v>145.29</v>
      </c>
      <c r="H312" s="10">
        <v>18.18</v>
      </c>
      <c r="I312" s="21">
        <f>Table1[[#This Row],[BRUTTO_monthly_bill_eur]]/1.19</f>
        <v>122.09243697478992</v>
      </c>
      <c r="J312" s="21">
        <f>Table1[[#This Row],[monthly_consumption_kwh]]*Table1[[#This Row],[NETTO_procurement_cost_ct_per_kwh]]/100</f>
        <v>79.082999999999998</v>
      </c>
      <c r="K312" s="21">
        <f>Table1[[#This Row],[NETTO_monthly_revenue(€)]]-Table1[[#This Row],[procurement_cost_(€)]]</f>
        <v>43.009436974789921</v>
      </c>
      <c r="L312" s="21">
        <f t="shared" si="12"/>
        <v>9.8872268907563043</v>
      </c>
      <c r="M312" s="21" t="str">
        <f t="shared" si="13"/>
        <v>07.12.2024</v>
      </c>
      <c r="N312" s="21">
        <f t="shared" si="14"/>
        <v>122.09243697478992</v>
      </c>
    </row>
    <row r="313" spans="1:14">
      <c r="A313" s="9" t="s">
        <v>584</v>
      </c>
      <c r="B313" s="8">
        <v>12</v>
      </c>
      <c r="C313" s="8" t="s">
        <v>39</v>
      </c>
      <c r="D313" s="8" t="s">
        <v>36</v>
      </c>
      <c r="E313" s="8" t="s">
        <v>585</v>
      </c>
      <c r="F313" s="8">
        <v>157</v>
      </c>
      <c r="G313" s="8">
        <v>71.069999999999993</v>
      </c>
      <c r="H313" s="10">
        <v>28.27</v>
      </c>
      <c r="I313" s="21">
        <f>Table1[[#This Row],[BRUTTO_monthly_bill_eur]]/1.19</f>
        <v>59.72268907563025</v>
      </c>
      <c r="J313" s="21">
        <f>Table1[[#This Row],[monthly_consumption_kwh]]*Table1[[#This Row],[NETTO_procurement_cost_ct_per_kwh]]/100</f>
        <v>44.383900000000004</v>
      </c>
      <c r="K313" s="21">
        <f>Table1[[#This Row],[NETTO_monthly_revenue(€)]]-Table1[[#This Row],[procurement_cost_(€)]]</f>
        <v>15.338789075630245</v>
      </c>
      <c r="L313" s="21">
        <f t="shared" si="12"/>
        <v>9.7699293475351876</v>
      </c>
      <c r="M313" s="21" t="str">
        <f t="shared" si="13"/>
        <v>13.05.2024</v>
      </c>
      <c r="N313" s="21">
        <f t="shared" si="14"/>
        <v>59.72268907563025</v>
      </c>
    </row>
    <row r="314" spans="1:14">
      <c r="A314" s="9" t="s">
        <v>586</v>
      </c>
      <c r="B314" s="8">
        <v>12</v>
      </c>
      <c r="C314" s="8" t="s">
        <v>39</v>
      </c>
      <c r="D314" s="8" t="s">
        <v>36</v>
      </c>
      <c r="E314" s="8" t="s">
        <v>587</v>
      </c>
      <c r="F314" s="8">
        <v>167</v>
      </c>
      <c r="G314" s="8">
        <v>68.650000000000006</v>
      </c>
      <c r="H314" s="10">
        <v>31.9</v>
      </c>
      <c r="I314" s="21">
        <f>Table1[[#This Row],[BRUTTO_monthly_bill_eur]]/1.19</f>
        <v>57.689075630252105</v>
      </c>
      <c r="J314" s="21">
        <f>Table1[[#This Row],[monthly_consumption_kwh]]*Table1[[#This Row],[NETTO_procurement_cost_ct_per_kwh]]/100</f>
        <v>53.273000000000003</v>
      </c>
      <c r="K314" s="21">
        <f>Table1[[#This Row],[NETTO_monthly_revenue(€)]]-Table1[[#This Row],[procurement_cost_(€)]]</f>
        <v>4.4160756302521023</v>
      </c>
      <c r="L314" s="21">
        <f t="shared" si="12"/>
        <v>2.6443566648216179</v>
      </c>
      <c r="M314" s="21" t="str">
        <f t="shared" si="13"/>
        <v>25.09.2024</v>
      </c>
      <c r="N314" s="21">
        <f t="shared" si="14"/>
        <v>57.689075630252105</v>
      </c>
    </row>
    <row r="315" spans="1:14">
      <c r="A315" s="9" t="s">
        <v>588</v>
      </c>
      <c r="B315" s="8">
        <v>24</v>
      </c>
      <c r="C315" s="8" t="s">
        <v>35</v>
      </c>
      <c r="D315" s="8" t="s">
        <v>36</v>
      </c>
      <c r="E315" s="8" t="s">
        <v>589</v>
      </c>
      <c r="F315" s="8">
        <v>228</v>
      </c>
      <c r="G315" s="8">
        <v>93.28</v>
      </c>
      <c r="H315" s="10">
        <v>27.27</v>
      </c>
      <c r="I315" s="21">
        <f>Table1[[#This Row],[BRUTTO_monthly_bill_eur]]/1.19</f>
        <v>78.386554621848745</v>
      </c>
      <c r="J315" s="21">
        <f>Table1[[#This Row],[monthly_consumption_kwh]]*Table1[[#This Row],[NETTO_procurement_cost_ct_per_kwh]]/100</f>
        <v>62.175599999999996</v>
      </c>
      <c r="K315" s="21">
        <f>Table1[[#This Row],[NETTO_monthly_revenue(€)]]-Table1[[#This Row],[procurement_cost_(€)]]</f>
        <v>16.210954621848749</v>
      </c>
      <c r="L315" s="21">
        <f t="shared" si="12"/>
        <v>7.1100678166003277</v>
      </c>
      <c r="M315" s="21" t="str">
        <f t="shared" si="13"/>
        <v>2024-06</v>
      </c>
      <c r="N315" s="21">
        <f t="shared" si="14"/>
        <v>78.386554621848745</v>
      </c>
    </row>
    <row r="316" spans="1:14">
      <c r="A316" s="9" t="s">
        <v>590</v>
      </c>
      <c r="B316" s="8">
        <v>24</v>
      </c>
      <c r="C316" s="8" t="s">
        <v>35</v>
      </c>
      <c r="D316" s="8" t="s">
        <v>36</v>
      </c>
      <c r="E316" s="8" t="s">
        <v>591</v>
      </c>
      <c r="F316" s="8">
        <v>242</v>
      </c>
      <c r="G316" s="8">
        <v>96.83</v>
      </c>
      <c r="H316" s="10">
        <v>25.41</v>
      </c>
      <c r="I316" s="21">
        <f>Table1[[#This Row],[BRUTTO_monthly_bill_eur]]/1.19</f>
        <v>81.369747899159663</v>
      </c>
      <c r="J316" s="21">
        <f>Table1[[#This Row],[monthly_consumption_kwh]]*Table1[[#This Row],[NETTO_procurement_cost_ct_per_kwh]]/100</f>
        <v>61.492200000000004</v>
      </c>
      <c r="K316" s="21">
        <f>Table1[[#This Row],[NETTO_monthly_revenue(€)]]-Table1[[#This Row],[procurement_cost_(€)]]</f>
        <v>19.877547899159659</v>
      </c>
      <c r="L316" s="21">
        <f t="shared" si="12"/>
        <v>8.2138627682477932</v>
      </c>
      <c r="M316" s="21" t="str">
        <f t="shared" si="13"/>
        <v>28.03.2025</v>
      </c>
      <c r="N316" s="21">
        <f t="shared" si="14"/>
        <v>81.369747899159663</v>
      </c>
    </row>
    <row r="317" spans="1:14">
      <c r="A317" s="9" t="s">
        <v>592</v>
      </c>
      <c r="B317" s="8">
        <v>24</v>
      </c>
      <c r="C317" s="8" t="s">
        <v>35</v>
      </c>
      <c r="D317" s="8" t="s">
        <v>36</v>
      </c>
      <c r="E317" s="8" t="s">
        <v>593</v>
      </c>
      <c r="F317" s="8">
        <v>287</v>
      </c>
      <c r="G317" s="8">
        <v>106.51</v>
      </c>
      <c r="H317" s="10">
        <v>25.75</v>
      </c>
      <c r="I317" s="21">
        <f>Table1[[#This Row],[BRUTTO_monthly_bill_eur]]/1.19</f>
        <v>89.504201680672281</v>
      </c>
      <c r="J317" s="21">
        <f>Table1[[#This Row],[monthly_consumption_kwh]]*Table1[[#This Row],[NETTO_procurement_cost_ct_per_kwh]]/100</f>
        <v>73.902500000000003</v>
      </c>
      <c r="K317" s="21">
        <f>Table1[[#This Row],[NETTO_monthly_revenue(€)]]-Table1[[#This Row],[procurement_cost_(€)]]</f>
        <v>15.601701680672278</v>
      </c>
      <c r="L317" s="21">
        <f t="shared" si="12"/>
        <v>5.4361329897812816</v>
      </c>
      <c r="M317" s="21" t="str">
        <f t="shared" si="13"/>
        <v>13.03.2025</v>
      </c>
      <c r="N317" s="21">
        <f t="shared" si="14"/>
        <v>89.504201680672281</v>
      </c>
    </row>
    <row r="318" spans="1:14">
      <c r="A318" s="9" t="s">
        <v>594</v>
      </c>
      <c r="B318" s="8">
        <v>12</v>
      </c>
      <c r="C318" s="8" t="s">
        <v>39</v>
      </c>
      <c r="D318" s="8" t="s">
        <v>46</v>
      </c>
      <c r="E318" s="8" t="s">
        <v>517</v>
      </c>
      <c r="F318" s="8">
        <v>157</v>
      </c>
      <c r="G318" s="8">
        <v>68.2</v>
      </c>
      <c r="H318" s="10">
        <v>28.34</v>
      </c>
      <c r="I318" s="21">
        <f>Table1[[#This Row],[BRUTTO_monthly_bill_eur]]/1.19</f>
        <v>57.310924369747902</v>
      </c>
      <c r="J318" s="21">
        <f>Table1[[#This Row],[monthly_consumption_kwh]]*Table1[[#This Row],[NETTO_procurement_cost_ct_per_kwh]]/100</f>
        <v>44.4938</v>
      </c>
      <c r="K318" s="21">
        <f>Table1[[#This Row],[NETTO_monthly_revenue(€)]]-Table1[[#This Row],[procurement_cost_(€)]]</f>
        <v>12.817124369747901</v>
      </c>
      <c r="L318" s="21">
        <f t="shared" si="12"/>
        <v>8.1637734839158611</v>
      </c>
      <c r="M318" s="21" t="str">
        <f t="shared" si="13"/>
        <v>10.01.2024</v>
      </c>
      <c r="N318" s="21">
        <f t="shared" si="14"/>
        <v>57.310924369747902</v>
      </c>
    </row>
    <row r="319" spans="1:14">
      <c r="A319" s="9" t="s">
        <v>595</v>
      </c>
      <c r="B319" s="8">
        <v>12</v>
      </c>
      <c r="C319" s="8" t="s">
        <v>51</v>
      </c>
      <c r="D319" s="8" t="s">
        <v>56</v>
      </c>
      <c r="E319" s="8" t="s">
        <v>37</v>
      </c>
      <c r="F319" s="8">
        <v>531</v>
      </c>
      <c r="G319" s="8">
        <v>167.42</v>
      </c>
      <c r="H319" s="10">
        <v>18.43</v>
      </c>
      <c r="I319" s="21">
        <f>Table1[[#This Row],[BRUTTO_monthly_bill_eur]]/1.19</f>
        <v>140.68907563025209</v>
      </c>
      <c r="J319" s="21">
        <f>Table1[[#This Row],[monthly_consumption_kwh]]*Table1[[#This Row],[NETTO_procurement_cost_ct_per_kwh]]/100</f>
        <v>97.863299999999995</v>
      </c>
      <c r="K319" s="21">
        <f>Table1[[#This Row],[NETTO_monthly_revenue(€)]]-Table1[[#This Row],[procurement_cost_(€)]]</f>
        <v>42.825775630252096</v>
      </c>
      <c r="L319" s="21">
        <f t="shared" si="12"/>
        <v>8.0651178211397543</v>
      </c>
      <c r="M319" s="21" t="str">
        <f t="shared" si="13"/>
        <v>24.04.2024</v>
      </c>
      <c r="N319" s="21">
        <f t="shared" si="14"/>
        <v>140.68907563025209</v>
      </c>
    </row>
    <row r="320" spans="1:14">
      <c r="A320" s="9" t="s">
        <v>596</v>
      </c>
      <c r="B320" s="8">
        <v>12</v>
      </c>
      <c r="C320" s="8" t="s">
        <v>39</v>
      </c>
      <c r="D320" s="8" t="s">
        <v>56</v>
      </c>
      <c r="E320" s="8" t="s">
        <v>418</v>
      </c>
      <c r="F320" s="8">
        <v>116</v>
      </c>
      <c r="G320" s="8">
        <v>53.43</v>
      </c>
      <c r="H320" s="10">
        <v>28.28</v>
      </c>
      <c r="I320" s="21">
        <f>Table1[[#This Row],[BRUTTO_monthly_bill_eur]]/1.19</f>
        <v>44.899159663865547</v>
      </c>
      <c r="J320" s="21">
        <f>Table1[[#This Row],[monthly_consumption_kwh]]*Table1[[#This Row],[NETTO_procurement_cost_ct_per_kwh]]/100</f>
        <v>32.8048</v>
      </c>
      <c r="K320" s="21">
        <f>Table1[[#This Row],[NETTO_monthly_revenue(€)]]-Table1[[#This Row],[procurement_cost_(€)]]</f>
        <v>12.094359663865546</v>
      </c>
      <c r="L320" s="21">
        <f t="shared" si="12"/>
        <v>10.426172124022024</v>
      </c>
      <c r="M320" s="21" t="str">
        <f t="shared" si="13"/>
        <v>18.03.2024</v>
      </c>
      <c r="N320" s="21">
        <f t="shared" si="14"/>
        <v>44.899159663865547</v>
      </c>
    </row>
    <row r="321" spans="1:14">
      <c r="A321" s="9" t="s">
        <v>597</v>
      </c>
      <c r="B321" s="8">
        <v>12</v>
      </c>
      <c r="C321" s="8" t="s">
        <v>39</v>
      </c>
      <c r="D321" s="8" t="s">
        <v>36</v>
      </c>
      <c r="E321" s="8" t="s">
        <v>598</v>
      </c>
      <c r="F321" s="8">
        <v>118</v>
      </c>
      <c r="G321" s="8">
        <v>52.25</v>
      </c>
      <c r="H321" s="10">
        <v>30.84</v>
      </c>
      <c r="I321" s="21">
        <f>Table1[[#This Row],[BRUTTO_monthly_bill_eur]]/1.19</f>
        <v>43.907563025210088</v>
      </c>
      <c r="J321" s="21">
        <f>Table1[[#This Row],[monthly_consumption_kwh]]*Table1[[#This Row],[NETTO_procurement_cost_ct_per_kwh]]/100</f>
        <v>36.391199999999998</v>
      </c>
      <c r="K321" s="21">
        <f>Table1[[#This Row],[NETTO_monthly_revenue(€)]]-Table1[[#This Row],[procurement_cost_(€)]]</f>
        <v>7.5163630252100901</v>
      </c>
      <c r="L321" s="21">
        <f t="shared" si="12"/>
        <v>6.3697991739068565</v>
      </c>
      <c r="M321" s="21" t="str">
        <f t="shared" si="13"/>
        <v>01.06.2024</v>
      </c>
      <c r="N321" s="21">
        <f t="shared" si="14"/>
        <v>43.907563025210088</v>
      </c>
    </row>
    <row r="322" spans="1:14">
      <c r="A322" s="9" t="s">
        <v>599</v>
      </c>
      <c r="B322" s="8">
        <v>12</v>
      </c>
      <c r="C322" s="8" t="s">
        <v>51</v>
      </c>
      <c r="D322" s="8" t="s">
        <v>56</v>
      </c>
      <c r="E322" s="8" t="s">
        <v>600</v>
      </c>
      <c r="F322" s="8">
        <v>565</v>
      </c>
      <c r="G322" s="8">
        <v>187.55</v>
      </c>
      <c r="H322" s="10">
        <v>17.649999999999999</v>
      </c>
      <c r="I322" s="21">
        <f>Table1[[#This Row],[BRUTTO_monthly_bill_eur]]/1.19</f>
        <v>157.60504201680675</v>
      </c>
      <c r="J322" s="21">
        <f>Table1[[#This Row],[monthly_consumption_kwh]]*Table1[[#This Row],[NETTO_procurement_cost_ct_per_kwh]]/100</f>
        <v>99.722499999999997</v>
      </c>
      <c r="K322" s="21">
        <f>Table1[[#This Row],[NETTO_monthly_revenue(€)]]-Table1[[#This Row],[procurement_cost_(€)]]</f>
        <v>57.882542016806752</v>
      </c>
      <c r="L322" s="21">
        <f t="shared" ref="L322:L385" si="15">IF(F322=0,"",K322/F322*100)</f>
        <v>10.24469770208969</v>
      </c>
      <c r="M322" s="21" t="str">
        <f t="shared" ref="M322:M385" si="16">TEXT(E322,"yyyy-mm")</f>
        <v>2024-02</v>
      </c>
      <c r="N322" s="21">
        <f t="shared" ref="N322:N385" si="17">G322/1.19</f>
        <v>157.60504201680675</v>
      </c>
    </row>
    <row r="323" spans="1:14">
      <c r="A323" s="9" t="s">
        <v>601</v>
      </c>
      <c r="B323" s="8">
        <v>24</v>
      </c>
      <c r="C323" s="8" t="s">
        <v>51</v>
      </c>
      <c r="D323" s="8" t="s">
        <v>46</v>
      </c>
      <c r="E323" s="8" t="s">
        <v>533</v>
      </c>
      <c r="F323" s="8">
        <v>334</v>
      </c>
      <c r="G323" s="8">
        <v>124.49</v>
      </c>
      <c r="H323" s="10">
        <v>18.850000000000001</v>
      </c>
      <c r="I323" s="21">
        <f>Table1[[#This Row],[BRUTTO_monthly_bill_eur]]/1.19</f>
        <v>104.61344537815125</v>
      </c>
      <c r="J323" s="21">
        <f>Table1[[#This Row],[monthly_consumption_kwh]]*Table1[[#This Row],[NETTO_procurement_cost_ct_per_kwh]]/100</f>
        <v>62.959000000000003</v>
      </c>
      <c r="K323" s="21">
        <f>Table1[[#This Row],[NETTO_monthly_revenue(€)]]-Table1[[#This Row],[procurement_cost_(€)]]</f>
        <v>41.654445378151252</v>
      </c>
      <c r="L323" s="21">
        <f t="shared" si="15"/>
        <v>12.471390831781811</v>
      </c>
      <c r="M323" s="21" t="str">
        <f t="shared" si="16"/>
        <v>13.01.2025</v>
      </c>
      <c r="N323" s="21">
        <f t="shared" si="17"/>
        <v>104.61344537815125</v>
      </c>
    </row>
    <row r="324" spans="1:14">
      <c r="A324" s="9" t="s">
        <v>602</v>
      </c>
      <c r="B324" s="8">
        <v>24</v>
      </c>
      <c r="C324" s="8" t="s">
        <v>51</v>
      </c>
      <c r="D324" s="8" t="s">
        <v>46</v>
      </c>
      <c r="E324" s="8" t="s">
        <v>603</v>
      </c>
      <c r="F324" s="8">
        <v>540</v>
      </c>
      <c r="G324" s="8">
        <v>183.38</v>
      </c>
      <c r="H324" s="10">
        <v>17.84</v>
      </c>
      <c r="I324" s="21">
        <f>Table1[[#This Row],[BRUTTO_monthly_bill_eur]]/1.19</f>
        <v>154.10084033613447</v>
      </c>
      <c r="J324" s="21">
        <f>Table1[[#This Row],[monthly_consumption_kwh]]*Table1[[#This Row],[NETTO_procurement_cost_ct_per_kwh]]/100</f>
        <v>96.335999999999999</v>
      </c>
      <c r="K324" s="21">
        <f>Table1[[#This Row],[NETTO_monthly_revenue(€)]]-Table1[[#This Row],[procurement_cost_(€)]]</f>
        <v>57.764840336134469</v>
      </c>
      <c r="L324" s="21">
        <f t="shared" si="15"/>
        <v>10.697192654839718</v>
      </c>
      <c r="M324" s="21" t="str">
        <f t="shared" si="16"/>
        <v>31.05.2024</v>
      </c>
      <c r="N324" s="21">
        <f t="shared" si="17"/>
        <v>154.10084033613447</v>
      </c>
    </row>
    <row r="325" spans="1:14">
      <c r="A325" s="9" t="s">
        <v>604</v>
      </c>
      <c r="B325" s="8">
        <v>12</v>
      </c>
      <c r="C325" s="8" t="s">
        <v>51</v>
      </c>
      <c r="D325" s="8" t="s">
        <v>36</v>
      </c>
      <c r="E325" s="8" t="s">
        <v>605</v>
      </c>
      <c r="F325" s="8">
        <v>452</v>
      </c>
      <c r="G325" s="8">
        <v>151.26</v>
      </c>
      <c r="H325" s="10">
        <v>17</v>
      </c>
      <c r="I325" s="21">
        <f>Table1[[#This Row],[BRUTTO_monthly_bill_eur]]/1.19</f>
        <v>127.10924369747899</v>
      </c>
      <c r="J325" s="21">
        <f>Table1[[#This Row],[monthly_consumption_kwh]]*Table1[[#This Row],[NETTO_procurement_cost_ct_per_kwh]]/100</f>
        <v>76.84</v>
      </c>
      <c r="K325" s="21">
        <f>Table1[[#This Row],[NETTO_monthly_revenue(€)]]-Table1[[#This Row],[procurement_cost_(€)]]</f>
        <v>50.269243697478984</v>
      </c>
      <c r="L325" s="21">
        <f t="shared" si="15"/>
        <v>11.121514092362608</v>
      </c>
      <c r="M325" s="21" t="str">
        <f t="shared" si="16"/>
        <v>16.03.2025</v>
      </c>
      <c r="N325" s="21">
        <f t="shared" si="17"/>
        <v>127.10924369747899</v>
      </c>
    </row>
    <row r="326" spans="1:14">
      <c r="A326" s="9" t="s">
        <v>606</v>
      </c>
      <c r="B326" s="8">
        <v>24</v>
      </c>
      <c r="C326" s="8" t="s">
        <v>35</v>
      </c>
      <c r="D326" s="8" t="s">
        <v>36</v>
      </c>
      <c r="E326" s="8" t="s">
        <v>607</v>
      </c>
      <c r="F326" s="8">
        <v>299</v>
      </c>
      <c r="G326" s="8">
        <v>118.51</v>
      </c>
      <c r="H326" s="10">
        <v>22.67</v>
      </c>
      <c r="I326" s="21">
        <f>Table1[[#This Row],[BRUTTO_monthly_bill_eur]]/1.19</f>
        <v>99.588235294117652</v>
      </c>
      <c r="J326" s="21">
        <f>Table1[[#This Row],[monthly_consumption_kwh]]*Table1[[#This Row],[NETTO_procurement_cost_ct_per_kwh]]/100</f>
        <v>67.783300000000011</v>
      </c>
      <c r="K326" s="21">
        <f>Table1[[#This Row],[NETTO_monthly_revenue(€)]]-Table1[[#This Row],[procurement_cost_(€)]]</f>
        <v>31.804935294117641</v>
      </c>
      <c r="L326" s="21">
        <f t="shared" si="15"/>
        <v>10.637102105056067</v>
      </c>
      <c r="M326" s="21" t="str">
        <f t="shared" si="16"/>
        <v>10.05.2024</v>
      </c>
      <c r="N326" s="21">
        <f t="shared" si="17"/>
        <v>99.588235294117652</v>
      </c>
    </row>
    <row r="327" spans="1:14">
      <c r="A327" s="9" t="s">
        <v>608</v>
      </c>
      <c r="B327" s="8">
        <v>24</v>
      </c>
      <c r="C327" s="8" t="s">
        <v>35</v>
      </c>
      <c r="D327" s="8" t="s">
        <v>36</v>
      </c>
      <c r="E327" s="8" t="s">
        <v>609</v>
      </c>
      <c r="F327" s="8">
        <v>182</v>
      </c>
      <c r="G327" s="8">
        <v>77.209999999999994</v>
      </c>
      <c r="H327" s="10">
        <v>22.59</v>
      </c>
      <c r="I327" s="21">
        <f>Table1[[#This Row],[BRUTTO_monthly_bill_eur]]/1.19</f>
        <v>64.882352941176464</v>
      </c>
      <c r="J327" s="21">
        <f>Table1[[#This Row],[monthly_consumption_kwh]]*Table1[[#This Row],[NETTO_procurement_cost_ct_per_kwh]]/100</f>
        <v>41.113799999999998</v>
      </c>
      <c r="K327" s="21">
        <f>Table1[[#This Row],[NETTO_monthly_revenue(€)]]-Table1[[#This Row],[procurement_cost_(€)]]</f>
        <v>23.768552941176466</v>
      </c>
      <c r="L327" s="21">
        <f t="shared" si="15"/>
        <v>13.059644473173881</v>
      </c>
      <c r="M327" s="21" t="str">
        <f t="shared" si="16"/>
        <v>12.02.2024</v>
      </c>
      <c r="N327" s="21">
        <f t="shared" si="17"/>
        <v>64.882352941176464</v>
      </c>
    </row>
    <row r="328" spans="1:14">
      <c r="A328" s="9" t="s">
        <v>610</v>
      </c>
      <c r="B328" s="8">
        <v>24</v>
      </c>
      <c r="C328" s="8" t="s">
        <v>39</v>
      </c>
      <c r="D328" s="8" t="s">
        <v>36</v>
      </c>
      <c r="E328" s="8" t="s">
        <v>611</v>
      </c>
      <c r="F328" s="8">
        <v>132</v>
      </c>
      <c r="G328" s="8">
        <v>56.35</v>
      </c>
      <c r="H328" s="10">
        <v>31.89</v>
      </c>
      <c r="I328" s="21">
        <f>Table1[[#This Row],[BRUTTO_monthly_bill_eur]]/1.19</f>
        <v>47.352941176470594</v>
      </c>
      <c r="J328" s="21">
        <f>Table1[[#This Row],[monthly_consumption_kwh]]*Table1[[#This Row],[NETTO_procurement_cost_ct_per_kwh]]/100</f>
        <v>42.094800000000006</v>
      </c>
      <c r="K328" s="21">
        <f>Table1[[#This Row],[NETTO_monthly_revenue(€)]]-Table1[[#This Row],[procurement_cost_(€)]]</f>
        <v>5.2581411764705877</v>
      </c>
      <c r="L328" s="21">
        <f t="shared" si="15"/>
        <v>3.9834402852049906</v>
      </c>
      <c r="M328" s="21" t="str">
        <f t="shared" si="16"/>
        <v>11.11.2024</v>
      </c>
      <c r="N328" s="21">
        <f t="shared" si="17"/>
        <v>47.352941176470594</v>
      </c>
    </row>
    <row r="329" spans="1:14">
      <c r="A329" s="9" t="s">
        <v>612</v>
      </c>
      <c r="B329" s="8">
        <v>24</v>
      </c>
      <c r="C329" s="8" t="s">
        <v>35</v>
      </c>
      <c r="D329" s="8" t="s">
        <v>36</v>
      </c>
      <c r="E329" s="8" t="s">
        <v>143</v>
      </c>
      <c r="F329" s="8">
        <v>247</v>
      </c>
      <c r="G329" s="8">
        <v>98.67</v>
      </c>
      <c r="H329" s="10">
        <v>25.04</v>
      </c>
      <c r="I329" s="21">
        <f>Table1[[#This Row],[BRUTTO_monthly_bill_eur]]/1.19</f>
        <v>82.915966386554629</v>
      </c>
      <c r="J329" s="21">
        <f>Table1[[#This Row],[monthly_consumption_kwh]]*Table1[[#This Row],[NETTO_procurement_cost_ct_per_kwh]]/100</f>
        <v>61.848800000000004</v>
      </c>
      <c r="K329" s="21">
        <f>Table1[[#This Row],[NETTO_monthly_revenue(€)]]-Table1[[#This Row],[procurement_cost_(€)]]</f>
        <v>21.067166386554625</v>
      </c>
      <c r="L329" s="21">
        <f t="shared" si="15"/>
        <v>8.5292171605484324</v>
      </c>
      <c r="M329" s="21" t="str">
        <f t="shared" si="16"/>
        <v>08.01.2025</v>
      </c>
      <c r="N329" s="21">
        <f t="shared" si="17"/>
        <v>82.915966386554629</v>
      </c>
    </row>
    <row r="330" spans="1:14">
      <c r="A330" s="9" t="s">
        <v>613</v>
      </c>
      <c r="B330" s="8">
        <v>12</v>
      </c>
      <c r="C330" s="8" t="s">
        <v>35</v>
      </c>
      <c r="D330" s="8" t="s">
        <v>36</v>
      </c>
      <c r="E330" s="8" t="s">
        <v>491</v>
      </c>
      <c r="F330" s="8">
        <v>274</v>
      </c>
      <c r="G330" s="8">
        <v>98.28</v>
      </c>
      <c r="H330" s="10">
        <v>25.87</v>
      </c>
      <c r="I330" s="21">
        <f>Table1[[#This Row],[BRUTTO_monthly_bill_eur]]/1.19</f>
        <v>82.588235294117652</v>
      </c>
      <c r="J330" s="21">
        <f>Table1[[#This Row],[monthly_consumption_kwh]]*Table1[[#This Row],[NETTO_procurement_cost_ct_per_kwh]]/100</f>
        <v>70.883800000000008</v>
      </c>
      <c r="K330" s="21">
        <f>Table1[[#This Row],[NETTO_monthly_revenue(€)]]-Table1[[#This Row],[procurement_cost_(€)]]</f>
        <v>11.704435294117644</v>
      </c>
      <c r="L330" s="21">
        <f t="shared" si="15"/>
        <v>4.2716917131816219</v>
      </c>
      <c r="M330" s="21" t="str">
        <f t="shared" si="16"/>
        <v>10.02.2024</v>
      </c>
      <c r="N330" s="21">
        <f t="shared" si="17"/>
        <v>82.588235294117652</v>
      </c>
    </row>
    <row r="331" spans="1:14">
      <c r="A331" s="9" t="s">
        <v>614</v>
      </c>
      <c r="B331" s="8">
        <v>12</v>
      </c>
      <c r="C331" s="8" t="s">
        <v>39</v>
      </c>
      <c r="D331" s="8" t="s">
        <v>36</v>
      </c>
      <c r="E331" s="8" t="s">
        <v>615</v>
      </c>
      <c r="F331" s="8">
        <v>88</v>
      </c>
      <c r="G331" s="8">
        <v>45.6</v>
      </c>
      <c r="H331" s="10">
        <v>29.76</v>
      </c>
      <c r="I331" s="21">
        <f>Table1[[#This Row],[BRUTTO_monthly_bill_eur]]/1.19</f>
        <v>38.319327731092443</v>
      </c>
      <c r="J331" s="21">
        <f>Table1[[#This Row],[monthly_consumption_kwh]]*Table1[[#This Row],[NETTO_procurement_cost_ct_per_kwh]]/100</f>
        <v>26.188800000000001</v>
      </c>
      <c r="K331" s="21">
        <f>Table1[[#This Row],[NETTO_monthly_revenue(€)]]-Table1[[#This Row],[procurement_cost_(€)]]</f>
        <v>12.130527731092442</v>
      </c>
      <c r="L331" s="21">
        <f t="shared" si="15"/>
        <v>13.784690603514138</v>
      </c>
      <c r="M331" s="21" t="str">
        <f t="shared" si="16"/>
        <v>01.01.2025</v>
      </c>
      <c r="N331" s="21">
        <f t="shared" si="17"/>
        <v>38.319327731092443</v>
      </c>
    </row>
    <row r="332" spans="1:14">
      <c r="A332" s="9" t="s">
        <v>616</v>
      </c>
      <c r="B332" s="8">
        <v>12</v>
      </c>
      <c r="C332" s="8" t="s">
        <v>35</v>
      </c>
      <c r="D332" s="8" t="s">
        <v>46</v>
      </c>
      <c r="E332" s="8" t="s">
        <v>562</v>
      </c>
      <c r="F332" s="8">
        <v>263</v>
      </c>
      <c r="G332" s="8">
        <v>97.85</v>
      </c>
      <c r="H332" s="10">
        <v>23.11</v>
      </c>
      <c r="I332" s="21">
        <f>Table1[[#This Row],[BRUTTO_monthly_bill_eur]]/1.19</f>
        <v>82.226890756302524</v>
      </c>
      <c r="J332" s="21">
        <f>Table1[[#This Row],[monthly_consumption_kwh]]*Table1[[#This Row],[NETTO_procurement_cost_ct_per_kwh]]/100</f>
        <v>60.779300000000006</v>
      </c>
      <c r="K332" s="21">
        <f>Table1[[#This Row],[NETTO_monthly_revenue(€)]]-Table1[[#This Row],[procurement_cost_(€)]]</f>
        <v>21.447590756302517</v>
      </c>
      <c r="L332" s="21">
        <f t="shared" si="15"/>
        <v>8.1549774738792831</v>
      </c>
      <c r="M332" s="21" t="str">
        <f t="shared" si="16"/>
        <v>03.08.2024</v>
      </c>
      <c r="N332" s="21">
        <f t="shared" si="17"/>
        <v>82.226890756302524</v>
      </c>
    </row>
    <row r="333" spans="1:14">
      <c r="A333" s="9" t="s">
        <v>617</v>
      </c>
      <c r="B333" s="8">
        <v>24</v>
      </c>
      <c r="C333" s="8" t="s">
        <v>35</v>
      </c>
      <c r="D333" s="8" t="s">
        <v>36</v>
      </c>
      <c r="E333" s="8" t="s">
        <v>416</v>
      </c>
      <c r="F333" s="8">
        <v>260</v>
      </c>
      <c r="G333" s="8">
        <v>96.81</v>
      </c>
      <c r="H333" s="10">
        <v>25.19</v>
      </c>
      <c r="I333" s="21">
        <f>Table1[[#This Row],[BRUTTO_monthly_bill_eur]]/1.19</f>
        <v>81.352941176470594</v>
      </c>
      <c r="J333" s="21">
        <f>Table1[[#This Row],[monthly_consumption_kwh]]*Table1[[#This Row],[NETTO_procurement_cost_ct_per_kwh]]/100</f>
        <v>65.494</v>
      </c>
      <c r="K333" s="21">
        <f>Table1[[#This Row],[NETTO_monthly_revenue(€)]]-Table1[[#This Row],[procurement_cost_(€)]]</f>
        <v>15.858941176470594</v>
      </c>
      <c r="L333" s="21">
        <f t="shared" si="15"/>
        <v>6.0995927601809976</v>
      </c>
      <c r="M333" s="21" t="str">
        <f t="shared" si="16"/>
        <v>12.09.2024</v>
      </c>
      <c r="N333" s="21">
        <f t="shared" si="17"/>
        <v>81.352941176470594</v>
      </c>
    </row>
    <row r="334" spans="1:14">
      <c r="A334" s="9" t="s">
        <v>618</v>
      </c>
      <c r="B334" s="8">
        <v>12</v>
      </c>
      <c r="C334" s="8" t="s">
        <v>39</v>
      </c>
      <c r="D334" s="8" t="s">
        <v>36</v>
      </c>
      <c r="E334" s="8" t="s">
        <v>619</v>
      </c>
      <c r="F334" s="8">
        <v>130</v>
      </c>
      <c r="G334" s="8">
        <v>55.39</v>
      </c>
      <c r="H334" s="10">
        <v>29.31</v>
      </c>
      <c r="I334" s="21">
        <f>Table1[[#This Row],[BRUTTO_monthly_bill_eur]]/1.19</f>
        <v>46.54621848739496</v>
      </c>
      <c r="J334" s="21">
        <f>Table1[[#This Row],[monthly_consumption_kwh]]*Table1[[#This Row],[NETTO_procurement_cost_ct_per_kwh]]/100</f>
        <v>38.102999999999994</v>
      </c>
      <c r="K334" s="21">
        <f>Table1[[#This Row],[NETTO_monthly_revenue(€)]]-Table1[[#This Row],[procurement_cost_(€)]]</f>
        <v>8.4432184873949652</v>
      </c>
      <c r="L334" s="21">
        <f t="shared" si="15"/>
        <v>6.4947834518422818</v>
      </c>
      <c r="M334" s="21" t="str">
        <f t="shared" si="16"/>
        <v>15.04.2024</v>
      </c>
      <c r="N334" s="21">
        <f t="shared" si="17"/>
        <v>46.54621848739496</v>
      </c>
    </row>
    <row r="335" spans="1:14">
      <c r="A335" s="9" t="s">
        <v>620</v>
      </c>
      <c r="B335" s="8">
        <v>12</v>
      </c>
      <c r="C335" s="8" t="s">
        <v>39</v>
      </c>
      <c r="D335" s="8" t="s">
        <v>56</v>
      </c>
      <c r="E335" s="8" t="s">
        <v>383</v>
      </c>
      <c r="F335" s="8">
        <v>134</v>
      </c>
      <c r="G335" s="8">
        <v>57.21</v>
      </c>
      <c r="H335" s="10">
        <v>29.2</v>
      </c>
      <c r="I335" s="21">
        <f>Table1[[#This Row],[BRUTTO_monthly_bill_eur]]/1.19</f>
        <v>48.075630252100844</v>
      </c>
      <c r="J335" s="21">
        <f>Table1[[#This Row],[monthly_consumption_kwh]]*Table1[[#This Row],[NETTO_procurement_cost_ct_per_kwh]]/100</f>
        <v>39.128</v>
      </c>
      <c r="K335" s="21">
        <f>Table1[[#This Row],[NETTO_monthly_revenue(€)]]-Table1[[#This Row],[procurement_cost_(€)]]</f>
        <v>8.9476302521008435</v>
      </c>
      <c r="L335" s="21">
        <f t="shared" si="15"/>
        <v>6.6773360090304807</v>
      </c>
      <c r="M335" s="21" t="str">
        <f t="shared" si="16"/>
        <v>28.12.2024</v>
      </c>
      <c r="N335" s="21">
        <f t="shared" si="17"/>
        <v>48.075630252100844</v>
      </c>
    </row>
    <row r="336" spans="1:14">
      <c r="A336" s="9" t="s">
        <v>621</v>
      </c>
      <c r="B336" s="8">
        <v>12</v>
      </c>
      <c r="C336" s="8" t="s">
        <v>35</v>
      </c>
      <c r="D336" s="8" t="s">
        <v>56</v>
      </c>
      <c r="E336" s="8" t="s">
        <v>374</v>
      </c>
      <c r="F336" s="8">
        <v>279</v>
      </c>
      <c r="G336" s="8">
        <v>105.97</v>
      </c>
      <c r="H336" s="10">
        <v>22.93</v>
      </c>
      <c r="I336" s="21">
        <f>Table1[[#This Row],[BRUTTO_monthly_bill_eur]]/1.19</f>
        <v>89.050420168067234</v>
      </c>
      <c r="J336" s="21">
        <f>Table1[[#This Row],[monthly_consumption_kwh]]*Table1[[#This Row],[NETTO_procurement_cost_ct_per_kwh]]/100</f>
        <v>63.974700000000006</v>
      </c>
      <c r="K336" s="21">
        <f>Table1[[#This Row],[NETTO_monthly_revenue(€)]]-Table1[[#This Row],[procurement_cost_(€)]]</f>
        <v>25.075720168067228</v>
      </c>
      <c r="L336" s="21">
        <f t="shared" si="15"/>
        <v>8.9877133218878953</v>
      </c>
      <c r="M336" s="21" t="str">
        <f t="shared" si="16"/>
        <v>20.02.2025</v>
      </c>
      <c r="N336" s="21">
        <f t="shared" si="17"/>
        <v>89.050420168067234</v>
      </c>
    </row>
    <row r="337" spans="1:14">
      <c r="A337" s="9" t="s">
        <v>622</v>
      </c>
      <c r="B337" s="8">
        <v>12</v>
      </c>
      <c r="C337" s="8" t="s">
        <v>39</v>
      </c>
      <c r="D337" s="8" t="s">
        <v>46</v>
      </c>
      <c r="E337" s="8" t="s">
        <v>455</v>
      </c>
      <c r="F337" s="8">
        <v>151</v>
      </c>
      <c r="G337" s="8">
        <v>61.78</v>
      </c>
      <c r="H337" s="10">
        <v>30.52</v>
      </c>
      <c r="I337" s="21">
        <f>Table1[[#This Row],[BRUTTO_monthly_bill_eur]]/1.19</f>
        <v>51.915966386554622</v>
      </c>
      <c r="J337" s="21">
        <f>Table1[[#This Row],[monthly_consumption_kwh]]*Table1[[#This Row],[NETTO_procurement_cost_ct_per_kwh]]/100</f>
        <v>46.085199999999993</v>
      </c>
      <c r="K337" s="21">
        <f>Table1[[#This Row],[NETTO_monthly_revenue(€)]]-Table1[[#This Row],[procurement_cost_(€)]]</f>
        <v>5.8307663865546289</v>
      </c>
      <c r="L337" s="21">
        <f t="shared" si="15"/>
        <v>3.8614346930825354</v>
      </c>
      <c r="M337" s="21" t="str">
        <f t="shared" si="16"/>
        <v>07.06.2024</v>
      </c>
      <c r="N337" s="21">
        <f t="shared" si="17"/>
        <v>51.915966386554622</v>
      </c>
    </row>
    <row r="338" spans="1:14">
      <c r="A338" s="9" t="s">
        <v>623</v>
      </c>
      <c r="B338" s="8">
        <v>24</v>
      </c>
      <c r="C338" s="8" t="s">
        <v>51</v>
      </c>
      <c r="D338" s="8" t="s">
        <v>56</v>
      </c>
      <c r="E338" s="8" t="s">
        <v>428</v>
      </c>
      <c r="F338" s="8">
        <v>0</v>
      </c>
      <c r="G338" s="8">
        <v>147.32</v>
      </c>
      <c r="H338" s="10">
        <v>19.28</v>
      </c>
      <c r="I338" s="21">
        <f>Table1[[#This Row],[BRUTTO_monthly_bill_eur]]/1.19</f>
        <v>123.79831932773109</v>
      </c>
      <c r="J338" s="21">
        <f>Table1[[#This Row],[monthly_consumption_kwh]]*Table1[[#This Row],[NETTO_procurement_cost_ct_per_kwh]]/100</f>
        <v>0</v>
      </c>
      <c r="K338" s="21">
        <f>Table1[[#This Row],[NETTO_monthly_revenue(€)]]-Table1[[#This Row],[procurement_cost_(€)]]</f>
        <v>123.79831932773109</v>
      </c>
      <c r="L338" s="21" t="str">
        <f t="shared" si="15"/>
        <v/>
      </c>
      <c r="M338" s="21" t="str">
        <f t="shared" si="16"/>
        <v>30.08.2024</v>
      </c>
      <c r="N338" s="21">
        <f t="shared" si="17"/>
        <v>123.79831932773109</v>
      </c>
    </row>
    <row r="339" spans="1:14">
      <c r="A339" s="9" t="s">
        <v>624</v>
      </c>
      <c r="B339" s="8">
        <v>24</v>
      </c>
      <c r="C339" s="8" t="s">
        <v>35</v>
      </c>
      <c r="D339" s="8" t="s">
        <v>36</v>
      </c>
      <c r="E339" s="8" t="s">
        <v>145</v>
      </c>
      <c r="F339" s="8">
        <v>304</v>
      </c>
      <c r="G339" s="8">
        <v>117.38</v>
      </c>
      <c r="H339" s="10">
        <v>25.42</v>
      </c>
      <c r="I339" s="21">
        <f>Table1[[#This Row],[BRUTTO_monthly_bill_eur]]/1.19</f>
        <v>98.638655462184872</v>
      </c>
      <c r="J339" s="21">
        <f>Table1[[#This Row],[monthly_consumption_kwh]]*Table1[[#This Row],[NETTO_procurement_cost_ct_per_kwh]]/100</f>
        <v>77.276800000000009</v>
      </c>
      <c r="K339" s="21">
        <f>Table1[[#This Row],[NETTO_monthly_revenue(€)]]-Table1[[#This Row],[procurement_cost_(€)]]</f>
        <v>21.361855462184863</v>
      </c>
      <c r="L339" s="21">
        <f t="shared" si="15"/>
        <v>7.0269261388765987</v>
      </c>
      <c r="M339" s="21" t="str">
        <f t="shared" si="16"/>
        <v>15.06.2024</v>
      </c>
      <c r="N339" s="21">
        <f t="shared" si="17"/>
        <v>98.638655462184872</v>
      </c>
    </row>
    <row r="340" spans="1:14">
      <c r="A340" s="9" t="s">
        <v>625</v>
      </c>
      <c r="B340" s="8">
        <v>12</v>
      </c>
      <c r="C340" s="8" t="s">
        <v>35</v>
      </c>
      <c r="D340" s="8" t="s">
        <v>56</v>
      </c>
      <c r="E340" s="8" t="s">
        <v>626</v>
      </c>
      <c r="F340" s="8">
        <v>250</v>
      </c>
      <c r="G340" s="8">
        <v>94.93</v>
      </c>
      <c r="H340" s="10">
        <v>26.7</v>
      </c>
      <c r="I340" s="21">
        <f>Table1[[#This Row],[BRUTTO_monthly_bill_eur]]/1.19</f>
        <v>79.77310924369749</v>
      </c>
      <c r="J340" s="21">
        <f>Table1[[#This Row],[monthly_consumption_kwh]]*Table1[[#This Row],[NETTO_procurement_cost_ct_per_kwh]]/100</f>
        <v>66.75</v>
      </c>
      <c r="K340" s="21">
        <f>Table1[[#This Row],[NETTO_monthly_revenue(€)]]-Table1[[#This Row],[procurement_cost_(€)]]</f>
        <v>13.02310924369749</v>
      </c>
      <c r="L340" s="21">
        <f t="shared" si="15"/>
        <v>5.2092436974789962</v>
      </c>
      <c r="M340" s="21" t="str">
        <f t="shared" si="16"/>
        <v>30.06.2024</v>
      </c>
      <c r="N340" s="21">
        <f t="shared" si="17"/>
        <v>79.77310924369749</v>
      </c>
    </row>
    <row r="341" spans="1:14">
      <c r="A341" s="9" t="s">
        <v>627</v>
      </c>
      <c r="B341" s="8">
        <v>12</v>
      </c>
      <c r="C341" s="8" t="s">
        <v>35</v>
      </c>
      <c r="D341" s="8" t="s">
        <v>36</v>
      </c>
      <c r="E341" s="8" t="s">
        <v>628</v>
      </c>
      <c r="F341" s="8">
        <v>180</v>
      </c>
      <c r="G341" s="8">
        <v>72.05</v>
      </c>
      <c r="H341" s="10">
        <v>22.25</v>
      </c>
      <c r="I341" s="21">
        <f>Table1[[#This Row],[BRUTTO_monthly_bill_eur]]/1.19</f>
        <v>60.54621848739496</v>
      </c>
      <c r="J341" s="21">
        <f>Table1[[#This Row],[monthly_consumption_kwh]]*Table1[[#This Row],[NETTO_procurement_cost_ct_per_kwh]]/100</f>
        <v>40.049999999999997</v>
      </c>
      <c r="K341" s="21">
        <f>Table1[[#This Row],[NETTO_monthly_revenue(€)]]-Table1[[#This Row],[procurement_cost_(€)]]</f>
        <v>20.496218487394962</v>
      </c>
      <c r="L341" s="21">
        <f t="shared" si="15"/>
        <v>11.386788048552758</v>
      </c>
      <c r="M341" s="21" t="str">
        <f t="shared" si="16"/>
        <v>26.02.2025</v>
      </c>
      <c r="N341" s="21">
        <f t="shared" si="17"/>
        <v>60.54621848739496</v>
      </c>
    </row>
    <row r="342" spans="1:14">
      <c r="A342" s="9" t="s">
        <v>629</v>
      </c>
      <c r="B342" s="8">
        <v>12</v>
      </c>
      <c r="C342" s="8" t="s">
        <v>51</v>
      </c>
      <c r="D342" s="8" t="s">
        <v>36</v>
      </c>
      <c r="E342" s="8" t="s">
        <v>40</v>
      </c>
      <c r="F342" s="8">
        <v>353</v>
      </c>
      <c r="G342" s="8">
        <v>120.64</v>
      </c>
      <c r="H342" s="10">
        <v>17.55</v>
      </c>
      <c r="I342" s="21">
        <f>Table1[[#This Row],[BRUTTO_monthly_bill_eur]]/1.19</f>
        <v>101.37815126050421</v>
      </c>
      <c r="J342" s="21">
        <f>Table1[[#This Row],[monthly_consumption_kwh]]*Table1[[#This Row],[NETTO_procurement_cost_ct_per_kwh]]/100</f>
        <v>61.951500000000003</v>
      </c>
      <c r="K342" s="21">
        <f>Table1[[#This Row],[NETTO_monthly_revenue(€)]]-Table1[[#This Row],[procurement_cost_(€)]]</f>
        <v>39.426651260504208</v>
      </c>
      <c r="L342" s="21">
        <f t="shared" si="15"/>
        <v>11.169023019972864</v>
      </c>
      <c r="M342" s="21" t="str">
        <f t="shared" si="16"/>
        <v>26.01.2024</v>
      </c>
      <c r="N342" s="21">
        <f t="shared" si="17"/>
        <v>101.37815126050421</v>
      </c>
    </row>
    <row r="343" spans="1:14">
      <c r="A343" s="9" t="s">
        <v>630</v>
      </c>
      <c r="B343" s="8">
        <v>12</v>
      </c>
      <c r="C343" s="8" t="s">
        <v>39</v>
      </c>
      <c r="D343" s="8" t="s">
        <v>36</v>
      </c>
      <c r="E343" s="8" t="s">
        <v>631</v>
      </c>
      <c r="F343" s="8">
        <v>111</v>
      </c>
      <c r="G343" s="8">
        <v>47.33</v>
      </c>
      <c r="H343" s="10">
        <v>31.24</v>
      </c>
      <c r="I343" s="21">
        <f>Table1[[#This Row],[BRUTTO_monthly_bill_eur]]/1.19</f>
        <v>39.773109243697476</v>
      </c>
      <c r="J343" s="21">
        <f>Table1[[#This Row],[monthly_consumption_kwh]]*Table1[[#This Row],[NETTO_procurement_cost_ct_per_kwh]]/100</f>
        <v>34.676400000000001</v>
      </c>
      <c r="K343" s="21">
        <f>Table1[[#This Row],[NETTO_monthly_revenue(€)]]-Table1[[#This Row],[procurement_cost_(€)]]</f>
        <v>5.0967092436974752</v>
      </c>
      <c r="L343" s="21">
        <f t="shared" si="15"/>
        <v>4.5916299492770047</v>
      </c>
      <c r="M343" s="21" t="str">
        <f t="shared" si="16"/>
        <v>02.07.2024</v>
      </c>
      <c r="N343" s="21">
        <f t="shared" si="17"/>
        <v>39.773109243697476</v>
      </c>
    </row>
    <row r="344" spans="1:14">
      <c r="A344" s="9" t="s">
        <v>632</v>
      </c>
      <c r="B344" s="8">
        <v>12</v>
      </c>
      <c r="C344" s="8" t="s">
        <v>35</v>
      </c>
      <c r="D344" s="8" t="s">
        <v>36</v>
      </c>
      <c r="E344" s="8" t="s">
        <v>633</v>
      </c>
      <c r="F344" s="8">
        <v>297</v>
      </c>
      <c r="G344" s="8">
        <v>114.75</v>
      </c>
      <c r="H344" s="10">
        <v>22.59</v>
      </c>
      <c r="I344" s="21">
        <f>Table1[[#This Row],[BRUTTO_monthly_bill_eur]]/1.19</f>
        <v>96.428571428571431</v>
      </c>
      <c r="J344" s="21">
        <f>Table1[[#This Row],[monthly_consumption_kwh]]*Table1[[#This Row],[NETTO_procurement_cost_ct_per_kwh]]/100</f>
        <v>67.092299999999994</v>
      </c>
      <c r="K344" s="21">
        <f>Table1[[#This Row],[NETTO_monthly_revenue(€)]]-Table1[[#This Row],[procurement_cost_(€)]]</f>
        <v>29.336271428571436</v>
      </c>
      <c r="L344" s="21">
        <f t="shared" si="15"/>
        <v>9.8775324675324701</v>
      </c>
      <c r="M344" s="21" t="str">
        <f t="shared" si="16"/>
        <v>06.12.2024</v>
      </c>
      <c r="N344" s="21">
        <f t="shared" si="17"/>
        <v>96.428571428571431</v>
      </c>
    </row>
    <row r="345" spans="1:14">
      <c r="A345" s="9" t="s">
        <v>634</v>
      </c>
      <c r="B345" s="8">
        <v>12</v>
      </c>
      <c r="C345" s="8" t="s">
        <v>35</v>
      </c>
      <c r="D345" s="8" t="s">
        <v>36</v>
      </c>
      <c r="E345" s="8" t="s">
        <v>635</v>
      </c>
      <c r="F345" s="8">
        <v>284</v>
      </c>
      <c r="G345" s="8">
        <v>111.29</v>
      </c>
      <c r="H345" s="10">
        <v>23.37</v>
      </c>
      <c r="I345" s="21">
        <f>Table1[[#This Row],[BRUTTO_monthly_bill_eur]]/1.19</f>
        <v>93.52100840336135</v>
      </c>
      <c r="J345" s="21">
        <f>Table1[[#This Row],[monthly_consumption_kwh]]*Table1[[#This Row],[NETTO_procurement_cost_ct_per_kwh]]/100</f>
        <v>66.370800000000003</v>
      </c>
      <c r="K345" s="21">
        <f>Table1[[#This Row],[NETTO_monthly_revenue(€)]]-Table1[[#This Row],[procurement_cost_(€)]]</f>
        <v>27.150208403361347</v>
      </c>
      <c r="L345" s="21">
        <f t="shared" si="15"/>
        <v>9.5599325363948413</v>
      </c>
      <c r="M345" s="21" t="str">
        <f t="shared" si="16"/>
        <v>25.02.2025</v>
      </c>
      <c r="N345" s="21">
        <f t="shared" si="17"/>
        <v>93.52100840336135</v>
      </c>
    </row>
    <row r="346" spans="1:14">
      <c r="A346" s="9" t="s">
        <v>636</v>
      </c>
      <c r="B346" s="8">
        <v>12</v>
      </c>
      <c r="C346" s="8" t="s">
        <v>39</v>
      </c>
      <c r="D346" s="8" t="s">
        <v>46</v>
      </c>
      <c r="E346" s="8" t="s">
        <v>403</v>
      </c>
      <c r="F346" s="8">
        <v>149</v>
      </c>
      <c r="G346" s="8">
        <v>64.3</v>
      </c>
      <c r="H346" s="10">
        <v>31.46</v>
      </c>
      <c r="I346" s="21">
        <f>Table1[[#This Row],[BRUTTO_monthly_bill_eur]]/1.19</f>
        <v>54.033613445378151</v>
      </c>
      <c r="J346" s="21">
        <f>Table1[[#This Row],[monthly_consumption_kwh]]*Table1[[#This Row],[NETTO_procurement_cost_ct_per_kwh]]/100</f>
        <v>46.875399999999999</v>
      </c>
      <c r="K346" s="21">
        <f>Table1[[#This Row],[NETTO_monthly_revenue(€)]]-Table1[[#This Row],[procurement_cost_(€)]]</f>
        <v>7.1582134453781521</v>
      </c>
      <c r="L346" s="21">
        <f t="shared" si="15"/>
        <v>4.8041700975692301</v>
      </c>
      <c r="M346" s="21" t="str">
        <f t="shared" si="16"/>
        <v>11.09.2024</v>
      </c>
      <c r="N346" s="21">
        <f t="shared" si="17"/>
        <v>54.033613445378151</v>
      </c>
    </row>
    <row r="347" spans="1:14">
      <c r="A347" s="9" t="s">
        <v>637</v>
      </c>
      <c r="B347" s="8">
        <v>24</v>
      </c>
      <c r="C347" s="8" t="s">
        <v>51</v>
      </c>
      <c r="D347" s="8" t="s">
        <v>46</v>
      </c>
      <c r="E347" s="8" t="s">
        <v>153</v>
      </c>
      <c r="F347" s="8">
        <v>506</v>
      </c>
      <c r="G347" s="8">
        <v>170.56</v>
      </c>
      <c r="H347" s="10">
        <v>17.27</v>
      </c>
      <c r="I347" s="21">
        <f>Table1[[#This Row],[BRUTTO_monthly_bill_eur]]/1.19</f>
        <v>143.32773109243698</v>
      </c>
      <c r="J347" s="21">
        <f>Table1[[#This Row],[monthly_consumption_kwh]]*Table1[[#This Row],[NETTO_procurement_cost_ct_per_kwh]]/100</f>
        <v>87.386199999999988</v>
      </c>
      <c r="K347" s="21">
        <f>Table1[[#This Row],[NETTO_monthly_revenue(€)]]-Table1[[#This Row],[procurement_cost_(€)]]</f>
        <v>55.941531092436989</v>
      </c>
      <c r="L347" s="21">
        <f t="shared" si="15"/>
        <v>11.055638555817588</v>
      </c>
      <c r="M347" s="21" t="str">
        <f t="shared" si="16"/>
        <v>30.09.2024</v>
      </c>
      <c r="N347" s="21">
        <f t="shared" si="17"/>
        <v>143.32773109243698</v>
      </c>
    </row>
    <row r="348" spans="1:14">
      <c r="A348" s="9" t="s">
        <v>638</v>
      </c>
      <c r="B348" s="8">
        <v>24</v>
      </c>
      <c r="C348" s="8" t="s">
        <v>51</v>
      </c>
      <c r="D348" s="8" t="s">
        <v>46</v>
      </c>
      <c r="E348" s="8" t="s">
        <v>85</v>
      </c>
      <c r="F348" s="8">
        <v>480</v>
      </c>
      <c r="G348" s="8">
        <v>169.11</v>
      </c>
      <c r="H348" s="10">
        <v>18.91</v>
      </c>
      <c r="I348" s="21">
        <f>Table1[[#This Row],[BRUTTO_monthly_bill_eur]]/1.19</f>
        <v>142.109243697479</v>
      </c>
      <c r="J348" s="21">
        <f>Table1[[#This Row],[monthly_consumption_kwh]]*Table1[[#This Row],[NETTO_procurement_cost_ct_per_kwh]]/100</f>
        <v>90.767999999999986</v>
      </c>
      <c r="K348" s="21">
        <f>Table1[[#This Row],[NETTO_monthly_revenue(€)]]-Table1[[#This Row],[procurement_cost_(€)]]</f>
        <v>51.341243697479015</v>
      </c>
      <c r="L348" s="21">
        <f t="shared" si="15"/>
        <v>10.696092436974796</v>
      </c>
      <c r="M348" s="21" t="str">
        <f t="shared" si="16"/>
        <v>12.06.2024</v>
      </c>
      <c r="N348" s="21">
        <f t="shared" si="17"/>
        <v>142.109243697479</v>
      </c>
    </row>
    <row r="349" spans="1:14">
      <c r="A349" s="9" t="s">
        <v>639</v>
      </c>
      <c r="B349" s="8">
        <v>12</v>
      </c>
      <c r="C349" s="8" t="s">
        <v>35</v>
      </c>
      <c r="D349" s="8" t="s">
        <v>36</v>
      </c>
      <c r="E349" s="8" t="s">
        <v>640</v>
      </c>
      <c r="F349" s="8">
        <v>192</v>
      </c>
      <c r="G349" s="8">
        <v>77.98</v>
      </c>
      <c r="H349" s="10">
        <v>23.94</v>
      </c>
      <c r="I349" s="21">
        <f>Table1[[#This Row],[BRUTTO_monthly_bill_eur]]/1.19</f>
        <v>65.529411764705884</v>
      </c>
      <c r="J349" s="21">
        <f>Table1[[#This Row],[monthly_consumption_kwh]]*Table1[[#This Row],[NETTO_procurement_cost_ct_per_kwh]]/100</f>
        <v>45.964800000000004</v>
      </c>
      <c r="K349" s="21">
        <f>Table1[[#This Row],[NETTO_monthly_revenue(€)]]-Table1[[#This Row],[procurement_cost_(€)]]</f>
        <v>19.56461176470588</v>
      </c>
      <c r="L349" s="21">
        <f t="shared" si="15"/>
        <v>10.189901960784313</v>
      </c>
      <c r="M349" s="21" t="str">
        <f t="shared" si="16"/>
        <v>2024-04</v>
      </c>
      <c r="N349" s="21">
        <f t="shared" si="17"/>
        <v>65.529411764705884</v>
      </c>
    </row>
    <row r="350" spans="1:14">
      <c r="A350" s="9" t="s">
        <v>641</v>
      </c>
      <c r="B350" s="8">
        <v>12</v>
      </c>
      <c r="C350" s="8" t="s">
        <v>51</v>
      </c>
      <c r="D350" s="8" t="s">
        <v>56</v>
      </c>
      <c r="E350" s="8" t="s">
        <v>642</v>
      </c>
      <c r="F350" s="8">
        <v>443</v>
      </c>
      <c r="G350" s="8">
        <v>154.59</v>
      </c>
      <c r="H350" s="10">
        <v>18.010000000000002</v>
      </c>
      <c r="I350" s="21">
        <f>Table1[[#This Row],[BRUTTO_monthly_bill_eur]]/1.19</f>
        <v>129.9075630252101</v>
      </c>
      <c r="J350" s="21">
        <f>Table1[[#This Row],[monthly_consumption_kwh]]*Table1[[#This Row],[NETTO_procurement_cost_ct_per_kwh]]/100</f>
        <v>79.784300000000002</v>
      </c>
      <c r="K350" s="21">
        <f>Table1[[#This Row],[NETTO_monthly_revenue(€)]]-Table1[[#This Row],[procurement_cost_(€)]]</f>
        <v>50.123263025210093</v>
      </c>
      <c r="L350" s="21">
        <f t="shared" si="15"/>
        <v>11.314506326232527</v>
      </c>
      <c r="M350" s="21" t="str">
        <f t="shared" si="16"/>
        <v>26.01.2025</v>
      </c>
      <c r="N350" s="21">
        <f t="shared" si="17"/>
        <v>129.9075630252101</v>
      </c>
    </row>
    <row r="351" spans="1:14">
      <c r="A351" s="9" t="s">
        <v>643</v>
      </c>
      <c r="B351" s="8">
        <v>24</v>
      </c>
      <c r="C351" s="8" t="s">
        <v>51</v>
      </c>
      <c r="D351" s="8" t="s">
        <v>46</v>
      </c>
      <c r="E351" s="8" t="s">
        <v>644</v>
      </c>
      <c r="F351" s="8">
        <v>478</v>
      </c>
      <c r="G351" s="8">
        <v>163.11000000000001</v>
      </c>
      <c r="H351" s="10">
        <v>19.32</v>
      </c>
      <c r="I351" s="21">
        <f>Table1[[#This Row],[BRUTTO_monthly_bill_eur]]/1.19</f>
        <v>137.06722689075633</v>
      </c>
      <c r="J351" s="21">
        <f>Table1[[#This Row],[monthly_consumption_kwh]]*Table1[[#This Row],[NETTO_procurement_cost_ct_per_kwh]]/100</f>
        <v>92.349600000000009</v>
      </c>
      <c r="K351" s="21">
        <f>Table1[[#This Row],[NETTO_monthly_revenue(€)]]-Table1[[#This Row],[procurement_cost_(€)]]</f>
        <v>44.717626890756321</v>
      </c>
      <c r="L351" s="21">
        <f t="shared" si="15"/>
        <v>9.3551520691958832</v>
      </c>
      <c r="M351" s="21" t="str">
        <f t="shared" si="16"/>
        <v>2024-02</v>
      </c>
      <c r="N351" s="21">
        <f t="shared" si="17"/>
        <v>137.06722689075633</v>
      </c>
    </row>
    <row r="352" spans="1:14">
      <c r="A352" s="9" t="s">
        <v>645</v>
      </c>
      <c r="B352" s="8">
        <v>12</v>
      </c>
      <c r="C352" s="8" t="s">
        <v>35</v>
      </c>
      <c r="D352" s="8" t="s">
        <v>36</v>
      </c>
      <c r="E352" s="8" t="s">
        <v>646</v>
      </c>
      <c r="F352" s="8">
        <v>182</v>
      </c>
      <c r="G352" s="8">
        <v>73.38</v>
      </c>
      <c r="H352" s="10">
        <v>25.22</v>
      </c>
      <c r="I352" s="21">
        <f>Table1[[#This Row],[BRUTTO_monthly_bill_eur]]/1.19</f>
        <v>61.663865546218489</v>
      </c>
      <c r="J352" s="21">
        <f>Table1[[#This Row],[monthly_consumption_kwh]]*Table1[[#This Row],[NETTO_procurement_cost_ct_per_kwh]]/100</f>
        <v>45.900399999999998</v>
      </c>
      <c r="K352" s="21">
        <f>Table1[[#This Row],[NETTO_monthly_revenue(€)]]-Table1[[#This Row],[procurement_cost_(€)]]</f>
        <v>15.763465546218491</v>
      </c>
      <c r="L352" s="21">
        <f t="shared" si="15"/>
        <v>8.6612448056145563</v>
      </c>
      <c r="M352" s="21" t="str">
        <f t="shared" si="16"/>
        <v>26.04.2025</v>
      </c>
      <c r="N352" s="21">
        <f t="shared" si="17"/>
        <v>61.663865546218489</v>
      </c>
    </row>
    <row r="353" spans="1:14">
      <c r="A353" s="9" t="s">
        <v>647</v>
      </c>
      <c r="B353" s="8">
        <v>24</v>
      </c>
      <c r="C353" s="8" t="s">
        <v>51</v>
      </c>
      <c r="D353" s="8" t="s">
        <v>46</v>
      </c>
      <c r="E353" s="8" t="s">
        <v>648</v>
      </c>
      <c r="F353" s="8">
        <v>407</v>
      </c>
      <c r="G353" s="8">
        <v>140.19</v>
      </c>
      <c r="H353" s="10">
        <v>17.190000000000001</v>
      </c>
      <c r="I353" s="21">
        <f>Table1[[#This Row],[BRUTTO_monthly_bill_eur]]/1.19</f>
        <v>117.80672268907563</v>
      </c>
      <c r="J353" s="21">
        <f>Table1[[#This Row],[monthly_consumption_kwh]]*Table1[[#This Row],[NETTO_procurement_cost_ct_per_kwh]]/100</f>
        <v>69.963300000000004</v>
      </c>
      <c r="K353" s="21">
        <f>Table1[[#This Row],[NETTO_monthly_revenue(€)]]-Table1[[#This Row],[procurement_cost_(€)]]</f>
        <v>47.843422689075624</v>
      </c>
      <c r="L353" s="21">
        <f t="shared" si="15"/>
        <v>11.755140709846589</v>
      </c>
      <c r="M353" s="21" t="str">
        <f t="shared" si="16"/>
        <v>15.08.2024</v>
      </c>
      <c r="N353" s="21">
        <f t="shared" si="17"/>
        <v>117.80672268907563</v>
      </c>
    </row>
    <row r="354" spans="1:14">
      <c r="A354" s="9" t="s">
        <v>649</v>
      </c>
      <c r="B354" s="8">
        <v>24</v>
      </c>
      <c r="C354" s="8" t="s">
        <v>35</v>
      </c>
      <c r="D354" s="8" t="s">
        <v>36</v>
      </c>
      <c r="E354" s="8" t="s">
        <v>650</v>
      </c>
      <c r="F354" s="8">
        <v>266</v>
      </c>
      <c r="G354" s="8">
        <v>103.34</v>
      </c>
      <c r="H354" s="10">
        <v>24.32</v>
      </c>
      <c r="I354" s="21">
        <f>Table1[[#This Row],[BRUTTO_monthly_bill_eur]]/1.19</f>
        <v>86.840336134453793</v>
      </c>
      <c r="J354" s="21">
        <f>Table1[[#This Row],[monthly_consumption_kwh]]*Table1[[#This Row],[NETTO_procurement_cost_ct_per_kwh]]/100</f>
        <v>64.691199999999995</v>
      </c>
      <c r="K354" s="21">
        <f>Table1[[#This Row],[NETTO_monthly_revenue(€)]]-Table1[[#This Row],[procurement_cost_(€)]]</f>
        <v>22.149136134453798</v>
      </c>
      <c r="L354" s="21">
        <f t="shared" si="15"/>
        <v>8.3267429076893986</v>
      </c>
      <c r="M354" s="21" t="str">
        <f t="shared" si="16"/>
        <v>23.07.2024</v>
      </c>
      <c r="N354" s="21">
        <f t="shared" si="17"/>
        <v>86.840336134453793</v>
      </c>
    </row>
    <row r="355" spans="1:14">
      <c r="A355" s="9" t="s">
        <v>651</v>
      </c>
      <c r="B355" s="8">
        <v>12</v>
      </c>
      <c r="C355" s="8" t="s">
        <v>35</v>
      </c>
      <c r="D355" s="8" t="s">
        <v>36</v>
      </c>
      <c r="E355" s="8" t="s">
        <v>652</v>
      </c>
      <c r="F355" s="8">
        <v>289</v>
      </c>
      <c r="G355" s="8">
        <v>114.18</v>
      </c>
      <c r="H355" s="10">
        <v>24.02</v>
      </c>
      <c r="I355" s="21">
        <f>Table1[[#This Row],[BRUTTO_monthly_bill_eur]]/1.19</f>
        <v>95.94957983193278</v>
      </c>
      <c r="J355" s="21">
        <f>Table1[[#This Row],[monthly_consumption_kwh]]*Table1[[#This Row],[NETTO_procurement_cost_ct_per_kwh]]/100</f>
        <v>69.4178</v>
      </c>
      <c r="K355" s="21">
        <f>Table1[[#This Row],[NETTO_monthly_revenue(€)]]-Table1[[#This Row],[procurement_cost_(€)]]</f>
        <v>26.531779831932781</v>
      </c>
      <c r="L355" s="21">
        <f t="shared" si="15"/>
        <v>9.1805466546480208</v>
      </c>
      <c r="M355" s="21" t="str">
        <f t="shared" si="16"/>
        <v>16.04.2025</v>
      </c>
      <c r="N355" s="21">
        <f t="shared" si="17"/>
        <v>95.94957983193278</v>
      </c>
    </row>
    <row r="356" spans="1:14">
      <c r="A356" s="9" t="s">
        <v>653</v>
      </c>
      <c r="B356" s="8">
        <v>12</v>
      </c>
      <c r="C356" s="8" t="s">
        <v>35</v>
      </c>
      <c r="D356" s="8" t="s">
        <v>56</v>
      </c>
      <c r="E356" s="8" t="s">
        <v>654</v>
      </c>
      <c r="F356" s="8">
        <v>333</v>
      </c>
      <c r="G356" s="8">
        <v>124.08</v>
      </c>
      <c r="H356" s="10">
        <v>22.58</v>
      </c>
      <c r="I356" s="21">
        <f>Table1[[#This Row],[BRUTTO_monthly_bill_eur]]/1.19</f>
        <v>104.26890756302521</v>
      </c>
      <c r="J356" s="21">
        <f>Table1[[#This Row],[monthly_consumption_kwh]]*Table1[[#This Row],[NETTO_procurement_cost_ct_per_kwh]]/100</f>
        <v>75.191399999999987</v>
      </c>
      <c r="K356" s="21">
        <f>Table1[[#This Row],[NETTO_monthly_revenue(€)]]-Table1[[#This Row],[procurement_cost_(€)]]</f>
        <v>29.077507563025222</v>
      </c>
      <c r="L356" s="21">
        <f t="shared" si="15"/>
        <v>8.7319842531607268</v>
      </c>
      <c r="M356" s="21" t="str">
        <f t="shared" si="16"/>
        <v>24.12.2024</v>
      </c>
      <c r="N356" s="21">
        <f t="shared" si="17"/>
        <v>104.26890756302521</v>
      </c>
    </row>
    <row r="357" spans="1:14">
      <c r="A357" s="9" t="s">
        <v>655</v>
      </c>
      <c r="B357" s="8">
        <v>24</v>
      </c>
      <c r="C357" s="8" t="s">
        <v>51</v>
      </c>
      <c r="D357" s="8" t="s">
        <v>36</v>
      </c>
      <c r="E357" s="8" t="s">
        <v>656</v>
      </c>
      <c r="F357" s="8">
        <v>645</v>
      </c>
      <c r="G357" s="8">
        <v>216.71</v>
      </c>
      <c r="H357" s="10">
        <v>19.62</v>
      </c>
      <c r="I357" s="21">
        <f>Table1[[#This Row],[BRUTTO_monthly_bill_eur]]/1.19</f>
        <v>182.109243697479</v>
      </c>
      <c r="J357" s="21">
        <f>Table1[[#This Row],[monthly_consumption_kwh]]*Table1[[#This Row],[NETTO_procurement_cost_ct_per_kwh]]/100</f>
        <v>126.54900000000002</v>
      </c>
      <c r="K357" s="21">
        <f>Table1[[#This Row],[NETTO_monthly_revenue(€)]]-Table1[[#This Row],[procurement_cost_(€)]]</f>
        <v>55.560243697478981</v>
      </c>
      <c r="L357" s="21">
        <f t="shared" si="15"/>
        <v>8.6139912709269737</v>
      </c>
      <c r="M357" s="21" t="str">
        <f t="shared" si="16"/>
        <v>08.11.2024</v>
      </c>
      <c r="N357" s="21">
        <f t="shared" si="17"/>
        <v>182.109243697479</v>
      </c>
    </row>
    <row r="358" spans="1:14">
      <c r="A358" s="9" t="s">
        <v>657</v>
      </c>
      <c r="B358" s="8">
        <v>12</v>
      </c>
      <c r="C358" s="8" t="s">
        <v>39</v>
      </c>
      <c r="D358" s="8" t="s">
        <v>36</v>
      </c>
      <c r="E358" s="8" t="s">
        <v>130</v>
      </c>
      <c r="F358" s="8">
        <v>137</v>
      </c>
      <c r="G358" s="8">
        <v>57.12</v>
      </c>
      <c r="H358" s="10">
        <v>29.09</v>
      </c>
      <c r="I358" s="21">
        <f>Table1[[#This Row],[BRUTTO_monthly_bill_eur]]/1.19</f>
        <v>48</v>
      </c>
      <c r="J358" s="21">
        <f>Table1[[#This Row],[monthly_consumption_kwh]]*Table1[[#This Row],[NETTO_procurement_cost_ct_per_kwh]]/100</f>
        <v>39.853299999999997</v>
      </c>
      <c r="K358" s="21">
        <f>Table1[[#This Row],[NETTO_monthly_revenue(€)]]-Table1[[#This Row],[procurement_cost_(€)]]</f>
        <v>8.1467000000000027</v>
      </c>
      <c r="L358" s="21">
        <f t="shared" si="15"/>
        <v>5.9464963503649653</v>
      </c>
      <c r="M358" s="21" t="str">
        <f t="shared" si="16"/>
        <v>21.08.2024</v>
      </c>
      <c r="N358" s="21">
        <f t="shared" si="17"/>
        <v>48</v>
      </c>
    </row>
    <row r="359" spans="1:14">
      <c r="A359" s="9" t="s">
        <v>658</v>
      </c>
      <c r="B359" s="8">
        <v>24</v>
      </c>
      <c r="C359" s="8" t="s">
        <v>51</v>
      </c>
      <c r="D359" s="8" t="s">
        <v>56</v>
      </c>
      <c r="E359" s="8" t="s">
        <v>47</v>
      </c>
      <c r="F359" s="8">
        <v>474</v>
      </c>
      <c r="G359" s="8">
        <v>164.65</v>
      </c>
      <c r="H359" s="10">
        <v>18.940000000000001</v>
      </c>
      <c r="I359" s="21">
        <f>Table1[[#This Row],[BRUTTO_monthly_bill_eur]]/1.19</f>
        <v>138.36134453781514</v>
      </c>
      <c r="J359" s="21">
        <f>Table1[[#This Row],[monthly_consumption_kwh]]*Table1[[#This Row],[NETTO_procurement_cost_ct_per_kwh]]/100</f>
        <v>89.775600000000011</v>
      </c>
      <c r="K359" s="21">
        <f>Table1[[#This Row],[NETTO_monthly_revenue(€)]]-Table1[[#This Row],[procurement_cost_(€)]]</f>
        <v>48.585744537815131</v>
      </c>
      <c r="L359" s="21">
        <f t="shared" si="15"/>
        <v>10.250157075488424</v>
      </c>
      <c r="M359" s="21" t="str">
        <f t="shared" si="16"/>
        <v>16.08.2024</v>
      </c>
      <c r="N359" s="21">
        <f t="shared" si="17"/>
        <v>138.36134453781514</v>
      </c>
    </row>
    <row r="360" spans="1:14">
      <c r="A360" s="9" t="s">
        <v>659</v>
      </c>
      <c r="B360" s="8">
        <v>24</v>
      </c>
      <c r="C360" s="8" t="s">
        <v>51</v>
      </c>
      <c r="D360" s="8" t="s">
        <v>46</v>
      </c>
      <c r="E360" s="8" t="s">
        <v>660</v>
      </c>
      <c r="F360" s="8">
        <v>546</v>
      </c>
      <c r="G360" s="8">
        <v>185.17</v>
      </c>
      <c r="H360" s="10">
        <v>16.91</v>
      </c>
      <c r="I360" s="21">
        <f>Table1[[#This Row],[BRUTTO_monthly_bill_eur]]/1.19</f>
        <v>155.60504201680672</v>
      </c>
      <c r="J360" s="21">
        <f>Table1[[#This Row],[monthly_consumption_kwh]]*Table1[[#This Row],[NETTO_procurement_cost_ct_per_kwh]]/100</f>
        <v>92.328600000000009</v>
      </c>
      <c r="K360" s="21">
        <f>Table1[[#This Row],[NETTO_monthly_revenue(€)]]-Table1[[#This Row],[procurement_cost_(€)]]</f>
        <v>63.276442016806712</v>
      </c>
      <c r="L360" s="21">
        <f t="shared" si="15"/>
        <v>11.589091944470093</v>
      </c>
      <c r="M360" s="21" t="str">
        <f t="shared" si="16"/>
        <v>25.01.2024</v>
      </c>
      <c r="N360" s="21">
        <f t="shared" si="17"/>
        <v>155.60504201680672</v>
      </c>
    </row>
    <row r="361" spans="1:14">
      <c r="A361" s="9" t="s">
        <v>661</v>
      </c>
      <c r="B361" s="8">
        <v>24</v>
      </c>
      <c r="C361" s="8" t="s">
        <v>39</v>
      </c>
      <c r="D361" s="8" t="s">
        <v>36</v>
      </c>
      <c r="E361" s="8" t="s">
        <v>662</v>
      </c>
      <c r="F361" s="8">
        <v>149</v>
      </c>
      <c r="G361" s="8">
        <v>61.21</v>
      </c>
      <c r="H361" s="10">
        <v>29.84</v>
      </c>
      <c r="I361" s="21">
        <f>Table1[[#This Row],[BRUTTO_monthly_bill_eur]]/1.19</f>
        <v>51.436974789915972</v>
      </c>
      <c r="J361" s="21">
        <f>Table1[[#This Row],[monthly_consumption_kwh]]*Table1[[#This Row],[NETTO_procurement_cost_ct_per_kwh]]/100</f>
        <v>44.461599999999997</v>
      </c>
      <c r="K361" s="21">
        <f>Table1[[#This Row],[NETTO_monthly_revenue(€)]]-Table1[[#This Row],[procurement_cost_(€)]]</f>
        <v>6.9753747899159748</v>
      </c>
      <c r="L361" s="21">
        <f t="shared" si="15"/>
        <v>4.6814595905476342</v>
      </c>
      <c r="M361" s="21" t="str">
        <f t="shared" si="16"/>
        <v>16.07.2024</v>
      </c>
      <c r="N361" s="21">
        <f t="shared" si="17"/>
        <v>51.436974789915972</v>
      </c>
    </row>
    <row r="362" spans="1:14">
      <c r="A362" s="9" t="s">
        <v>663</v>
      </c>
      <c r="B362" s="8">
        <v>12</v>
      </c>
      <c r="C362" s="8" t="s">
        <v>51</v>
      </c>
      <c r="D362" s="8" t="s">
        <v>36</v>
      </c>
      <c r="E362" s="8" t="s">
        <v>208</v>
      </c>
      <c r="F362" s="8">
        <v>372</v>
      </c>
      <c r="G362" s="8">
        <v>121.86</v>
      </c>
      <c r="H362" s="10">
        <v>18.03</v>
      </c>
      <c r="I362" s="21">
        <f>Table1[[#This Row],[BRUTTO_monthly_bill_eur]]/1.19</f>
        <v>102.40336134453781</v>
      </c>
      <c r="J362" s="21">
        <f>Table1[[#This Row],[monthly_consumption_kwh]]*Table1[[#This Row],[NETTO_procurement_cost_ct_per_kwh]]/100</f>
        <v>67.071600000000004</v>
      </c>
      <c r="K362" s="21">
        <f>Table1[[#This Row],[NETTO_monthly_revenue(€)]]-Table1[[#This Row],[procurement_cost_(€)]]</f>
        <v>35.33176134453781</v>
      </c>
      <c r="L362" s="21">
        <f t="shared" si="15"/>
        <v>9.4977853076714531</v>
      </c>
      <c r="M362" s="21" t="str">
        <f t="shared" si="16"/>
        <v>12.02.2025</v>
      </c>
      <c r="N362" s="21">
        <f t="shared" si="17"/>
        <v>102.40336134453781</v>
      </c>
    </row>
    <row r="363" spans="1:14">
      <c r="A363" s="9" t="s">
        <v>664</v>
      </c>
      <c r="B363" s="8">
        <v>24</v>
      </c>
      <c r="C363" s="8" t="s">
        <v>39</v>
      </c>
      <c r="D363" s="8" t="s">
        <v>36</v>
      </c>
      <c r="E363" s="8" t="s">
        <v>665</v>
      </c>
      <c r="F363" s="8">
        <v>117</v>
      </c>
      <c r="G363" s="8">
        <v>51.36</v>
      </c>
      <c r="H363" s="10">
        <v>31.29</v>
      </c>
      <c r="I363" s="21">
        <f>Table1[[#This Row],[BRUTTO_monthly_bill_eur]]/1.19</f>
        <v>43.159663865546221</v>
      </c>
      <c r="J363" s="21">
        <f>Table1[[#This Row],[monthly_consumption_kwh]]*Table1[[#This Row],[NETTO_procurement_cost_ct_per_kwh]]/100</f>
        <v>36.609299999999998</v>
      </c>
      <c r="K363" s="21">
        <f>Table1[[#This Row],[NETTO_monthly_revenue(€)]]-Table1[[#This Row],[procurement_cost_(€)]]</f>
        <v>6.550363865546224</v>
      </c>
      <c r="L363" s="21">
        <f t="shared" si="15"/>
        <v>5.5986015944839522</v>
      </c>
      <c r="M363" s="21" t="str">
        <f t="shared" si="16"/>
        <v>02.12.2024</v>
      </c>
      <c r="N363" s="21">
        <f t="shared" si="17"/>
        <v>43.159663865546221</v>
      </c>
    </row>
    <row r="364" spans="1:14">
      <c r="A364" s="9" t="s">
        <v>666</v>
      </c>
      <c r="B364" s="8">
        <v>12</v>
      </c>
      <c r="C364" s="8" t="s">
        <v>39</v>
      </c>
      <c r="D364" s="8" t="s">
        <v>46</v>
      </c>
      <c r="E364" s="8" t="s">
        <v>361</v>
      </c>
      <c r="F364" s="8">
        <v>154</v>
      </c>
      <c r="G364" s="8">
        <v>66.400000000000006</v>
      </c>
      <c r="H364" s="10">
        <v>28.23</v>
      </c>
      <c r="I364" s="21">
        <f>Table1[[#This Row],[BRUTTO_monthly_bill_eur]]/1.19</f>
        <v>55.7983193277311</v>
      </c>
      <c r="J364" s="21">
        <f>Table1[[#This Row],[monthly_consumption_kwh]]*Table1[[#This Row],[NETTO_procurement_cost_ct_per_kwh]]/100</f>
        <v>43.474200000000003</v>
      </c>
      <c r="K364" s="21">
        <f>Table1[[#This Row],[NETTO_monthly_revenue(€)]]-Table1[[#This Row],[procurement_cost_(€)]]</f>
        <v>12.324119327731097</v>
      </c>
      <c r="L364" s="21">
        <f t="shared" si="15"/>
        <v>8.0026748881370757</v>
      </c>
      <c r="M364" s="21" t="str">
        <f t="shared" si="16"/>
        <v>12.10.2024</v>
      </c>
      <c r="N364" s="21">
        <f t="shared" si="17"/>
        <v>55.7983193277311</v>
      </c>
    </row>
    <row r="365" spans="1:14">
      <c r="A365" s="9" t="s">
        <v>667</v>
      </c>
      <c r="B365" s="8">
        <v>12</v>
      </c>
      <c r="C365" s="8" t="s">
        <v>35</v>
      </c>
      <c r="D365" s="8" t="s">
        <v>36</v>
      </c>
      <c r="E365" s="8" t="s">
        <v>126</v>
      </c>
      <c r="F365" s="8">
        <v>231</v>
      </c>
      <c r="G365" s="8">
        <v>88.81</v>
      </c>
      <c r="H365" s="10">
        <v>23.67</v>
      </c>
      <c r="I365" s="21">
        <f>Table1[[#This Row],[BRUTTO_monthly_bill_eur]]/1.19</f>
        <v>74.630252100840337</v>
      </c>
      <c r="J365" s="21">
        <f>Table1[[#This Row],[monthly_consumption_kwh]]*Table1[[#This Row],[NETTO_procurement_cost_ct_per_kwh]]/100</f>
        <v>54.677700000000002</v>
      </c>
      <c r="K365" s="21">
        <f>Table1[[#This Row],[NETTO_monthly_revenue(€)]]-Table1[[#This Row],[procurement_cost_(€)]]</f>
        <v>19.952552100840336</v>
      </c>
      <c r="L365" s="21">
        <f t="shared" si="15"/>
        <v>8.6374684419222234</v>
      </c>
      <c r="M365" s="21" t="str">
        <f t="shared" si="16"/>
        <v>12.03.2024</v>
      </c>
      <c r="N365" s="21">
        <f t="shared" si="17"/>
        <v>74.630252100840337</v>
      </c>
    </row>
    <row r="366" spans="1:14">
      <c r="A366" s="9" t="s">
        <v>668</v>
      </c>
      <c r="B366" s="8">
        <v>24</v>
      </c>
      <c r="C366" s="8" t="s">
        <v>39</v>
      </c>
      <c r="D366" s="8" t="s">
        <v>36</v>
      </c>
      <c r="E366" s="8" t="s">
        <v>361</v>
      </c>
      <c r="F366" s="8">
        <v>131</v>
      </c>
      <c r="G366" s="8">
        <v>54.93</v>
      </c>
      <c r="H366" s="10">
        <v>29.83</v>
      </c>
      <c r="I366" s="21">
        <f>Table1[[#This Row],[BRUTTO_monthly_bill_eur]]/1.19</f>
        <v>46.159663865546221</v>
      </c>
      <c r="J366" s="21">
        <f>Table1[[#This Row],[monthly_consumption_kwh]]*Table1[[#This Row],[NETTO_procurement_cost_ct_per_kwh]]/100</f>
        <v>39.077299999999994</v>
      </c>
      <c r="K366" s="21">
        <f>Table1[[#This Row],[NETTO_monthly_revenue(€)]]-Table1[[#This Row],[procurement_cost_(€)]]</f>
        <v>7.0823638655462275</v>
      </c>
      <c r="L366" s="21">
        <f t="shared" si="15"/>
        <v>5.4063846301879597</v>
      </c>
      <c r="M366" s="21" t="str">
        <f t="shared" si="16"/>
        <v>12.10.2024</v>
      </c>
      <c r="N366" s="21">
        <f t="shared" si="17"/>
        <v>46.159663865546221</v>
      </c>
    </row>
    <row r="367" spans="1:14">
      <c r="A367" s="9" t="s">
        <v>669</v>
      </c>
      <c r="B367" s="8">
        <v>12</v>
      </c>
      <c r="C367" s="8" t="s">
        <v>51</v>
      </c>
      <c r="D367" s="8" t="s">
        <v>56</v>
      </c>
      <c r="E367" s="8" t="s">
        <v>670</v>
      </c>
      <c r="F367" s="8">
        <v>529</v>
      </c>
      <c r="G367" s="8">
        <v>181.12</v>
      </c>
      <c r="H367" s="10">
        <v>20.13</v>
      </c>
      <c r="I367" s="21">
        <f>Table1[[#This Row],[BRUTTO_monthly_bill_eur]]/1.19</f>
        <v>152.20168067226891</v>
      </c>
      <c r="J367" s="21">
        <f>Table1[[#This Row],[monthly_consumption_kwh]]*Table1[[#This Row],[NETTO_procurement_cost_ct_per_kwh]]/100</f>
        <v>106.48769999999999</v>
      </c>
      <c r="K367" s="21">
        <f>Table1[[#This Row],[NETTO_monthly_revenue(€)]]-Table1[[#This Row],[procurement_cost_(€)]]</f>
        <v>45.713980672268917</v>
      </c>
      <c r="L367" s="21">
        <f t="shared" si="15"/>
        <v>8.641584248065957</v>
      </c>
      <c r="M367" s="21" t="str">
        <f t="shared" si="16"/>
        <v>2024-12</v>
      </c>
      <c r="N367" s="21">
        <f t="shared" si="17"/>
        <v>152.20168067226891</v>
      </c>
    </row>
    <row r="368" spans="1:14">
      <c r="A368" s="9" t="s">
        <v>671</v>
      </c>
      <c r="B368" s="8">
        <v>24</v>
      </c>
      <c r="C368" s="8" t="s">
        <v>51</v>
      </c>
      <c r="D368" s="8" t="s">
        <v>36</v>
      </c>
      <c r="E368" s="8" t="s">
        <v>215</v>
      </c>
      <c r="F368" s="8">
        <v>395</v>
      </c>
      <c r="G368" s="8">
        <v>129.04</v>
      </c>
      <c r="H368" s="10">
        <v>19.37</v>
      </c>
      <c r="I368" s="21">
        <f>Table1[[#This Row],[BRUTTO_monthly_bill_eur]]/1.19</f>
        <v>108.43697478991596</v>
      </c>
      <c r="J368" s="21">
        <f>Table1[[#This Row],[monthly_consumption_kwh]]*Table1[[#This Row],[NETTO_procurement_cost_ct_per_kwh]]/100</f>
        <v>76.511500000000012</v>
      </c>
      <c r="K368" s="21">
        <f>Table1[[#This Row],[NETTO_monthly_revenue(€)]]-Table1[[#This Row],[procurement_cost_(€)]]</f>
        <v>31.925474789915953</v>
      </c>
      <c r="L368" s="21">
        <f t="shared" si="15"/>
        <v>8.0823986809913801</v>
      </c>
      <c r="M368" s="21" t="str">
        <f t="shared" si="16"/>
        <v>05.06.2025</v>
      </c>
      <c r="N368" s="21">
        <f t="shared" si="17"/>
        <v>108.43697478991596</v>
      </c>
    </row>
    <row r="369" spans="1:14">
      <c r="A369" s="9" t="s">
        <v>672</v>
      </c>
      <c r="B369" s="8">
        <v>24</v>
      </c>
      <c r="C369" s="8" t="s">
        <v>35</v>
      </c>
      <c r="D369" s="8" t="s">
        <v>36</v>
      </c>
      <c r="E369" s="8" t="s">
        <v>673</v>
      </c>
      <c r="F369" s="8">
        <v>227</v>
      </c>
      <c r="G369" s="8">
        <v>86.7</v>
      </c>
      <c r="H369" s="10">
        <v>24.67</v>
      </c>
      <c r="I369" s="21">
        <f>Table1[[#This Row],[BRUTTO_monthly_bill_eur]]/1.19</f>
        <v>72.857142857142861</v>
      </c>
      <c r="J369" s="21">
        <f>Table1[[#This Row],[monthly_consumption_kwh]]*Table1[[#This Row],[NETTO_procurement_cost_ct_per_kwh]]/100</f>
        <v>56.000900000000001</v>
      </c>
      <c r="K369" s="21">
        <f>Table1[[#This Row],[NETTO_monthly_revenue(€)]]-Table1[[#This Row],[procurement_cost_(€)]]</f>
        <v>16.85624285714286</v>
      </c>
      <c r="L369" s="21">
        <f t="shared" si="15"/>
        <v>7.4256576463184398</v>
      </c>
      <c r="M369" s="21" t="str">
        <f t="shared" si="16"/>
        <v>13.02.2025</v>
      </c>
      <c r="N369" s="21">
        <f t="shared" si="17"/>
        <v>72.857142857142861</v>
      </c>
    </row>
    <row r="370" spans="1:14">
      <c r="A370" s="9" t="s">
        <v>674</v>
      </c>
      <c r="B370" s="8">
        <v>12</v>
      </c>
      <c r="C370" s="8" t="s">
        <v>39</v>
      </c>
      <c r="D370" s="8" t="s">
        <v>36</v>
      </c>
      <c r="E370" s="8" t="s">
        <v>675</v>
      </c>
      <c r="F370" s="8">
        <v>111</v>
      </c>
      <c r="G370" s="8">
        <v>48.15</v>
      </c>
      <c r="H370" s="10">
        <v>31.11</v>
      </c>
      <c r="I370" s="21">
        <f>Table1[[#This Row],[BRUTTO_monthly_bill_eur]]/1.19</f>
        <v>40.462184873949582</v>
      </c>
      <c r="J370" s="21">
        <f>Table1[[#This Row],[monthly_consumption_kwh]]*Table1[[#This Row],[NETTO_procurement_cost_ct_per_kwh]]/100</f>
        <v>34.5321</v>
      </c>
      <c r="K370" s="21">
        <f>Table1[[#This Row],[NETTO_monthly_revenue(€)]]-Table1[[#This Row],[procurement_cost_(€)]]</f>
        <v>5.9300848739495819</v>
      </c>
      <c r="L370" s="21">
        <f t="shared" si="15"/>
        <v>5.3424188053599835</v>
      </c>
      <c r="M370" s="21" t="str">
        <f t="shared" si="16"/>
        <v>05.12.2024</v>
      </c>
      <c r="N370" s="21">
        <f t="shared" si="17"/>
        <v>40.462184873949582</v>
      </c>
    </row>
    <row r="371" spans="1:14">
      <c r="A371" s="9" t="s">
        <v>676</v>
      </c>
      <c r="B371" s="8">
        <v>12</v>
      </c>
      <c r="C371" s="8" t="s">
        <v>39</v>
      </c>
      <c r="D371" s="8" t="s">
        <v>46</v>
      </c>
      <c r="E371" s="8" t="s">
        <v>677</v>
      </c>
      <c r="F371" s="8">
        <v>85</v>
      </c>
      <c r="G371" s="8">
        <v>42.13</v>
      </c>
      <c r="H371" s="10">
        <v>31.45</v>
      </c>
      <c r="I371" s="21">
        <f>Table1[[#This Row],[BRUTTO_monthly_bill_eur]]/1.19</f>
        <v>35.403361344537821</v>
      </c>
      <c r="J371" s="21">
        <f>Table1[[#This Row],[monthly_consumption_kwh]]*Table1[[#This Row],[NETTO_procurement_cost_ct_per_kwh]]/100</f>
        <v>26.732500000000002</v>
      </c>
      <c r="K371" s="21">
        <f>Table1[[#This Row],[NETTO_monthly_revenue(€)]]-Table1[[#This Row],[procurement_cost_(€)]]</f>
        <v>8.6708613445378191</v>
      </c>
      <c r="L371" s="21">
        <f t="shared" si="15"/>
        <v>10.201013346515081</v>
      </c>
      <c r="M371" s="21" t="str">
        <f t="shared" si="16"/>
        <v>2024-01</v>
      </c>
      <c r="N371" s="21">
        <f t="shared" si="17"/>
        <v>35.403361344537821</v>
      </c>
    </row>
    <row r="372" spans="1:14">
      <c r="A372" s="9" t="s">
        <v>678</v>
      </c>
      <c r="B372" s="8">
        <v>12</v>
      </c>
      <c r="C372" s="8" t="s">
        <v>35</v>
      </c>
      <c r="D372" s="8" t="s">
        <v>36</v>
      </c>
      <c r="E372" s="8" t="s">
        <v>553</v>
      </c>
      <c r="F372" s="8">
        <v>171</v>
      </c>
      <c r="G372" s="8">
        <v>66.709999999999994</v>
      </c>
      <c r="H372" s="10">
        <v>23.26</v>
      </c>
      <c r="I372" s="21">
        <f>Table1[[#This Row],[BRUTTO_monthly_bill_eur]]/1.19</f>
        <v>56.058823529411761</v>
      </c>
      <c r="J372" s="21">
        <f>Table1[[#This Row],[monthly_consumption_kwh]]*Table1[[#This Row],[NETTO_procurement_cost_ct_per_kwh]]/100</f>
        <v>39.774600000000007</v>
      </c>
      <c r="K372" s="21">
        <f>Table1[[#This Row],[NETTO_monthly_revenue(€)]]-Table1[[#This Row],[procurement_cost_(€)]]</f>
        <v>16.284223529411754</v>
      </c>
      <c r="L372" s="21">
        <f t="shared" si="15"/>
        <v>9.5229377364981023</v>
      </c>
      <c r="M372" s="21" t="str">
        <f t="shared" si="16"/>
        <v>28.04.2024</v>
      </c>
      <c r="N372" s="21">
        <f t="shared" si="17"/>
        <v>56.058823529411761</v>
      </c>
    </row>
    <row r="373" spans="1:14">
      <c r="A373" s="9" t="s">
        <v>679</v>
      </c>
      <c r="B373" s="8">
        <v>12</v>
      </c>
      <c r="C373" s="8" t="s">
        <v>51</v>
      </c>
      <c r="D373" s="8" t="s">
        <v>36</v>
      </c>
      <c r="E373" s="8" t="s">
        <v>499</v>
      </c>
      <c r="F373" s="8">
        <v>611</v>
      </c>
      <c r="G373" s="8">
        <v>198.72</v>
      </c>
      <c r="H373" s="10">
        <v>19.190000000000001</v>
      </c>
      <c r="I373" s="21">
        <f>Table1[[#This Row],[BRUTTO_monthly_bill_eur]]/1.19</f>
        <v>166.99159663865547</v>
      </c>
      <c r="J373" s="21">
        <f>Table1[[#This Row],[monthly_consumption_kwh]]*Table1[[#This Row],[NETTO_procurement_cost_ct_per_kwh]]/100</f>
        <v>117.2509</v>
      </c>
      <c r="K373" s="21">
        <f>Table1[[#This Row],[NETTO_monthly_revenue(€)]]-Table1[[#This Row],[procurement_cost_(€)]]</f>
        <v>49.740696638655464</v>
      </c>
      <c r="L373" s="21">
        <f t="shared" si="15"/>
        <v>8.1408668803036761</v>
      </c>
      <c r="M373" s="21" t="str">
        <f t="shared" si="16"/>
        <v>24.09.2024</v>
      </c>
      <c r="N373" s="21">
        <f t="shared" si="17"/>
        <v>166.99159663865547</v>
      </c>
    </row>
    <row r="374" spans="1:14">
      <c r="A374" s="9" t="s">
        <v>680</v>
      </c>
      <c r="B374" s="8">
        <v>12</v>
      </c>
      <c r="C374" s="8" t="s">
        <v>35</v>
      </c>
      <c r="D374" s="8" t="s">
        <v>56</v>
      </c>
      <c r="E374" s="8" t="s">
        <v>258</v>
      </c>
      <c r="F374" s="8">
        <v>212</v>
      </c>
      <c r="G374" s="8">
        <v>76.94</v>
      </c>
      <c r="H374" s="10">
        <v>25.36</v>
      </c>
      <c r="I374" s="21">
        <f>Table1[[#This Row],[BRUTTO_monthly_bill_eur]]/1.19</f>
        <v>64.655462184873954</v>
      </c>
      <c r="J374" s="21">
        <f>Table1[[#This Row],[monthly_consumption_kwh]]*Table1[[#This Row],[NETTO_procurement_cost_ct_per_kwh]]/100</f>
        <v>53.763199999999998</v>
      </c>
      <c r="K374" s="21">
        <f>Table1[[#This Row],[NETTO_monthly_revenue(€)]]-Table1[[#This Row],[procurement_cost_(€)]]</f>
        <v>10.892262184873957</v>
      </c>
      <c r="L374" s="21">
        <f t="shared" si="15"/>
        <v>5.1378595211669609</v>
      </c>
      <c r="M374" s="21" t="str">
        <f t="shared" si="16"/>
        <v>01.07.2024</v>
      </c>
      <c r="N374" s="21">
        <f t="shared" si="17"/>
        <v>64.655462184873954</v>
      </c>
    </row>
    <row r="375" spans="1:14">
      <c r="A375" s="9" t="s">
        <v>681</v>
      </c>
      <c r="B375" s="8">
        <v>24</v>
      </c>
      <c r="C375" s="8" t="s">
        <v>39</v>
      </c>
      <c r="D375" s="8" t="s">
        <v>36</v>
      </c>
      <c r="E375" s="8" t="s">
        <v>199</v>
      </c>
      <c r="F375" s="8">
        <v>126</v>
      </c>
      <c r="G375" s="8">
        <v>53.63</v>
      </c>
      <c r="H375" s="10">
        <v>31.96</v>
      </c>
      <c r="I375" s="21">
        <f>Table1[[#This Row],[BRUTTO_monthly_bill_eur]]/1.19</f>
        <v>45.067226890756309</v>
      </c>
      <c r="J375" s="21">
        <f>Table1[[#This Row],[monthly_consumption_kwh]]*Table1[[#This Row],[NETTO_procurement_cost_ct_per_kwh]]/100</f>
        <v>40.269599999999997</v>
      </c>
      <c r="K375" s="21">
        <f>Table1[[#This Row],[NETTO_monthly_revenue(€)]]-Table1[[#This Row],[procurement_cost_(€)]]</f>
        <v>4.7976268907563124</v>
      </c>
      <c r="L375" s="21">
        <f t="shared" si="15"/>
        <v>3.8076403894891371</v>
      </c>
      <c r="M375" s="21" t="str">
        <f t="shared" si="16"/>
        <v>28.09.2024</v>
      </c>
      <c r="N375" s="21">
        <f t="shared" si="17"/>
        <v>45.067226890756309</v>
      </c>
    </row>
    <row r="376" spans="1:14">
      <c r="A376" s="9" t="s">
        <v>682</v>
      </c>
      <c r="B376" s="8">
        <v>12</v>
      </c>
      <c r="C376" s="8" t="s">
        <v>35</v>
      </c>
      <c r="D376" s="8" t="s">
        <v>36</v>
      </c>
      <c r="E376" s="8" t="s">
        <v>683</v>
      </c>
      <c r="F376" s="8">
        <v>217</v>
      </c>
      <c r="G376" s="8">
        <v>83.91</v>
      </c>
      <c r="H376" s="10">
        <v>25.56</v>
      </c>
      <c r="I376" s="21">
        <f>Table1[[#This Row],[BRUTTO_monthly_bill_eur]]/1.19</f>
        <v>70.512605042016801</v>
      </c>
      <c r="J376" s="21">
        <f>Table1[[#This Row],[monthly_consumption_kwh]]*Table1[[#This Row],[NETTO_procurement_cost_ct_per_kwh]]/100</f>
        <v>55.465199999999996</v>
      </c>
      <c r="K376" s="21">
        <f>Table1[[#This Row],[NETTO_monthly_revenue(€)]]-Table1[[#This Row],[procurement_cost_(€)]]</f>
        <v>15.047405042016806</v>
      </c>
      <c r="L376" s="21">
        <f t="shared" si="15"/>
        <v>6.9342880377957634</v>
      </c>
      <c r="M376" s="21" t="str">
        <f t="shared" si="16"/>
        <v>09.02.2024</v>
      </c>
      <c r="N376" s="21">
        <f t="shared" si="17"/>
        <v>70.512605042016801</v>
      </c>
    </row>
    <row r="377" spans="1:14">
      <c r="A377" s="9" t="s">
        <v>684</v>
      </c>
      <c r="B377" s="8">
        <v>12</v>
      </c>
      <c r="C377" s="8" t="s">
        <v>35</v>
      </c>
      <c r="D377" s="8" t="s">
        <v>36</v>
      </c>
      <c r="E377" s="8" t="s">
        <v>401</v>
      </c>
      <c r="F377" s="8">
        <v>323</v>
      </c>
      <c r="G377" s="8">
        <v>120.91</v>
      </c>
      <c r="H377" s="10">
        <v>23.49</v>
      </c>
      <c r="I377" s="21">
        <f>Table1[[#This Row],[BRUTTO_monthly_bill_eur]]/1.19</f>
        <v>101.60504201680672</v>
      </c>
      <c r="J377" s="21">
        <f>Table1[[#This Row],[monthly_consumption_kwh]]*Table1[[#This Row],[NETTO_procurement_cost_ct_per_kwh]]/100</f>
        <v>75.872699999999995</v>
      </c>
      <c r="K377" s="21">
        <f>Table1[[#This Row],[NETTO_monthly_revenue(€)]]-Table1[[#This Row],[procurement_cost_(€)]]</f>
        <v>25.732342016806726</v>
      </c>
      <c r="L377" s="21">
        <f t="shared" si="15"/>
        <v>7.9666693550485226</v>
      </c>
      <c r="M377" s="21" t="str">
        <f t="shared" si="16"/>
        <v>21.04.2024</v>
      </c>
      <c r="N377" s="21">
        <f t="shared" si="17"/>
        <v>101.60504201680672</v>
      </c>
    </row>
    <row r="378" spans="1:14">
      <c r="A378" s="9" t="s">
        <v>685</v>
      </c>
      <c r="B378" s="8">
        <v>24</v>
      </c>
      <c r="C378" s="8" t="s">
        <v>51</v>
      </c>
      <c r="D378" s="8" t="s">
        <v>36</v>
      </c>
      <c r="E378" s="8" t="s">
        <v>686</v>
      </c>
      <c r="F378" s="8">
        <v>420</v>
      </c>
      <c r="G378" s="8">
        <v>144.31</v>
      </c>
      <c r="H378" s="10">
        <v>17.48</v>
      </c>
      <c r="I378" s="21">
        <f>Table1[[#This Row],[BRUTTO_monthly_bill_eur]]/1.19</f>
        <v>121.26890756302522</v>
      </c>
      <c r="J378" s="21">
        <f>Table1[[#This Row],[monthly_consumption_kwh]]*Table1[[#This Row],[NETTO_procurement_cost_ct_per_kwh]]/100</f>
        <v>73.415999999999997</v>
      </c>
      <c r="K378" s="21">
        <f>Table1[[#This Row],[NETTO_monthly_revenue(€)]]-Table1[[#This Row],[procurement_cost_(€)]]</f>
        <v>47.852907563025227</v>
      </c>
      <c r="L378" s="21">
        <f t="shared" si="15"/>
        <v>11.393549419767911</v>
      </c>
      <c r="M378" s="21" t="str">
        <f t="shared" si="16"/>
        <v>20.03.2025</v>
      </c>
      <c r="N378" s="21">
        <f t="shared" si="17"/>
        <v>121.26890756302522</v>
      </c>
    </row>
    <row r="379" spans="1:14">
      <c r="A379" s="9" t="s">
        <v>687</v>
      </c>
      <c r="B379" s="8">
        <v>12</v>
      </c>
      <c r="C379" s="8" t="s">
        <v>39</v>
      </c>
      <c r="D379" s="8" t="s">
        <v>36</v>
      </c>
      <c r="E379" s="8" t="s">
        <v>688</v>
      </c>
      <c r="F379" s="8">
        <v>119</v>
      </c>
      <c r="G379" s="8">
        <v>53.19</v>
      </c>
      <c r="H379" s="10">
        <v>29.96</v>
      </c>
      <c r="I379" s="21">
        <f>Table1[[#This Row],[BRUTTO_monthly_bill_eur]]/1.19</f>
        <v>44.69747899159664</v>
      </c>
      <c r="J379" s="21">
        <f>Table1[[#This Row],[monthly_consumption_kwh]]*Table1[[#This Row],[NETTO_procurement_cost_ct_per_kwh]]/100</f>
        <v>35.6524</v>
      </c>
      <c r="K379" s="21">
        <f>Table1[[#This Row],[NETTO_monthly_revenue(€)]]-Table1[[#This Row],[procurement_cost_(€)]]</f>
        <v>9.0450789915966396</v>
      </c>
      <c r="L379" s="21">
        <f t="shared" si="15"/>
        <v>7.6009067156274286</v>
      </c>
      <c r="M379" s="21" t="str">
        <f t="shared" si="16"/>
        <v>19.12.2024</v>
      </c>
      <c r="N379" s="21">
        <f t="shared" si="17"/>
        <v>44.69747899159664</v>
      </c>
    </row>
    <row r="380" spans="1:14">
      <c r="A380" s="9" t="s">
        <v>689</v>
      </c>
      <c r="B380" s="8">
        <v>24</v>
      </c>
      <c r="C380" s="8" t="s">
        <v>51</v>
      </c>
      <c r="D380" s="8" t="s">
        <v>36</v>
      </c>
      <c r="E380" s="8" t="s">
        <v>464</v>
      </c>
      <c r="F380" s="8">
        <v>624</v>
      </c>
      <c r="G380" s="8">
        <v>201.14</v>
      </c>
      <c r="H380" s="10">
        <v>20.21</v>
      </c>
      <c r="I380" s="21">
        <f>Table1[[#This Row],[BRUTTO_monthly_bill_eur]]/1.19</f>
        <v>169.0252100840336</v>
      </c>
      <c r="J380" s="21">
        <f>Table1[[#This Row],[monthly_consumption_kwh]]*Table1[[#This Row],[NETTO_procurement_cost_ct_per_kwh]]/100</f>
        <v>126.11040000000001</v>
      </c>
      <c r="K380" s="21">
        <f>Table1[[#This Row],[NETTO_monthly_revenue(€)]]-Table1[[#This Row],[procurement_cost_(€)]]</f>
        <v>42.91481008403359</v>
      </c>
      <c r="L380" s="21">
        <f t="shared" si="15"/>
        <v>6.8773734109028188</v>
      </c>
      <c r="M380" s="21" t="str">
        <f t="shared" si="16"/>
        <v>17.11.2024</v>
      </c>
      <c r="N380" s="21">
        <f t="shared" si="17"/>
        <v>169.0252100840336</v>
      </c>
    </row>
    <row r="381" spans="1:14">
      <c r="A381" s="9" t="s">
        <v>690</v>
      </c>
      <c r="B381" s="8">
        <v>12</v>
      </c>
      <c r="C381" s="8" t="s">
        <v>35</v>
      </c>
      <c r="D381" s="8" t="s">
        <v>36</v>
      </c>
      <c r="E381" s="8" t="s">
        <v>691</v>
      </c>
      <c r="F381" s="8">
        <v>307</v>
      </c>
      <c r="G381" s="8">
        <v>116.16</v>
      </c>
      <c r="H381" s="10">
        <v>23.97</v>
      </c>
      <c r="I381" s="21">
        <f>Table1[[#This Row],[BRUTTO_monthly_bill_eur]]/1.19</f>
        <v>97.613445378151269</v>
      </c>
      <c r="J381" s="21">
        <f>Table1[[#This Row],[monthly_consumption_kwh]]*Table1[[#This Row],[NETTO_procurement_cost_ct_per_kwh]]/100</f>
        <v>73.587900000000005</v>
      </c>
      <c r="K381" s="21">
        <f>Table1[[#This Row],[NETTO_monthly_revenue(€)]]-Table1[[#This Row],[procurement_cost_(€)]]</f>
        <v>24.025545378151264</v>
      </c>
      <c r="L381" s="21">
        <f t="shared" si="15"/>
        <v>7.8259105466290766</v>
      </c>
      <c r="M381" s="21" t="str">
        <f t="shared" si="16"/>
        <v>22.03.2025</v>
      </c>
      <c r="N381" s="21">
        <f t="shared" si="17"/>
        <v>97.613445378151269</v>
      </c>
    </row>
    <row r="382" spans="1:14">
      <c r="A382" s="9" t="s">
        <v>692</v>
      </c>
      <c r="B382" s="8">
        <v>12</v>
      </c>
      <c r="C382" s="8" t="s">
        <v>51</v>
      </c>
      <c r="D382" s="8" t="s">
        <v>36</v>
      </c>
      <c r="E382" s="8" t="s">
        <v>693</v>
      </c>
      <c r="F382" s="8">
        <v>395</v>
      </c>
      <c r="G382" s="8">
        <v>127.48</v>
      </c>
      <c r="H382" s="10">
        <v>18.920000000000002</v>
      </c>
      <c r="I382" s="21">
        <f>Table1[[#This Row],[BRUTTO_monthly_bill_eur]]/1.19</f>
        <v>107.12605042016807</v>
      </c>
      <c r="J382" s="21">
        <f>Table1[[#This Row],[monthly_consumption_kwh]]*Table1[[#This Row],[NETTO_procurement_cost_ct_per_kwh]]/100</f>
        <v>74.734000000000009</v>
      </c>
      <c r="K382" s="21">
        <f>Table1[[#This Row],[NETTO_monthly_revenue(€)]]-Table1[[#This Row],[procurement_cost_(€)]]</f>
        <v>32.392050420168061</v>
      </c>
      <c r="L382" s="21">
        <f t="shared" si="15"/>
        <v>8.2005190937134333</v>
      </c>
      <c r="M382" s="21" t="str">
        <f t="shared" si="16"/>
        <v>2025-06</v>
      </c>
      <c r="N382" s="21">
        <f t="shared" si="17"/>
        <v>107.12605042016807</v>
      </c>
    </row>
    <row r="383" spans="1:14">
      <c r="A383" s="9" t="s">
        <v>694</v>
      </c>
      <c r="B383" s="8">
        <v>24</v>
      </c>
      <c r="C383" s="8" t="s">
        <v>39</v>
      </c>
      <c r="D383" s="8" t="s">
        <v>56</v>
      </c>
      <c r="E383" s="8" t="s">
        <v>553</v>
      </c>
      <c r="F383" s="8">
        <v>150</v>
      </c>
      <c r="G383" s="8">
        <v>0</v>
      </c>
      <c r="H383" s="10">
        <v>29.35</v>
      </c>
      <c r="I383" s="21">
        <f>Table1[[#This Row],[BRUTTO_monthly_bill_eur]]/1.19</f>
        <v>0</v>
      </c>
      <c r="J383" s="21">
        <f>Table1[[#This Row],[monthly_consumption_kwh]]*Table1[[#This Row],[NETTO_procurement_cost_ct_per_kwh]]/100</f>
        <v>44.024999999999999</v>
      </c>
      <c r="K383" s="21">
        <f>Table1[[#This Row],[NETTO_monthly_revenue(€)]]-Table1[[#This Row],[procurement_cost_(€)]]</f>
        <v>-44.024999999999999</v>
      </c>
      <c r="L383" s="21">
        <f t="shared" si="15"/>
        <v>-29.349999999999998</v>
      </c>
      <c r="M383" s="21" t="str">
        <f t="shared" si="16"/>
        <v>28.04.2024</v>
      </c>
      <c r="N383" s="21">
        <f t="shared" si="17"/>
        <v>0</v>
      </c>
    </row>
    <row r="384" spans="1:14">
      <c r="A384" s="9" t="s">
        <v>695</v>
      </c>
      <c r="B384" s="8">
        <v>24</v>
      </c>
      <c r="C384" s="8" t="s">
        <v>35</v>
      </c>
      <c r="D384" s="8" t="s">
        <v>56</v>
      </c>
      <c r="E384" s="8" t="s">
        <v>231</v>
      </c>
      <c r="F384" s="8">
        <v>243</v>
      </c>
      <c r="G384" s="8">
        <v>93.23</v>
      </c>
      <c r="H384" s="10">
        <v>23.45</v>
      </c>
      <c r="I384" s="21">
        <f>Table1[[#This Row],[BRUTTO_monthly_bill_eur]]/1.19</f>
        <v>78.34453781512606</v>
      </c>
      <c r="J384" s="21">
        <f>Table1[[#This Row],[monthly_consumption_kwh]]*Table1[[#This Row],[NETTO_procurement_cost_ct_per_kwh]]/100</f>
        <v>56.983499999999992</v>
      </c>
      <c r="K384" s="21">
        <f>Table1[[#This Row],[NETTO_monthly_revenue(€)]]-Table1[[#This Row],[procurement_cost_(€)]]</f>
        <v>21.361037815126068</v>
      </c>
      <c r="L384" s="21">
        <f t="shared" si="15"/>
        <v>8.7905505412041425</v>
      </c>
      <c r="M384" s="21" t="str">
        <f t="shared" si="16"/>
        <v>29.01.2025</v>
      </c>
      <c r="N384" s="21">
        <f t="shared" si="17"/>
        <v>78.34453781512606</v>
      </c>
    </row>
    <row r="385" spans="1:14">
      <c r="A385" s="9" t="s">
        <v>696</v>
      </c>
      <c r="B385" s="8">
        <v>24</v>
      </c>
      <c r="C385" s="8" t="s">
        <v>51</v>
      </c>
      <c r="D385" s="8" t="s">
        <v>46</v>
      </c>
      <c r="E385" s="8" t="s">
        <v>376</v>
      </c>
      <c r="F385" s="8">
        <v>494</v>
      </c>
      <c r="G385" s="8">
        <v>171.02</v>
      </c>
      <c r="H385" s="10">
        <v>20.8</v>
      </c>
      <c r="I385" s="21">
        <f>Table1[[#This Row],[BRUTTO_monthly_bill_eur]]/1.19</f>
        <v>143.71428571428572</v>
      </c>
      <c r="J385" s="21">
        <f>Table1[[#This Row],[monthly_consumption_kwh]]*Table1[[#This Row],[NETTO_procurement_cost_ct_per_kwh]]/100</f>
        <v>102.75200000000001</v>
      </c>
      <c r="K385" s="21">
        <f>Table1[[#This Row],[NETTO_monthly_revenue(€)]]-Table1[[#This Row],[procurement_cost_(€)]]</f>
        <v>40.962285714285713</v>
      </c>
      <c r="L385" s="21">
        <f t="shared" si="15"/>
        <v>8.291960670908038</v>
      </c>
      <c r="M385" s="21" t="str">
        <f t="shared" si="16"/>
        <v>13.07.2024</v>
      </c>
      <c r="N385" s="21">
        <f t="shared" si="17"/>
        <v>143.71428571428572</v>
      </c>
    </row>
    <row r="386" spans="1:14">
      <c r="A386" s="9" t="s">
        <v>697</v>
      </c>
      <c r="B386" s="8">
        <v>24</v>
      </c>
      <c r="C386" s="8" t="s">
        <v>39</v>
      </c>
      <c r="D386" s="8" t="s">
        <v>56</v>
      </c>
      <c r="E386" s="8" t="s">
        <v>698</v>
      </c>
      <c r="F386" s="8">
        <v>94</v>
      </c>
      <c r="G386" s="8">
        <v>47.44</v>
      </c>
      <c r="H386" s="10">
        <v>29.63</v>
      </c>
      <c r="I386" s="21">
        <f>Table1[[#This Row],[BRUTTO_monthly_bill_eur]]/1.19</f>
        <v>39.865546218487395</v>
      </c>
      <c r="J386" s="21">
        <f>Table1[[#This Row],[monthly_consumption_kwh]]*Table1[[#This Row],[NETTO_procurement_cost_ct_per_kwh]]/100</f>
        <v>27.852199999999996</v>
      </c>
      <c r="K386" s="21">
        <f>Table1[[#This Row],[NETTO_monthly_revenue(€)]]-Table1[[#This Row],[procurement_cost_(€)]]</f>
        <v>12.013346218487399</v>
      </c>
      <c r="L386" s="21">
        <f t="shared" ref="L386:L449" si="18">IF(F386=0,"",K386/F386*100)</f>
        <v>12.78015555158234</v>
      </c>
      <c r="M386" s="21" t="str">
        <f t="shared" ref="M386:M449" si="19">TEXT(E386,"yyyy-mm")</f>
        <v>17.09.2024</v>
      </c>
      <c r="N386" s="21">
        <f t="shared" ref="N386:N449" si="20">G386/1.19</f>
        <v>39.865546218487395</v>
      </c>
    </row>
    <row r="387" spans="1:14">
      <c r="A387" s="9" t="s">
        <v>699</v>
      </c>
      <c r="B387" s="8">
        <v>24</v>
      </c>
      <c r="C387" s="8" t="s">
        <v>51</v>
      </c>
      <c r="D387" s="8" t="s">
        <v>36</v>
      </c>
      <c r="E387" s="8" t="s">
        <v>579</v>
      </c>
      <c r="F387" s="8">
        <v>360</v>
      </c>
      <c r="G387" s="8">
        <v>128.22999999999999</v>
      </c>
      <c r="H387" s="10">
        <v>18.14</v>
      </c>
      <c r="I387" s="21">
        <f>Table1[[#This Row],[BRUTTO_monthly_bill_eur]]/1.19</f>
        <v>107.75630252100839</v>
      </c>
      <c r="J387" s="21">
        <f>Table1[[#This Row],[monthly_consumption_kwh]]*Table1[[#This Row],[NETTO_procurement_cost_ct_per_kwh]]/100</f>
        <v>65.304000000000002</v>
      </c>
      <c r="K387" s="21">
        <f>Table1[[#This Row],[NETTO_monthly_revenue(€)]]-Table1[[#This Row],[procurement_cost_(€)]]</f>
        <v>42.452302521008392</v>
      </c>
      <c r="L387" s="21">
        <f t="shared" si="18"/>
        <v>11.792306255835665</v>
      </c>
      <c r="M387" s="21" t="str">
        <f t="shared" si="19"/>
        <v>15.02.2024</v>
      </c>
      <c r="N387" s="21">
        <f t="shared" si="20"/>
        <v>107.75630252100839</v>
      </c>
    </row>
    <row r="388" spans="1:14">
      <c r="A388" s="9" t="s">
        <v>700</v>
      </c>
      <c r="B388" s="8">
        <v>12</v>
      </c>
      <c r="C388" s="8" t="s">
        <v>35</v>
      </c>
      <c r="D388" s="8" t="s">
        <v>56</v>
      </c>
      <c r="E388" s="8" t="s">
        <v>701</v>
      </c>
      <c r="F388" s="8">
        <v>288</v>
      </c>
      <c r="G388" s="8">
        <v>113.37</v>
      </c>
      <c r="H388" s="10">
        <v>23.82</v>
      </c>
      <c r="I388" s="21">
        <f>Table1[[#This Row],[BRUTTO_monthly_bill_eur]]/1.19</f>
        <v>95.268907563025223</v>
      </c>
      <c r="J388" s="21">
        <f>Table1[[#This Row],[monthly_consumption_kwh]]*Table1[[#This Row],[NETTO_procurement_cost_ct_per_kwh]]/100</f>
        <v>68.601600000000005</v>
      </c>
      <c r="K388" s="21">
        <f>Table1[[#This Row],[NETTO_monthly_revenue(€)]]-Table1[[#This Row],[procurement_cost_(€)]]</f>
        <v>26.667307563025219</v>
      </c>
      <c r="L388" s="21">
        <f t="shared" si="18"/>
        <v>9.2594817927170894</v>
      </c>
      <c r="M388" s="21" t="str">
        <f t="shared" si="19"/>
        <v>2025-03</v>
      </c>
      <c r="N388" s="21">
        <f t="shared" si="20"/>
        <v>95.268907563025223</v>
      </c>
    </row>
    <row r="389" spans="1:14">
      <c r="A389" s="9" t="s">
        <v>702</v>
      </c>
      <c r="B389" s="8">
        <v>12</v>
      </c>
      <c r="C389" s="8" t="s">
        <v>39</v>
      </c>
      <c r="D389" s="8" t="s">
        <v>36</v>
      </c>
      <c r="E389" s="8" t="s">
        <v>703</v>
      </c>
      <c r="F389" s="8">
        <v>125</v>
      </c>
      <c r="G389" s="8">
        <v>53.02</v>
      </c>
      <c r="H389" s="10">
        <v>31.05</v>
      </c>
      <c r="I389" s="21">
        <f>Table1[[#This Row],[BRUTTO_monthly_bill_eur]]/1.19</f>
        <v>44.554621848739501</v>
      </c>
      <c r="J389" s="21">
        <f>Table1[[#This Row],[monthly_consumption_kwh]]*Table1[[#This Row],[NETTO_procurement_cost_ct_per_kwh]]/100</f>
        <v>38.8125</v>
      </c>
      <c r="K389" s="21">
        <f>Table1[[#This Row],[NETTO_monthly_revenue(€)]]-Table1[[#This Row],[procurement_cost_(€)]]</f>
        <v>5.7421218487395009</v>
      </c>
      <c r="L389" s="21">
        <f t="shared" si="18"/>
        <v>4.5936974789916007</v>
      </c>
      <c r="M389" s="21" t="str">
        <f t="shared" si="19"/>
        <v>02.01.2024</v>
      </c>
      <c r="N389" s="21">
        <f t="shared" si="20"/>
        <v>44.554621848739501</v>
      </c>
    </row>
    <row r="390" spans="1:14">
      <c r="A390" s="9" t="s">
        <v>704</v>
      </c>
      <c r="B390" s="8">
        <v>24</v>
      </c>
      <c r="C390" s="8" t="s">
        <v>39</v>
      </c>
      <c r="D390" s="8" t="s">
        <v>56</v>
      </c>
      <c r="E390" s="8" t="s">
        <v>705</v>
      </c>
      <c r="F390" s="8">
        <v>120</v>
      </c>
      <c r="G390" s="8">
        <v>54.28</v>
      </c>
      <c r="H390" s="10">
        <v>28.5</v>
      </c>
      <c r="I390" s="21">
        <f>Table1[[#This Row],[BRUTTO_monthly_bill_eur]]/1.19</f>
        <v>45.613445378151262</v>
      </c>
      <c r="J390" s="21">
        <f>Table1[[#This Row],[monthly_consumption_kwh]]*Table1[[#This Row],[NETTO_procurement_cost_ct_per_kwh]]/100</f>
        <v>34.200000000000003</v>
      </c>
      <c r="K390" s="21">
        <f>Table1[[#This Row],[NETTO_monthly_revenue(€)]]-Table1[[#This Row],[procurement_cost_(€)]]</f>
        <v>11.413445378151259</v>
      </c>
      <c r="L390" s="21">
        <f t="shared" si="18"/>
        <v>9.511204481792717</v>
      </c>
      <c r="M390" s="21" t="str">
        <f t="shared" si="19"/>
        <v>16.06.2025</v>
      </c>
      <c r="N390" s="21">
        <f t="shared" si="20"/>
        <v>45.613445378151262</v>
      </c>
    </row>
    <row r="391" spans="1:14">
      <c r="A391" s="9" t="s">
        <v>706</v>
      </c>
      <c r="B391" s="8">
        <v>24</v>
      </c>
      <c r="C391" s="8" t="s">
        <v>35</v>
      </c>
      <c r="D391" s="8" t="s">
        <v>56</v>
      </c>
      <c r="E391" s="8" t="s">
        <v>707</v>
      </c>
      <c r="F391" s="8">
        <v>288</v>
      </c>
      <c r="G391" s="8">
        <v>103.84</v>
      </c>
      <c r="H391" s="10">
        <v>22.79</v>
      </c>
      <c r="I391" s="21">
        <f>Table1[[#This Row],[BRUTTO_monthly_bill_eur]]/1.19</f>
        <v>87.260504201680675</v>
      </c>
      <c r="J391" s="21">
        <f>Table1[[#This Row],[monthly_consumption_kwh]]*Table1[[#This Row],[NETTO_procurement_cost_ct_per_kwh]]/100</f>
        <v>65.635199999999998</v>
      </c>
      <c r="K391" s="21">
        <f>Table1[[#This Row],[NETTO_monthly_revenue(€)]]-Table1[[#This Row],[procurement_cost_(€)]]</f>
        <v>21.625304201680677</v>
      </c>
      <c r="L391" s="21">
        <f t="shared" si="18"/>
        <v>7.5087861811391239</v>
      </c>
      <c r="M391" s="21" t="str">
        <f t="shared" si="19"/>
        <v>20.07.2024</v>
      </c>
      <c r="N391" s="21">
        <f t="shared" si="20"/>
        <v>87.260504201680675</v>
      </c>
    </row>
    <row r="392" spans="1:14">
      <c r="A392" s="9" t="s">
        <v>708</v>
      </c>
      <c r="B392" s="8">
        <v>24</v>
      </c>
      <c r="C392" s="8" t="s">
        <v>39</v>
      </c>
      <c r="D392" s="8" t="s">
        <v>46</v>
      </c>
      <c r="E392" s="8" t="s">
        <v>709</v>
      </c>
      <c r="F392" s="8">
        <v>147</v>
      </c>
      <c r="G392" s="8">
        <v>61.16</v>
      </c>
      <c r="H392" s="10">
        <v>31.81</v>
      </c>
      <c r="I392" s="21">
        <f>Table1[[#This Row],[BRUTTO_monthly_bill_eur]]/1.19</f>
        <v>51.394957983193279</v>
      </c>
      <c r="J392" s="21">
        <f>Table1[[#This Row],[monthly_consumption_kwh]]*Table1[[#This Row],[NETTO_procurement_cost_ct_per_kwh]]/100</f>
        <v>46.7607</v>
      </c>
      <c r="K392" s="21">
        <f>Table1[[#This Row],[NETTO_monthly_revenue(€)]]-Table1[[#This Row],[procurement_cost_(€)]]</f>
        <v>4.6342579831932795</v>
      </c>
      <c r="L392" s="21">
        <f t="shared" si="18"/>
        <v>3.1525564511518911</v>
      </c>
      <c r="M392" s="21" t="str">
        <f t="shared" si="19"/>
        <v>2025-01</v>
      </c>
      <c r="N392" s="21">
        <f t="shared" si="20"/>
        <v>51.394957983193279</v>
      </c>
    </row>
    <row r="393" spans="1:14">
      <c r="A393" s="9" t="s">
        <v>710</v>
      </c>
      <c r="B393" s="8">
        <v>12</v>
      </c>
      <c r="C393" s="8" t="s">
        <v>35</v>
      </c>
      <c r="D393" s="8" t="s">
        <v>56</v>
      </c>
      <c r="E393" s="8" t="s">
        <v>381</v>
      </c>
      <c r="F393" s="8">
        <v>193</v>
      </c>
      <c r="G393" s="8">
        <v>77.569999999999993</v>
      </c>
      <c r="H393" s="10">
        <v>22.7</v>
      </c>
      <c r="I393" s="21">
        <f>Table1[[#This Row],[BRUTTO_monthly_bill_eur]]/1.19</f>
        <v>65.184873949579824</v>
      </c>
      <c r="J393" s="21">
        <f>Table1[[#This Row],[monthly_consumption_kwh]]*Table1[[#This Row],[NETTO_procurement_cost_ct_per_kwh]]/100</f>
        <v>43.810999999999993</v>
      </c>
      <c r="K393" s="21">
        <f>Table1[[#This Row],[NETTO_monthly_revenue(€)]]-Table1[[#This Row],[procurement_cost_(€)]]</f>
        <v>21.373873949579831</v>
      </c>
      <c r="L393" s="21">
        <f t="shared" si="18"/>
        <v>11.074546087865198</v>
      </c>
      <c r="M393" s="21" t="str">
        <f t="shared" si="19"/>
        <v>17.03.2025</v>
      </c>
      <c r="N393" s="21">
        <f t="shared" si="20"/>
        <v>65.184873949579824</v>
      </c>
    </row>
    <row r="394" spans="1:14">
      <c r="A394" s="9" t="s">
        <v>711</v>
      </c>
      <c r="B394" s="8">
        <v>12</v>
      </c>
      <c r="C394" s="8" t="s">
        <v>39</v>
      </c>
      <c r="D394" s="8" t="s">
        <v>46</v>
      </c>
      <c r="E394" s="8" t="s">
        <v>126</v>
      </c>
      <c r="F394" s="8">
        <v>134</v>
      </c>
      <c r="G394" s="8">
        <v>61.01</v>
      </c>
      <c r="H394" s="10">
        <v>30.27</v>
      </c>
      <c r="I394" s="21">
        <f>Table1[[#This Row],[BRUTTO_monthly_bill_eur]]/1.19</f>
        <v>51.268907563025209</v>
      </c>
      <c r="J394" s="21">
        <f>Table1[[#This Row],[monthly_consumption_kwh]]*Table1[[#This Row],[NETTO_procurement_cost_ct_per_kwh]]/100</f>
        <v>40.561799999999998</v>
      </c>
      <c r="K394" s="21">
        <f>Table1[[#This Row],[NETTO_monthly_revenue(€)]]-Table1[[#This Row],[procurement_cost_(€)]]</f>
        <v>10.707107563025211</v>
      </c>
      <c r="L394" s="21">
        <f t="shared" si="18"/>
        <v>7.990378778377023</v>
      </c>
      <c r="M394" s="21" t="str">
        <f t="shared" si="19"/>
        <v>12.03.2024</v>
      </c>
      <c r="N394" s="21">
        <f t="shared" si="20"/>
        <v>51.268907563025209</v>
      </c>
    </row>
    <row r="395" spans="1:14">
      <c r="A395" s="9" t="s">
        <v>712</v>
      </c>
      <c r="B395" s="8">
        <v>24</v>
      </c>
      <c r="C395" s="8" t="s">
        <v>35</v>
      </c>
      <c r="D395" s="8" t="s">
        <v>36</v>
      </c>
      <c r="E395" s="8" t="s">
        <v>354</v>
      </c>
      <c r="F395" s="8">
        <v>190</v>
      </c>
      <c r="G395" s="8">
        <v>75.150000000000006</v>
      </c>
      <c r="H395" s="10">
        <v>24.32</v>
      </c>
      <c r="I395" s="21">
        <f>Table1[[#This Row],[BRUTTO_monthly_bill_eur]]/1.19</f>
        <v>63.151260504201687</v>
      </c>
      <c r="J395" s="21">
        <f>Table1[[#This Row],[monthly_consumption_kwh]]*Table1[[#This Row],[NETTO_procurement_cost_ct_per_kwh]]/100</f>
        <v>46.207999999999998</v>
      </c>
      <c r="K395" s="21">
        <f>Table1[[#This Row],[NETTO_monthly_revenue(€)]]-Table1[[#This Row],[procurement_cost_(€)]]</f>
        <v>16.943260504201689</v>
      </c>
      <c r="L395" s="21">
        <f t="shared" si="18"/>
        <v>8.9175055285272045</v>
      </c>
      <c r="M395" s="21" t="str">
        <f t="shared" si="19"/>
        <v>04.12.2024</v>
      </c>
      <c r="N395" s="21">
        <f t="shared" si="20"/>
        <v>63.151260504201687</v>
      </c>
    </row>
    <row r="396" spans="1:14">
      <c r="A396" s="9" t="s">
        <v>713</v>
      </c>
      <c r="B396" s="8">
        <v>12</v>
      </c>
      <c r="C396" s="8" t="s">
        <v>39</v>
      </c>
      <c r="D396" s="8" t="s">
        <v>36</v>
      </c>
      <c r="E396" s="8" t="s">
        <v>464</v>
      </c>
      <c r="F396" s="8">
        <v>146</v>
      </c>
      <c r="G396" s="8">
        <v>64.11</v>
      </c>
      <c r="H396" s="10">
        <v>29.96</v>
      </c>
      <c r="I396" s="21">
        <f>Table1[[#This Row],[BRUTTO_monthly_bill_eur]]/1.19</f>
        <v>53.873949579831937</v>
      </c>
      <c r="J396" s="21">
        <f>Table1[[#This Row],[monthly_consumption_kwh]]*Table1[[#This Row],[NETTO_procurement_cost_ct_per_kwh]]/100</f>
        <v>43.741599999999998</v>
      </c>
      <c r="K396" s="21">
        <f>Table1[[#This Row],[NETTO_monthly_revenue(€)]]-Table1[[#This Row],[procurement_cost_(€)]]</f>
        <v>10.132349579831939</v>
      </c>
      <c r="L396" s="21">
        <f t="shared" si="18"/>
        <v>6.9399654656383145</v>
      </c>
      <c r="M396" s="21" t="str">
        <f t="shared" si="19"/>
        <v>17.11.2024</v>
      </c>
      <c r="N396" s="21">
        <f t="shared" si="20"/>
        <v>53.873949579831937</v>
      </c>
    </row>
    <row r="397" spans="1:14">
      <c r="A397" s="9" t="s">
        <v>714</v>
      </c>
      <c r="B397" s="8">
        <v>24</v>
      </c>
      <c r="C397" s="8" t="s">
        <v>51</v>
      </c>
      <c r="D397" s="8" t="s">
        <v>46</v>
      </c>
      <c r="E397" s="8" t="s">
        <v>715</v>
      </c>
      <c r="F397" s="8">
        <v>552</v>
      </c>
      <c r="G397" s="8">
        <v>194.29</v>
      </c>
      <c r="H397" s="10">
        <v>19.72</v>
      </c>
      <c r="I397" s="21">
        <f>Table1[[#This Row],[BRUTTO_monthly_bill_eur]]/1.19</f>
        <v>163.26890756302521</v>
      </c>
      <c r="J397" s="21">
        <f>Table1[[#This Row],[monthly_consumption_kwh]]*Table1[[#This Row],[NETTO_procurement_cost_ct_per_kwh]]/100</f>
        <v>108.85439999999998</v>
      </c>
      <c r="K397" s="21">
        <f>Table1[[#This Row],[NETTO_monthly_revenue(€)]]-Table1[[#This Row],[procurement_cost_(€)]]</f>
        <v>54.414507563025225</v>
      </c>
      <c r="L397" s="21">
        <f t="shared" si="18"/>
        <v>9.8577006454755836</v>
      </c>
      <c r="M397" s="21" t="str">
        <f t="shared" si="19"/>
        <v>2024-05</v>
      </c>
      <c r="N397" s="21">
        <f t="shared" si="20"/>
        <v>163.26890756302521</v>
      </c>
    </row>
    <row r="398" spans="1:14">
      <c r="A398" s="9" t="s">
        <v>716</v>
      </c>
      <c r="B398" s="8">
        <v>24</v>
      </c>
      <c r="C398" s="8" t="s">
        <v>51</v>
      </c>
      <c r="D398" s="8" t="s">
        <v>36</v>
      </c>
      <c r="E398" s="8" t="s">
        <v>510</v>
      </c>
      <c r="F398" s="8">
        <v>652</v>
      </c>
      <c r="G398" s="8">
        <v>214.06</v>
      </c>
      <c r="H398" s="10">
        <v>17.649999999999999</v>
      </c>
      <c r="I398" s="21">
        <f>Table1[[#This Row],[BRUTTO_monthly_bill_eur]]/1.19</f>
        <v>179.88235294117649</v>
      </c>
      <c r="J398" s="21">
        <f>Table1[[#This Row],[monthly_consumption_kwh]]*Table1[[#This Row],[NETTO_procurement_cost_ct_per_kwh]]/100</f>
        <v>115.07799999999999</v>
      </c>
      <c r="K398" s="21">
        <f>Table1[[#This Row],[NETTO_monthly_revenue(€)]]-Table1[[#This Row],[procurement_cost_(€)]]</f>
        <v>64.804352941176504</v>
      </c>
      <c r="L398" s="21">
        <f t="shared" si="18"/>
        <v>9.9393179357632668</v>
      </c>
      <c r="M398" s="21" t="str">
        <f t="shared" si="19"/>
        <v>03.11.2024</v>
      </c>
      <c r="N398" s="21">
        <f t="shared" si="20"/>
        <v>179.88235294117649</v>
      </c>
    </row>
    <row r="399" spans="1:14">
      <c r="A399" s="9" t="s">
        <v>717</v>
      </c>
      <c r="B399" s="8">
        <v>12</v>
      </c>
      <c r="C399" s="8" t="s">
        <v>51</v>
      </c>
      <c r="D399" s="8" t="s">
        <v>46</v>
      </c>
      <c r="E399" s="8" t="s">
        <v>260</v>
      </c>
      <c r="F399" s="8">
        <v>356</v>
      </c>
      <c r="G399" s="8">
        <v>114.6</v>
      </c>
      <c r="H399" s="10">
        <v>19.260000000000002</v>
      </c>
      <c r="I399" s="21">
        <f>Table1[[#This Row],[BRUTTO_monthly_bill_eur]]/1.19</f>
        <v>96.30252100840336</v>
      </c>
      <c r="J399" s="21">
        <f>Table1[[#This Row],[monthly_consumption_kwh]]*Table1[[#This Row],[NETTO_procurement_cost_ct_per_kwh]]/100</f>
        <v>68.565600000000003</v>
      </c>
      <c r="K399" s="21">
        <f>Table1[[#This Row],[NETTO_monthly_revenue(€)]]-Table1[[#This Row],[procurement_cost_(€)]]</f>
        <v>27.736921008403357</v>
      </c>
      <c r="L399" s="21">
        <f t="shared" si="18"/>
        <v>7.7912699461807176</v>
      </c>
      <c r="M399" s="21" t="str">
        <f t="shared" si="19"/>
        <v>03.06.2025</v>
      </c>
      <c r="N399" s="21">
        <f t="shared" si="20"/>
        <v>96.30252100840336</v>
      </c>
    </row>
    <row r="400" spans="1:14">
      <c r="A400" s="9" t="s">
        <v>718</v>
      </c>
      <c r="B400" s="8">
        <v>24</v>
      </c>
      <c r="C400" s="8" t="s">
        <v>35</v>
      </c>
      <c r="D400" s="8" t="s">
        <v>56</v>
      </c>
      <c r="E400" s="8" t="s">
        <v>719</v>
      </c>
      <c r="F400" s="8">
        <v>176</v>
      </c>
      <c r="G400" s="8">
        <v>69.150000000000006</v>
      </c>
      <c r="H400" s="10">
        <v>23.49</v>
      </c>
      <c r="I400" s="21">
        <f>Table1[[#This Row],[BRUTTO_monthly_bill_eur]]/1.19</f>
        <v>58.109243697479002</v>
      </c>
      <c r="J400" s="21">
        <f>Table1[[#This Row],[monthly_consumption_kwh]]*Table1[[#This Row],[NETTO_procurement_cost_ct_per_kwh]]/100</f>
        <v>41.342399999999998</v>
      </c>
      <c r="K400" s="21">
        <f>Table1[[#This Row],[NETTO_monthly_revenue(€)]]-Table1[[#This Row],[procurement_cost_(€)]]</f>
        <v>16.766843697479004</v>
      </c>
      <c r="L400" s="21">
        <f t="shared" si="18"/>
        <v>9.5266157372039793</v>
      </c>
      <c r="M400" s="21" t="str">
        <f t="shared" si="19"/>
        <v>12.11.2024</v>
      </c>
      <c r="N400" s="21">
        <f t="shared" si="20"/>
        <v>58.109243697479002</v>
      </c>
    </row>
    <row r="401" spans="1:14">
      <c r="A401" s="9" t="s">
        <v>720</v>
      </c>
      <c r="B401" s="8">
        <v>24</v>
      </c>
      <c r="C401" s="8" t="s">
        <v>39</v>
      </c>
      <c r="D401" s="8" t="s">
        <v>36</v>
      </c>
      <c r="E401" s="8" t="s">
        <v>721</v>
      </c>
      <c r="F401" s="8">
        <v>107</v>
      </c>
      <c r="G401" s="8">
        <v>46.9</v>
      </c>
      <c r="H401" s="10">
        <v>30.65</v>
      </c>
      <c r="I401" s="21">
        <f>Table1[[#This Row],[BRUTTO_monthly_bill_eur]]/1.19</f>
        <v>39.411764705882355</v>
      </c>
      <c r="J401" s="21">
        <f>Table1[[#This Row],[monthly_consumption_kwh]]*Table1[[#This Row],[NETTO_procurement_cost_ct_per_kwh]]/100</f>
        <v>32.795499999999997</v>
      </c>
      <c r="K401" s="21">
        <f>Table1[[#This Row],[NETTO_monthly_revenue(€)]]-Table1[[#This Row],[procurement_cost_(€)]]</f>
        <v>6.616264705882358</v>
      </c>
      <c r="L401" s="21">
        <f t="shared" si="18"/>
        <v>6.1834249587685592</v>
      </c>
      <c r="M401" s="21" t="str">
        <f t="shared" si="19"/>
        <v>2025-02</v>
      </c>
      <c r="N401" s="21">
        <f t="shared" si="20"/>
        <v>39.411764705882355</v>
      </c>
    </row>
    <row r="402" spans="1:14">
      <c r="A402" s="9" t="s">
        <v>722</v>
      </c>
      <c r="B402" s="8">
        <v>12</v>
      </c>
      <c r="C402" s="8" t="s">
        <v>51</v>
      </c>
      <c r="D402" s="8" t="s">
        <v>46</v>
      </c>
      <c r="E402" s="8" t="s">
        <v>723</v>
      </c>
      <c r="F402" s="8">
        <v>420</v>
      </c>
      <c r="G402" s="8">
        <v>135.38999999999999</v>
      </c>
      <c r="H402" s="10">
        <v>17.21</v>
      </c>
      <c r="I402" s="21">
        <f>Table1[[#This Row],[BRUTTO_monthly_bill_eur]]/1.19</f>
        <v>113.77310924369748</v>
      </c>
      <c r="J402" s="21">
        <f>Table1[[#This Row],[monthly_consumption_kwh]]*Table1[[#This Row],[NETTO_procurement_cost_ct_per_kwh]]/100</f>
        <v>72.282000000000011</v>
      </c>
      <c r="K402" s="21">
        <f>Table1[[#This Row],[NETTO_monthly_revenue(€)]]-Table1[[#This Row],[procurement_cost_(€)]]</f>
        <v>41.491109243697466</v>
      </c>
      <c r="L402" s="21">
        <f t="shared" si="18"/>
        <v>9.8788355342136835</v>
      </c>
      <c r="M402" s="21" t="str">
        <f t="shared" si="19"/>
        <v>30.11.2024</v>
      </c>
      <c r="N402" s="21">
        <f t="shared" si="20"/>
        <v>113.77310924369748</v>
      </c>
    </row>
    <row r="403" spans="1:14">
      <c r="A403" s="9" t="s">
        <v>724</v>
      </c>
      <c r="B403" s="8">
        <v>24</v>
      </c>
      <c r="C403" s="8" t="s">
        <v>39</v>
      </c>
      <c r="D403" s="8" t="s">
        <v>56</v>
      </c>
      <c r="E403" s="8" t="s">
        <v>397</v>
      </c>
      <c r="F403" s="8">
        <v>104</v>
      </c>
      <c r="G403" s="8">
        <v>50.67</v>
      </c>
      <c r="H403" s="10">
        <v>30.28</v>
      </c>
      <c r="I403" s="21">
        <f>Table1[[#This Row],[BRUTTO_monthly_bill_eur]]/1.19</f>
        <v>42.579831932773111</v>
      </c>
      <c r="J403" s="21">
        <f>Table1[[#This Row],[monthly_consumption_kwh]]*Table1[[#This Row],[NETTO_procurement_cost_ct_per_kwh]]/100</f>
        <v>31.491199999999999</v>
      </c>
      <c r="K403" s="21">
        <f>Table1[[#This Row],[NETTO_monthly_revenue(€)]]-Table1[[#This Row],[procurement_cost_(€)]]</f>
        <v>11.088631932773112</v>
      </c>
      <c r="L403" s="21">
        <f t="shared" si="18"/>
        <v>10.662146089204914</v>
      </c>
      <c r="M403" s="21" t="str">
        <f t="shared" si="19"/>
        <v>16.02.2025</v>
      </c>
      <c r="N403" s="21">
        <f t="shared" si="20"/>
        <v>42.579831932773111</v>
      </c>
    </row>
    <row r="404" spans="1:14">
      <c r="A404" s="9" t="s">
        <v>725</v>
      </c>
      <c r="B404" s="8">
        <v>12</v>
      </c>
      <c r="C404" s="8" t="s">
        <v>39</v>
      </c>
      <c r="D404" s="8" t="s">
        <v>56</v>
      </c>
      <c r="E404" s="8" t="s">
        <v>726</v>
      </c>
      <c r="F404" s="8">
        <v>159</v>
      </c>
      <c r="G404" s="8">
        <v>66.989999999999995</v>
      </c>
      <c r="H404" s="10">
        <v>28.74</v>
      </c>
      <c r="I404" s="21">
        <f>Table1[[#This Row],[BRUTTO_monthly_bill_eur]]/1.19</f>
        <v>56.294117647058819</v>
      </c>
      <c r="J404" s="21">
        <f>Table1[[#This Row],[monthly_consumption_kwh]]*Table1[[#This Row],[NETTO_procurement_cost_ct_per_kwh]]/100</f>
        <v>45.696599999999997</v>
      </c>
      <c r="K404" s="21">
        <f>Table1[[#This Row],[NETTO_monthly_revenue(€)]]-Table1[[#This Row],[procurement_cost_(€)]]</f>
        <v>10.597517647058822</v>
      </c>
      <c r="L404" s="21">
        <f t="shared" si="18"/>
        <v>6.6651054384017749</v>
      </c>
      <c r="M404" s="21" t="str">
        <f t="shared" si="19"/>
        <v>29.10.2024</v>
      </c>
      <c r="N404" s="21">
        <f t="shared" si="20"/>
        <v>56.294117647058819</v>
      </c>
    </row>
    <row r="405" spans="1:14">
      <c r="A405" s="9" t="s">
        <v>727</v>
      </c>
      <c r="B405" s="8">
        <v>24</v>
      </c>
      <c r="C405" s="8" t="s">
        <v>39</v>
      </c>
      <c r="D405" s="8" t="s">
        <v>56</v>
      </c>
      <c r="E405" s="8" t="s">
        <v>607</v>
      </c>
      <c r="F405" s="8">
        <v>104</v>
      </c>
      <c r="G405" s="8">
        <v>48.91</v>
      </c>
      <c r="H405" s="10">
        <v>29.11</v>
      </c>
      <c r="I405" s="21">
        <f>Table1[[#This Row],[BRUTTO_monthly_bill_eur]]/1.19</f>
        <v>41.100840336134453</v>
      </c>
      <c r="J405" s="21">
        <f>Table1[[#This Row],[monthly_consumption_kwh]]*Table1[[#This Row],[NETTO_procurement_cost_ct_per_kwh]]/100</f>
        <v>30.2744</v>
      </c>
      <c r="K405" s="21">
        <f>Table1[[#This Row],[NETTO_monthly_revenue(€)]]-Table1[[#This Row],[procurement_cost_(€)]]</f>
        <v>10.826440336134453</v>
      </c>
      <c r="L405" s="21">
        <f t="shared" si="18"/>
        <v>10.410038784744668</v>
      </c>
      <c r="M405" s="21" t="str">
        <f t="shared" si="19"/>
        <v>10.05.2024</v>
      </c>
      <c r="N405" s="21">
        <f t="shared" si="20"/>
        <v>41.100840336134453</v>
      </c>
    </row>
    <row r="406" spans="1:14">
      <c r="A406" s="9" t="s">
        <v>728</v>
      </c>
      <c r="B406" s="8">
        <v>12</v>
      </c>
      <c r="C406" s="8" t="s">
        <v>35</v>
      </c>
      <c r="D406" s="8" t="s">
        <v>36</v>
      </c>
      <c r="E406" s="8" t="s">
        <v>124</v>
      </c>
      <c r="F406" s="8">
        <v>212</v>
      </c>
      <c r="G406" s="8">
        <v>88.55</v>
      </c>
      <c r="H406" s="10">
        <v>22.87</v>
      </c>
      <c r="I406" s="21">
        <f>Table1[[#This Row],[BRUTTO_monthly_bill_eur]]/1.19</f>
        <v>74.411764705882348</v>
      </c>
      <c r="J406" s="21">
        <f>Table1[[#This Row],[monthly_consumption_kwh]]*Table1[[#This Row],[NETTO_procurement_cost_ct_per_kwh]]/100</f>
        <v>48.484400000000008</v>
      </c>
      <c r="K406" s="21">
        <f>Table1[[#This Row],[NETTO_monthly_revenue(€)]]-Table1[[#This Row],[procurement_cost_(€)]]</f>
        <v>25.92736470588234</v>
      </c>
      <c r="L406" s="21">
        <f t="shared" si="18"/>
        <v>12.229889012208652</v>
      </c>
      <c r="M406" s="21" t="str">
        <f t="shared" si="19"/>
        <v>15.07.2024</v>
      </c>
      <c r="N406" s="21">
        <f t="shared" si="20"/>
        <v>74.411764705882348</v>
      </c>
    </row>
    <row r="407" spans="1:14">
      <c r="A407" s="9" t="s">
        <v>729</v>
      </c>
      <c r="B407" s="8">
        <v>24</v>
      </c>
      <c r="C407" s="8" t="s">
        <v>51</v>
      </c>
      <c r="D407" s="8" t="s">
        <v>56</v>
      </c>
      <c r="E407" s="8" t="s">
        <v>730</v>
      </c>
      <c r="F407" s="8">
        <v>587</v>
      </c>
      <c r="G407" s="8">
        <v>200.14</v>
      </c>
      <c r="H407" s="10">
        <v>17.41</v>
      </c>
      <c r="I407" s="21">
        <f>Table1[[#This Row],[BRUTTO_monthly_bill_eur]]/1.19</f>
        <v>168.18487394957984</v>
      </c>
      <c r="J407" s="21">
        <f>Table1[[#This Row],[monthly_consumption_kwh]]*Table1[[#This Row],[NETTO_procurement_cost_ct_per_kwh]]/100</f>
        <v>102.19670000000001</v>
      </c>
      <c r="K407" s="21">
        <f>Table1[[#This Row],[NETTO_monthly_revenue(€)]]-Table1[[#This Row],[procurement_cost_(€)]]</f>
        <v>65.988173949579831</v>
      </c>
      <c r="L407" s="21">
        <f t="shared" si="18"/>
        <v>11.241596924971011</v>
      </c>
      <c r="M407" s="21" t="str">
        <f t="shared" si="19"/>
        <v>06.03.2025</v>
      </c>
      <c r="N407" s="21">
        <f t="shared" si="20"/>
        <v>168.18487394957984</v>
      </c>
    </row>
    <row r="408" spans="1:14">
      <c r="A408" s="9" t="s">
        <v>731</v>
      </c>
      <c r="B408" s="8">
        <v>12</v>
      </c>
      <c r="C408" s="8" t="s">
        <v>35</v>
      </c>
      <c r="D408" s="8" t="s">
        <v>46</v>
      </c>
      <c r="E408" s="8" t="s">
        <v>164</v>
      </c>
      <c r="F408" s="8">
        <v>242</v>
      </c>
      <c r="G408" s="8">
        <v>97.76</v>
      </c>
      <c r="H408" s="10">
        <v>25.3</v>
      </c>
      <c r="I408" s="21">
        <f>Table1[[#This Row],[BRUTTO_monthly_bill_eur]]/1.19</f>
        <v>82.151260504201687</v>
      </c>
      <c r="J408" s="21">
        <f>Table1[[#This Row],[monthly_consumption_kwh]]*Table1[[#This Row],[NETTO_procurement_cost_ct_per_kwh]]/100</f>
        <v>61.226000000000006</v>
      </c>
      <c r="K408" s="21">
        <f>Table1[[#This Row],[NETTO_monthly_revenue(€)]]-Table1[[#This Row],[procurement_cost_(€)]]</f>
        <v>20.925260504201681</v>
      </c>
      <c r="L408" s="21">
        <f t="shared" si="18"/>
        <v>8.6468018612403643</v>
      </c>
      <c r="M408" s="21" t="str">
        <f t="shared" si="19"/>
        <v>23.01.2025</v>
      </c>
      <c r="N408" s="21">
        <f t="shared" si="20"/>
        <v>82.151260504201687</v>
      </c>
    </row>
    <row r="409" spans="1:14">
      <c r="A409" s="9" t="s">
        <v>732</v>
      </c>
      <c r="B409" s="8">
        <v>12</v>
      </c>
      <c r="C409" s="8" t="s">
        <v>35</v>
      </c>
      <c r="D409" s="8" t="s">
        <v>36</v>
      </c>
      <c r="E409" s="8" t="s">
        <v>733</v>
      </c>
      <c r="F409" s="8">
        <v>296</v>
      </c>
      <c r="G409" s="8">
        <v>106.42</v>
      </c>
      <c r="H409" s="10">
        <v>25.14</v>
      </c>
      <c r="I409" s="21">
        <f>Table1[[#This Row],[BRUTTO_monthly_bill_eur]]/1.19</f>
        <v>89.428571428571431</v>
      </c>
      <c r="J409" s="21">
        <f>Table1[[#This Row],[monthly_consumption_kwh]]*Table1[[#This Row],[NETTO_procurement_cost_ct_per_kwh]]/100</f>
        <v>74.414400000000001</v>
      </c>
      <c r="K409" s="21">
        <f>Table1[[#This Row],[NETTO_monthly_revenue(€)]]-Table1[[#This Row],[procurement_cost_(€)]]</f>
        <v>15.01417142857143</v>
      </c>
      <c r="L409" s="21">
        <f t="shared" si="18"/>
        <v>5.0723552123552134</v>
      </c>
      <c r="M409" s="21" t="str">
        <f t="shared" si="19"/>
        <v>27.06.2024</v>
      </c>
      <c r="N409" s="21">
        <f t="shared" si="20"/>
        <v>89.428571428571431</v>
      </c>
    </row>
    <row r="410" spans="1:14">
      <c r="A410" s="9" t="s">
        <v>734</v>
      </c>
      <c r="B410" s="8">
        <v>24</v>
      </c>
      <c r="C410" s="8" t="s">
        <v>39</v>
      </c>
      <c r="D410" s="8" t="s">
        <v>36</v>
      </c>
      <c r="E410" s="8" t="s">
        <v>735</v>
      </c>
      <c r="F410" s="8">
        <v>88</v>
      </c>
      <c r="G410" s="8">
        <v>44.36</v>
      </c>
      <c r="H410" s="10">
        <v>31.71</v>
      </c>
      <c r="I410" s="21">
        <f>Table1[[#This Row],[BRUTTO_monthly_bill_eur]]/1.19</f>
        <v>37.27731092436975</v>
      </c>
      <c r="J410" s="21">
        <f>Table1[[#This Row],[monthly_consumption_kwh]]*Table1[[#This Row],[NETTO_procurement_cost_ct_per_kwh]]/100</f>
        <v>27.904800000000002</v>
      </c>
      <c r="K410" s="21">
        <f>Table1[[#This Row],[NETTO_monthly_revenue(€)]]-Table1[[#This Row],[procurement_cost_(€)]]</f>
        <v>9.3725109243697489</v>
      </c>
      <c r="L410" s="21">
        <f t="shared" si="18"/>
        <v>10.650580595874715</v>
      </c>
      <c r="M410" s="21" t="str">
        <f t="shared" si="19"/>
        <v>04.11.2024</v>
      </c>
      <c r="N410" s="21">
        <f t="shared" si="20"/>
        <v>37.27731092436975</v>
      </c>
    </row>
    <row r="411" spans="1:14">
      <c r="A411" s="9" t="s">
        <v>736</v>
      </c>
      <c r="B411" s="8">
        <v>12</v>
      </c>
      <c r="C411" s="8" t="s">
        <v>51</v>
      </c>
      <c r="D411" s="8" t="s">
        <v>46</v>
      </c>
      <c r="E411" s="8" t="s">
        <v>737</v>
      </c>
      <c r="F411" s="8">
        <v>496</v>
      </c>
      <c r="G411" s="8">
        <v>164.72</v>
      </c>
      <c r="H411" s="10">
        <v>21.35</v>
      </c>
      <c r="I411" s="21">
        <f>Table1[[#This Row],[BRUTTO_monthly_bill_eur]]/1.19</f>
        <v>138.42016806722688</v>
      </c>
      <c r="J411" s="21">
        <f>Table1[[#This Row],[monthly_consumption_kwh]]*Table1[[#This Row],[NETTO_procurement_cost_ct_per_kwh]]/100</f>
        <v>105.896</v>
      </c>
      <c r="K411" s="21">
        <f>Table1[[#This Row],[NETTO_monthly_revenue(€)]]-Table1[[#This Row],[procurement_cost_(€)]]</f>
        <v>32.524168067226881</v>
      </c>
      <c r="L411" s="21">
        <f t="shared" si="18"/>
        <v>6.5572919490376771</v>
      </c>
      <c r="M411" s="21" t="str">
        <f t="shared" si="19"/>
        <v>19.02.2025</v>
      </c>
      <c r="N411" s="21">
        <f t="shared" si="20"/>
        <v>138.42016806722688</v>
      </c>
    </row>
    <row r="412" spans="1:14">
      <c r="A412" s="9" t="s">
        <v>738</v>
      </c>
      <c r="B412" s="8">
        <v>12</v>
      </c>
      <c r="C412" s="8" t="s">
        <v>35</v>
      </c>
      <c r="D412" s="8" t="s">
        <v>36</v>
      </c>
      <c r="E412" s="8" t="s">
        <v>277</v>
      </c>
      <c r="F412" s="8">
        <v>173</v>
      </c>
      <c r="G412" s="8">
        <v>68.930000000000007</v>
      </c>
      <c r="H412" s="10">
        <v>24.29</v>
      </c>
      <c r="I412" s="21">
        <f>Table1[[#This Row],[BRUTTO_monthly_bill_eur]]/1.19</f>
        <v>57.924369747899171</v>
      </c>
      <c r="J412" s="21">
        <f>Table1[[#This Row],[monthly_consumption_kwh]]*Table1[[#This Row],[NETTO_procurement_cost_ct_per_kwh]]/100</f>
        <v>42.021700000000003</v>
      </c>
      <c r="K412" s="21">
        <f>Table1[[#This Row],[NETTO_monthly_revenue(€)]]-Table1[[#This Row],[procurement_cost_(€)]]</f>
        <v>15.902669747899168</v>
      </c>
      <c r="L412" s="21">
        <f t="shared" si="18"/>
        <v>9.1922946519648363</v>
      </c>
      <c r="M412" s="21" t="str">
        <f t="shared" si="19"/>
        <v>01.01.2024</v>
      </c>
      <c r="N412" s="21">
        <f t="shared" si="20"/>
        <v>57.924369747899171</v>
      </c>
    </row>
    <row r="413" spans="1:14">
      <c r="A413" s="9" t="s">
        <v>739</v>
      </c>
      <c r="B413" s="8">
        <v>24</v>
      </c>
      <c r="C413" s="8" t="s">
        <v>35</v>
      </c>
      <c r="D413" s="8" t="s">
        <v>46</v>
      </c>
      <c r="E413" s="8" t="s">
        <v>740</v>
      </c>
      <c r="F413" s="8">
        <v>177</v>
      </c>
      <c r="G413" s="8">
        <v>67.59</v>
      </c>
      <c r="H413" s="10">
        <v>22.57</v>
      </c>
      <c r="I413" s="21">
        <f>Table1[[#This Row],[BRUTTO_monthly_bill_eur]]/1.19</f>
        <v>56.7983193277311</v>
      </c>
      <c r="J413" s="21">
        <f>Table1[[#This Row],[monthly_consumption_kwh]]*Table1[[#This Row],[NETTO_procurement_cost_ct_per_kwh]]/100</f>
        <v>39.948900000000002</v>
      </c>
      <c r="K413" s="21">
        <f>Table1[[#This Row],[NETTO_monthly_revenue(€)]]-Table1[[#This Row],[procurement_cost_(€)]]</f>
        <v>16.849419327731098</v>
      </c>
      <c r="L413" s="21">
        <f t="shared" si="18"/>
        <v>9.5194459478706772</v>
      </c>
      <c r="M413" s="21" t="str">
        <f t="shared" si="19"/>
        <v>07.11.2024</v>
      </c>
      <c r="N413" s="21">
        <f t="shared" si="20"/>
        <v>56.7983193277311</v>
      </c>
    </row>
    <row r="414" spans="1:14">
      <c r="A414" s="9" t="s">
        <v>741</v>
      </c>
      <c r="B414" s="8">
        <v>24</v>
      </c>
      <c r="C414" s="8" t="s">
        <v>39</v>
      </c>
      <c r="D414" s="8" t="s">
        <v>46</v>
      </c>
      <c r="E414" s="8" t="s">
        <v>742</v>
      </c>
      <c r="F414" s="8">
        <v>159</v>
      </c>
      <c r="G414" s="8">
        <v>67.88</v>
      </c>
      <c r="H414" s="10">
        <v>29.5</v>
      </c>
      <c r="I414" s="21">
        <f>Table1[[#This Row],[BRUTTO_monthly_bill_eur]]/1.19</f>
        <v>57.042016806722685</v>
      </c>
      <c r="J414" s="21">
        <f>Table1[[#This Row],[monthly_consumption_kwh]]*Table1[[#This Row],[NETTO_procurement_cost_ct_per_kwh]]/100</f>
        <v>46.905000000000001</v>
      </c>
      <c r="K414" s="21">
        <f>Table1[[#This Row],[NETTO_monthly_revenue(€)]]-Table1[[#This Row],[procurement_cost_(€)]]</f>
        <v>10.137016806722684</v>
      </c>
      <c r="L414" s="21">
        <f t="shared" si="18"/>
        <v>6.3754822683790469</v>
      </c>
      <c r="M414" s="21" t="str">
        <f t="shared" si="19"/>
        <v>20.10.2024</v>
      </c>
      <c r="N414" s="21">
        <f t="shared" si="20"/>
        <v>57.042016806722685</v>
      </c>
    </row>
    <row r="415" spans="1:14">
      <c r="A415" s="9" t="s">
        <v>743</v>
      </c>
      <c r="B415" s="8">
        <v>24</v>
      </c>
      <c r="C415" s="8" t="s">
        <v>51</v>
      </c>
      <c r="D415" s="8" t="s">
        <v>36</v>
      </c>
      <c r="E415" s="8" t="s">
        <v>562</v>
      </c>
      <c r="F415" s="8">
        <v>380</v>
      </c>
      <c r="G415" s="8">
        <v>134.72999999999999</v>
      </c>
      <c r="H415" s="10">
        <v>20.49</v>
      </c>
      <c r="I415" s="21">
        <f>Table1[[#This Row],[BRUTTO_monthly_bill_eur]]/1.19</f>
        <v>113.21848739495798</v>
      </c>
      <c r="J415" s="21">
        <f>Table1[[#This Row],[monthly_consumption_kwh]]*Table1[[#This Row],[NETTO_procurement_cost_ct_per_kwh]]/100</f>
        <v>77.861999999999995</v>
      </c>
      <c r="K415" s="21">
        <f>Table1[[#This Row],[NETTO_monthly_revenue(€)]]-Table1[[#This Row],[procurement_cost_(€)]]</f>
        <v>35.356487394957981</v>
      </c>
      <c r="L415" s="21">
        <f t="shared" si="18"/>
        <v>9.304338788146838</v>
      </c>
      <c r="M415" s="21" t="str">
        <f t="shared" si="19"/>
        <v>03.08.2024</v>
      </c>
      <c r="N415" s="21">
        <f t="shared" si="20"/>
        <v>113.21848739495798</v>
      </c>
    </row>
    <row r="416" spans="1:14">
      <c r="A416" s="9" t="s">
        <v>744</v>
      </c>
      <c r="B416" s="8">
        <v>24</v>
      </c>
      <c r="C416" s="8" t="s">
        <v>35</v>
      </c>
      <c r="D416" s="8" t="s">
        <v>46</v>
      </c>
      <c r="E416" s="8" t="s">
        <v>605</v>
      </c>
      <c r="F416" s="8">
        <v>255</v>
      </c>
      <c r="G416" s="8">
        <v>97.2</v>
      </c>
      <c r="H416" s="10">
        <v>23.47</v>
      </c>
      <c r="I416" s="21">
        <f>Table1[[#This Row],[BRUTTO_monthly_bill_eur]]/1.19</f>
        <v>81.680672268907571</v>
      </c>
      <c r="J416" s="21">
        <f>Table1[[#This Row],[monthly_consumption_kwh]]*Table1[[#This Row],[NETTO_procurement_cost_ct_per_kwh]]/100</f>
        <v>59.848499999999994</v>
      </c>
      <c r="K416" s="21">
        <f>Table1[[#This Row],[NETTO_monthly_revenue(€)]]-Table1[[#This Row],[procurement_cost_(€)]]</f>
        <v>21.832172268907577</v>
      </c>
      <c r="L416" s="21">
        <f t="shared" si="18"/>
        <v>8.561636183885323</v>
      </c>
      <c r="M416" s="21" t="str">
        <f t="shared" si="19"/>
        <v>16.03.2025</v>
      </c>
      <c r="N416" s="21">
        <f t="shared" si="20"/>
        <v>81.680672268907571</v>
      </c>
    </row>
    <row r="417" spans="1:14">
      <c r="A417" s="9" t="s">
        <v>745</v>
      </c>
      <c r="B417" s="8">
        <v>12</v>
      </c>
      <c r="C417" s="8" t="s">
        <v>39</v>
      </c>
      <c r="D417" s="8" t="s">
        <v>46</v>
      </c>
      <c r="E417" s="8" t="s">
        <v>746</v>
      </c>
      <c r="F417" s="8">
        <v>118</v>
      </c>
      <c r="G417" s="8">
        <v>53.62</v>
      </c>
      <c r="H417" s="10">
        <v>28.35</v>
      </c>
      <c r="I417" s="21">
        <f>Table1[[#This Row],[BRUTTO_monthly_bill_eur]]/1.19</f>
        <v>45.058823529411768</v>
      </c>
      <c r="J417" s="21">
        <f>Table1[[#This Row],[monthly_consumption_kwh]]*Table1[[#This Row],[NETTO_procurement_cost_ct_per_kwh]]/100</f>
        <v>33.453000000000003</v>
      </c>
      <c r="K417" s="21">
        <f>Table1[[#This Row],[NETTO_monthly_revenue(€)]]-Table1[[#This Row],[procurement_cost_(€)]]</f>
        <v>11.605823529411765</v>
      </c>
      <c r="L417" s="21">
        <f t="shared" si="18"/>
        <v>9.8354436689930207</v>
      </c>
      <c r="M417" s="21" t="str">
        <f t="shared" si="19"/>
        <v>2024-11</v>
      </c>
      <c r="N417" s="21">
        <f t="shared" si="20"/>
        <v>45.058823529411768</v>
      </c>
    </row>
    <row r="418" spans="1:14">
      <c r="A418" s="9" t="s">
        <v>747</v>
      </c>
      <c r="B418" s="8">
        <v>12</v>
      </c>
      <c r="C418" s="8" t="s">
        <v>39</v>
      </c>
      <c r="D418" s="8" t="s">
        <v>36</v>
      </c>
      <c r="E418" s="8" t="s">
        <v>748</v>
      </c>
      <c r="F418" s="8">
        <v>112</v>
      </c>
      <c r="G418" s="8">
        <v>50.69</v>
      </c>
      <c r="H418" s="10">
        <v>30.23</v>
      </c>
      <c r="I418" s="21">
        <f>Table1[[#This Row],[BRUTTO_monthly_bill_eur]]/1.19</f>
        <v>42.596638655462186</v>
      </c>
      <c r="J418" s="21">
        <f>Table1[[#This Row],[monthly_consumption_kwh]]*Table1[[#This Row],[NETTO_procurement_cost_ct_per_kwh]]/100</f>
        <v>33.857600000000005</v>
      </c>
      <c r="K418" s="21">
        <f>Table1[[#This Row],[NETTO_monthly_revenue(€)]]-Table1[[#This Row],[procurement_cost_(€)]]</f>
        <v>8.7390386554621813</v>
      </c>
      <c r="L418" s="21">
        <f t="shared" si="18"/>
        <v>7.8027130852340907</v>
      </c>
      <c r="M418" s="21" t="str">
        <f t="shared" si="19"/>
        <v>21.04.2025</v>
      </c>
      <c r="N418" s="21">
        <f t="shared" si="20"/>
        <v>42.596638655462186</v>
      </c>
    </row>
    <row r="419" spans="1:14">
      <c r="A419" s="9" t="s">
        <v>749</v>
      </c>
      <c r="B419" s="8">
        <v>12</v>
      </c>
      <c r="C419" s="8" t="s">
        <v>35</v>
      </c>
      <c r="D419" s="8" t="s">
        <v>36</v>
      </c>
      <c r="E419" s="8" t="s">
        <v>591</v>
      </c>
      <c r="F419" s="8">
        <v>316</v>
      </c>
      <c r="G419" s="8">
        <v>113.09</v>
      </c>
      <c r="H419" s="10">
        <v>25.38</v>
      </c>
      <c r="I419" s="21">
        <f>Table1[[#This Row],[BRUTTO_monthly_bill_eur]]/1.19</f>
        <v>95.033613445378165</v>
      </c>
      <c r="J419" s="21">
        <f>Table1[[#This Row],[monthly_consumption_kwh]]*Table1[[#This Row],[NETTO_procurement_cost_ct_per_kwh]]/100</f>
        <v>80.200800000000001</v>
      </c>
      <c r="K419" s="21">
        <f>Table1[[#This Row],[NETTO_monthly_revenue(€)]]-Table1[[#This Row],[procurement_cost_(€)]]</f>
        <v>14.832813445378164</v>
      </c>
      <c r="L419" s="21">
        <f t="shared" si="18"/>
        <v>4.6939283054994192</v>
      </c>
      <c r="M419" s="21" t="str">
        <f t="shared" si="19"/>
        <v>28.03.2025</v>
      </c>
      <c r="N419" s="21">
        <f t="shared" si="20"/>
        <v>95.033613445378165</v>
      </c>
    </row>
    <row r="420" spans="1:14">
      <c r="A420" s="9" t="s">
        <v>750</v>
      </c>
      <c r="B420" s="8">
        <v>24</v>
      </c>
      <c r="C420" s="8" t="s">
        <v>35</v>
      </c>
      <c r="D420" s="8" t="s">
        <v>36</v>
      </c>
      <c r="E420" s="8" t="s">
        <v>591</v>
      </c>
      <c r="F420" s="8">
        <v>171</v>
      </c>
      <c r="G420" s="8">
        <v>67.47</v>
      </c>
      <c r="H420" s="10">
        <v>25.18</v>
      </c>
      <c r="I420" s="21">
        <f>Table1[[#This Row],[BRUTTO_monthly_bill_eur]]/1.19</f>
        <v>56.69747899159664</v>
      </c>
      <c r="J420" s="21">
        <f>Table1[[#This Row],[monthly_consumption_kwh]]*Table1[[#This Row],[NETTO_procurement_cost_ct_per_kwh]]/100</f>
        <v>43.0578</v>
      </c>
      <c r="K420" s="21">
        <f>Table1[[#This Row],[NETTO_monthly_revenue(€)]]-Table1[[#This Row],[procurement_cost_(€)]]</f>
        <v>13.639678991596639</v>
      </c>
      <c r="L420" s="21">
        <f t="shared" si="18"/>
        <v>7.976420462922011</v>
      </c>
      <c r="M420" s="21" t="str">
        <f t="shared" si="19"/>
        <v>28.03.2025</v>
      </c>
      <c r="N420" s="21">
        <f t="shared" si="20"/>
        <v>56.69747899159664</v>
      </c>
    </row>
    <row r="421" spans="1:14">
      <c r="A421" s="9" t="s">
        <v>751</v>
      </c>
      <c r="B421" s="8">
        <v>24</v>
      </c>
      <c r="C421" s="8" t="s">
        <v>39</v>
      </c>
      <c r="D421" s="8" t="s">
        <v>36</v>
      </c>
      <c r="E421" s="8" t="s">
        <v>436</v>
      </c>
      <c r="F421" s="8">
        <v>139</v>
      </c>
      <c r="G421" s="8">
        <v>56.92</v>
      </c>
      <c r="H421" s="10">
        <v>28.7</v>
      </c>
      <c r="I421" s="21">
        <f>Table1[[#This Row],[BRUTTO_monthly_bill_eur]]/1.19</f>
        <v>47.831932773109244</v>
      </c>
      <c r="J421" s="21">
        <f>Table1[[#This Row],[monthly_consumption_kwh]]*Table1[[#This Row],[NETTO_procurement_cost_ct_per_kwh]]/100</f>
        <v>39.893000000000001</v>
      </c>
      <c r="K421" s="21">
        <f>Table1[[#This Row],[NETTO_monthly_revenue(€)]]-Table1[[#This Row],[procurement_cost_(€)]]</f>
        <v>7.9389327731092436</v>
      </c>
      <c r="L421" s="21">
        <f t="shared" si="18"/>
        <v>5.7114624266972971</v>
      </c>
      <c r="M421" s="21" t="str">
        <f t="shared" si="19"/>
        <v>06.08.2024</v>
      </c>
      <c r="N421" s="21">
        <f t="shared" si="20"/>
        <v>47.831932773109244</v>
      </c>
    </row>
    <row r="422" spans="1:14">
      <c r="A422" s="9" t="s">
        <v>752</v>
      </c>
      <c r="B422" s="8">
        <v>24</v>
      </c>
      <c r="C422" s="8" t="s">
        <v>51</v>
      </c>
      <c r="D422" s="8" t="s">
        <v>56</v>
      </c>
      <c r="E422" s="8" t="s">
        <v>753</v>
      </c>
      <c r="F422" s="8">
        <v>655</v>
      </c>
      <c r="G422" s="8">
        <v>208.09</v>
      </c>
      <c r="H422" s="10">
        <v>19.86</v>
      </c>
      <c r="I422" s="21">
        <f>Table1[[#This Row],[BRUTTO_monthly_bill_eur]]/1.19</f>
        <v>174.8655462184874</v>
      </c>
      <c r="J422" s="21">
        <f>Table1[[#This Row],[monthly_consumption_kwh]]*Table1[[#This Row],[NETTO_procurement_cost_ct_per_kwh]]/100</f>
        <v>130.083</v>
      </c>
      <c r="K422" s="21">
        <f>Table1[[#This Row],[NETTO_monthly_revenue(€)]]-Table1[[#This Row],[procurement_cost_(€)]]</f>
        <v>44.782546218487397</v>
      </c>
      <c r="L422" s="21">
        <f t="shared" si="18"/>
        <v>6.8370299570209765</v>
      </c>
      <c r="M422" s="21" t="str">
        <f t="shared" si="19"/>
        <v>07.06.2025</v>
      </c>
      <c r="N422" s="21">
        <f t="shared" si="20"/>
        <v>174.8655462184874</v>
      </c>
    </row>
    <row r="423" spans="1:14">
      <c r="A423" s="9" t="s">
        <v>754</v>
      </c>
      <c r="B423" s="8">
        <v>24</v>
      </c>
      <c r="C423" s="8" t="s">
        <v>39</v>
      </c>
      <c r="D423" s="8" t="s">
        <v>36</v>
      </c>
      <c r="E423" s="8" t="s">
        <v>369</v>
      </c>
      <c r="F423" s="8">
        <v>130</v>
      </c>
      <c r="G423" s="8">
        <v>59.57</v>
      </c>
      <c r="H423" s="10">
        <v>28.88</v>
      </c>
      <c r="I423" s="21">
        <f>Table1[[#This Row],[BRUTTO_monthly_bill_eur]]/1.19</f>
        <v>50.058823529411768</v>
      </c>
      <c r="J423" s="21">
        <f>Table1[[#This Row],[monthly_consumption_kwh]]*Table1[[#This Row],[NETTO_procurement_cost_ct_per_kwh]]/100</f>
        <v>37.544000000000004</v>
      </c>
      <c r="K423" s="21">
        <f>Table1[[#This Row],[NETTO_monthly_revenue(€)]]-Table1[[#This Row],[procurement_cost_(€)]]</f>
        <v>12.514823529411764</v>
      </c>
      <c r="L423" s="21">
        <f t="shared" si="18"/>
        <v>9.6267873303167413</v>
      </c>
      <c r="M423" s="21" t="str">
        <f t="shared" si="19"/>
        <v>29.04.2025</v>
      </c>
      <c r="N423" s="21">
        <f t="shared" si="20"/>
        <v>50.058823529411768</v>
      </c>
    </row>
    <row r="424" spans="1:14">
      <c r="A424" s="9" t="s">
        <v>755</v>
      </c>
      <c r="B424" s="8">
        <v>12</v>
      </c>
      <c r="C424" s="8" t="s">
        <v>35</v>
      </c>
      <c r="D424" s="8" t="s">
        <v>46</v>
      </c>
      <c r="E424" s="8" t="s">
        <v>756</v>
      </c>
      <c r="F424" s="8">
        <v>322</v>
      </c>
      <c r="G424" s="8">
        <v>0</v>
      </c>
      <c r="H424" s="10">
        <v>22.87</v>
      </c>
      <c r="I424" s="21">
        <f>Table1[[#This Row],[BRUTTO_monthly_bill_eur]]/1.19</f>
        <v>0</v>
      </c>
      <c r="J424" s="21">
        <f>Table1[[#This Row],[monthly_consumption_kwh]]*Table1[[#This Row],[NETTO_procurement_cost_ct_per_kwh]]/100</f>
        <v>73.641400000000004</v>
      </c>
      <c r="K424" s="21">
        <f>Table1[[#This Row],[NETTO_monthly_revenue(€)]]-Table1[[#This Row],[procurement_cost_(€)]]</f>
        <v>-73.641400000000004</v>
      </c>
      <c r="L424" s="21">
        <f t="shared" si="18"/>
        <v>-22.87</v>
      </c>
      <c r="M424" s="21" t="str">
        <f t="shared" si="19"/>
        <v>22.06.2024</v>
      </c>
      <c r="N424" s="21">
        <f t="shared" si="20"/>
        <v>0</v>
      </c>
    </row>
    <row r="425" spans="1:14">
      <c r="A425" s="9" t="s">
        <v>757</v>
      </c>
      <c r="B425" s="8">
        <v>12</v>
      </c>
      <c r="C425" s="8" t="s">
        <v>51</v>
      </c>
      <c r="D425" s="8" t="s">
        <v>36</v>
      </c>
      <c r="E425" s="8" t="s">
        <v>758</v>
      </c>
      <c r="F425" s="8">
        <v>350</v>
      </c>
      <c r="G425" s="8">
        <v>122.53</v>
      </c>
      <c r="H425" s="10">
        <v>20.87</v>
      </c>
      <c r="I425" s="21">
        <f>Table1[[#This Row],[BRUTTO_monthly_bill_eur]]/1.19</f>
        <v>102.96638655462185</v>
      </c>
      <c r="J425" s="21">
        <f>Table1[[#This Row],[monthly_consumption_kwh]]*Table1[[#This Row],[NETTO_procurement_cost_ct_per_kwh]]/100</f>
        <v>73.045000000000002</v>
      </c>
      <c r="K425" s="21">
        <f>Table1[[#This Row],[NETTO_monthly_revenue(€)]]-Table1[[#This Row],[procurement_cost_(€)]]</f>
        <v>29.921386554621847</v>
      </c>
      <c r="L425" s="21">
        <f t="shared" si="18"/>
        <v>8.548967587034813</v>
      </c>
      <c r="M425" s="21" t="str">
        <f t="shared" si="19"/>
        <v>27.03.2024</v>
      </c>
      <c r="N425" s="21">
        <f t="shared" si="20"/>
        <v>102.96638655462185</v>
      </c>
    </row>
    <row r="426" spans="1:14">
      <c r="A426" s="9" t="s">
        <v>759</v>
      </c>
      <c r="B426" s="8">
        <v>12</v>
      </c>
      <c r="C426" s="8" t="s">
        <v>35</v>
      </c>
      <c r="D426" s="8" t="s">
        <v>36</v>
      </c>
      <c r="E426" s="8" t="s">
        <v>760</v>
      </c>
      <c r="F426" s="8">
        <v>236</v>
      </c>
      <c r="G426" s="8">
        <v>88.68</v>
      </c>
      <c r="H426" s="10">
        <v>23</v>
      </c>
      <c r="I426" s="21">
        <f>Table1[[#This Row],[BRUTTO_monthly_bill_eur]]/1.19</f>
        <v>74.52100840336135</v>
      </c>
      <c r="J426" s="21">
        <f>Table1[[#This Row],[monthly_consumption_kwh]]*Table1[[#This Row],[NETTO_procurement_cost_ct_per_kwh]]/100</f>
        <v>54.28</v>
      </c>
      <c r="K426" s="21">
        <f>Table1[[#This Row],[NETTO_monthly_revenue(€)]]-Table1[[#This Row],[procurement_cost_(€)]]</f>
        <v>20.241008403361349</v>
      </c>
      <c r="L426" s="21">
        <f t="shared" si="18"/>
        <v>8.5766984760005709</v>
      </c>
      <c r="M426" s="21" t="str">
        <f t="shared" si="19"/>
        <v>17.10.2024</v>
      </c>
      <c r="N426" s="21">
        <f t="shared" si="20"/>
        <v>74.52100840336135</v>
      </c>
    </row>
    <row r="427" spans="1:14">
      <c r="A427" s="9" t="s">
        <v>761</v>
      </c>
      <c r="B427" s="8">
        <v>12</v>
      </c>
      <c r="C427" s="8" t="s">
        <v>35</v>
      </c>
      <c r="D427" s="8" t="s">
        <v>56</v>
      </c>
      <c r="E427" s="8" t="s">
        <v>762</v>
      </c>
      <c r="F427" s="8">
        <v>210</v>
      </c>
      <c r="G427" s="8">
        <v>79.03</v>
      </c>
      <c r="H427" s="10">
        <v>23.05</v>
      </c>
      <c r="I427" s="21">
        <f>Table1[[#This Row],[BRUTTO_monthly_bill_eur]]/1.19</f>
        <v>66.411764705882362</v>
      </c>
      <c r="J427" s="21">
        <f>Table1[[#This Row],[monthly_consumption_kwh]]*Table1[[#This Row],[NETTO_procurement_cost_ct_per_kwh]]/100</f>
        <v>48.405000000000001</v>
      </c>
      <c r="K427" s="21">
        <f>Table1[[#This Row],[NETTO_monthly_revenue(€)]]-Table1[[#This Row],[procurement_cost_(€)]]</f>
        <v>18.006764705882361</v>
      </c>
      <c r="L427" s="21">
        <f t="shared" si="18"/>
        <v>8.57464985994398</v>
      </c>
      <c r="M427" s="21" t="str">
        <f t="shared" si="19"/>
        <v>11.06.2025</v>
      </c>
      <c r="N427" s="21">
        <f t="shared" si="20"/>
        <v>66.411764705882362</v>
      </c>
    </row>
    <row r="428" spans="1:14">
      <c r="A428" s="9" t="s">
        <v>763</v>
      </c>
      <c r="B428" s="8">
        <v>12</v>
      </c>
      <c r="C428" s="8" t="s">
        <v>35</v>
      </c>
      <c r="D428" s="8" t="s">
        <v>46</v>
      </c>
      <c r="E428" s="8" t="s">
        <v>764</v>
      </c>
      <c r="F428" s="8">
        <v>0</v>
      </c>
      <c r="G428" s="8">
        <v>105.64</v>
      </c>
      <c r="H428" s="10">
        <v>22</v>
      </c>
      <c r="I428" s="21">
        <f>Table1[[#This Row],[BRUTTO_monthly_bill_eur]]/1.19</f>
        <v>88.77310924369749</v>
      </c>
      <c r="J428" s="21">
        <f>Table1[[#This Row],[monthly_consumption_kwh]]*Table1[[#This Row],[NETTO_procurement_cost_ct_per_kwh]]/100</f>
        <v>0</v>
      </c>
      <c r="K428" s="21">
        <f>Table1[[#This Row],[NETTO_monthly_revenue(€)]]-Table1[[#This Row],[procurement_cost_(€)]]</f>
        <v>88.77310924369749</v>
      </c>
      <c r="L428" s="21" t="str">
        <f t="shared" si="18"/>
        <v/>
      </c>
      <c r="M428" s="21" t="str">
        <f t="shared" si="19"/>
        <v>09.12.2024</v>
      </c>
      <c r="N428" s="21">
        <f t="shared" si="20"/>
        <v>88.77310924369749</v>
      </c>
    </row>
    <row r="429" spans="1:14">
      <c r="A429" s="9" t="s">
        <v>765</v>
      </c>
      <c r="B429" s="8">
        <v>24</v>
      </c>
      <c r="C429" s="8" t="s">
        <v>39</v>
      </c>
      <c r="D429" s="8" t="s">
        <v>36</v>
      </c>
      <c r="E429" s="8" t="s">
        <v>63</v>
      </c>
      <c r="F429" s="8">
        <v>165</v>
      </c>
      <c r="G429" s="8">
        <v>69.41</v>
      </c>
      <c r="H429" s="10">
        <v>31.48</v>
      </c>
      <c r="I429" s="21">
        <f>Table1[[#This Row],[BRUTTO_monthly_bill_eur]]/1.19</f>
        <v>58.327731092436977</v>
      </c>
      <c r="J429" s="21">
        <f>Table1[[#This Row],[monthly_consumption_kwh]]*Table1[[#This Row],[NETTO_procurement_cost_ct_per_kwh]]/100</f>
        <v>51.942</v>
      </c>
      <c r="K429" s="21">
        <f>Table1[[#This Row],[NETTO_monthly_revenue(€)]]-Table1[[#This Row],[procurement_cost_(€)]]</f>
        <v>6.385731092436977</v>
      </c>
      <c r="L429" s="21">
        <f t="shared" si="18"/>
        <v>3.87014005602241</v>
      </c>
      <c r="M429" s="21" t="str">
        <f t="shared" si="19"/>
        <v>05.04.2024</v>
      </c>
      <c r="N429" s="21">
        <f t="shared" si="20"/>
        <v>58.327731092436977</v>
      </c>
    </row>
    <row r="430" spans="1:14">
      <c r="A430" s="9" t="s">
        <v>766</v>
      </c>
      <c r="B430" s="8">
        <v>12</v>
      </c>
      <c r="C430" s="8" t="s">
        <v>51</v>
      </c>
      <c r="D430" s="8" t="s">
        <v>36</v>
      </c>
      <c r="E430" s="8" t="s">
        <v>484</v>
      </c>
      <c r="F430" s="8">
        <v>419</v>
      </c>
      <c r="G430" s="8">
        <v>135.01</v>
      </c>
      <c r="H430" s="10">
        <v>20.46</v>
      </c>
      <c r="I430" s="21">
        <f>Table1[[#This Row],[BRUTTO_monthly_bill_eur]]/1.19</f>
        <v>113.45378151260503</v>
      </c>
      <c r="J430" s="21">
        <f>Table1[[#This Row],[monthly_consumption_kwh]]*Table1[[#This Row],[NETTO_procurement_cost_ct_per_kwh]]/100</f>
        <v>85.727400000000003</v>
      </c>
      <c r="K430" s="21">
        <f>Table1[[#This Row],[NETTO_monthly_revenue(€)]]-Table1[[#This Row],[procurement_cost_(€)]]</f>
        <v>27.72638151260503</v>
      </c>
      <c r="L430" s="21">
        <f t="shared" si="18"/>
        <v>6.6172748240107468</v>
      </c>
      <c r="M430" s="21" t="str">
        <f t="shared" si="19"/>
        <v>28.08.2024</v>
      </c>
      <c r="N430" s="21">
        <f t="shared" si="20"/>
        <v>113.45378151260503</v>
      </c>
    </row>
    <row r="431" spans="1:14">
      <c r="A431" s="9" t="s">
        <v>767</v>
      </c>
      <c r="B431" s="8">
        <v>12</v>
      </c>
      <c r="C431" s="8" t="s">
        <v>35</v>
      </c>
      <c r="D431" s="8" t="s">
        <v>36</v>
      </c>
      <c r="E431" s="8" t="s">
        <v>768</v>
      </c>
      <c r="F431" s="8">
        <v>276</v>
      </c>
      <c r="G431" s="8">
        <v>107.11</v>
      </c>
      <c r="H431" s="10">
        <v>24.51</v>
      </c>
      <c r="I431" s="21">
        <f>Table1[[#This Row],[BRUTTO_monthly_bill_eur]]/1.19</f>
        <v>90.008403361344548</v>
      </c>
      <c r="J431" s="21">
        <f>Table1[[#This Row],[monthly_consumption_kwh]]*Table1[[#This Row],[NETTO_procurement_cost_ct_per_kwh]]/100</f>
        <v>67.647599999999997</v>
      </c>
      <c r="K431" s="21">
        <f>Table1[[#This Row],[NETTO_monthly_revenue(€)]]-Table1[[#This Row],[procurement_cost_(€)]]</f>
        <v>22.360803361344551</v>
      </c>
      <c r="L431" s="21">
        <f t="shared" si="18"/>
        <v>8.1017403483132444</v>
      </c>
      <c r="M431" s="21" t="str">
        <f t="shared" si="19"/>
        <v>13.11.2024</v>
      </c>
      <c r="N431" s="21">
        <f t="shared" si="20"/>
        <v>90.008403361344548</v>
      </c>
    </row>
    <row r="432" spans="1:14">
      <c r="A432" s="9" t="s">
        <v>769</v>
      </c>
      <c r="B432" s="8">
        <v>12</v>
      </c>
      <c r="C432" s="8" t="s">
        <v>51</v>
      </c>
      <c r="D432" s="8" t="s">
        <v>36</v>
      </c>
      <c r="E432" s="8" t="s">
        <v>335</v>
      </c>
      <c r="F432" s="8">
        <v>399</v>
      </c>
      <c r="G432" s="8">
        <v>138.72</v>
      </c>
      <c r="H432" s="10">
        <v>20.25</v>
      </c>
      <c r="I432" s="21">
        <f>Table1[[#This Row],[BRUTTO_monthly_bill_eur]]/1.19</f>
        <v>116.57142857142857</v>
      </c>
      <c r="J432" s="21">
        <f>Table1[[#This Row],[monthly_consumption_kwh]]*Table1[[#This Row],[NETTO_procurement_cost_ct_per_kwh]]/100</f>
        <v>80.797499999999999</v>
      </c>
      <c r="K432" s="21">
        <f>Table1[[#This Row],[NETTO_monthly_revenue(€)]]-Table1[[#This Row],[procurement_cost_(€)]]</f>
        <v>35.77392857142857</v>
      </c>
      <c r="L432" s="21">
        <f t="shared" si="18"/>
        <v>8.9658968850698173</v>
      </c>
      <c r="M432" s="21" t="str">
        <f t="shared" si="19"/>
        <v>18.08.2024</v>
      </c>
      <c r="N432" s="21">
        <f t="shared" si="20"/>
        <v>116.57142857142857</v>
      </c>
    </row>
    <row r="433" spans="1:14">
      <c r="A433" s="9" t="s">
        <v>770</v>
      </c>
      <c r="B433" s="8">
        <v>24</v>
      </c>
      <c r="C433" s="8" t="s">
        <v>39</v>
      </c>
      <c r="D433" s="8" t="s">
        <v>46</v>
      </c>
      <c r="E433" s="8" t="s">
        <v>267</v>
      </c>
      <c r="F433" s="8">
        <v>130</v>
      </c>
      <c r="G433" s="8">
        <v>57.55</v>
      </c>
      <c r="H433" s="10">
        <v>28.61</v>
      </c>
      <c r="I433" s="21">
        <f>Table1[[#This Row],[BRUTTO_monthly_bill_eur]]/1.19</f>
        <v>48.361344537815128</v>
      </c>
      <c r="J433" s="21">
        <f>Table1[[#This Row],[monthly_consumption_kwh]]*Table1[[#This Row],[NETTO_procurement_cost_ct_per_kwh]]/100</f>
        <v>37.192999999999998</v>
      </c>
      <c r="K433" s="21">
        <f>Table1[[#This Row],[NETTO_monthly_revenue(€)]]-Table1[[#This Row],[procurement_cost_(€)]]</f>
        <v>11.16834453781513</v>
      </c>
      <c r="L433" s="21">
        <f t="shared" si="18"/>
        <v>8.5910342598577927</v>
      </c>
      <c r="M433" s="21" t="str">
        <f t="shared" si="19"/>
        <v>22.07.2024</v>
      </c>
      <c r="N433" s="21">
        <f t="shared" si="20"/>
        <v>48.361344537815128</v>
      </c>
    </row>
    <row r="434" spans="1:14">
      <c r="A434" s="9" t="s">
        <v>771</v>
      </c>
      <c r="B434" s="8">
        <v>24</v>
      </c>
      <c r="C434" s="8" t="s">
        <v>39</v>
      </c>
      <c r="D434" s="8" t="s">
        <v>36</v>
      </c>
      <c r="E434" s="8" t="s">
        <v>772</v>
      </c>
      <c r="F434" s="8">
        <v>122</v>
      </c>
      <c r="G434" s="8">
        <v>55.58</v>
      </c>
      <c r="H434" s="10">
        <v>29.83</v>
      </c>
      <c r="I434" s="21">
        <f>Table1[[#This Row],[BRUTTO_monthly_bill_eur]]/1.19</f>
        <v>46.705882352941174</v>
      </c>
      <c r="J434" s="21">
        <f>Table1[[#This Row],[monthly_consumption_kwh]]*Table1[[#This Row],[NETTO_procurement_cost_ct_per_kwh]]/100</f>
        <v>36.392599999999995</v>
      </c>
      <c r="K434" s="21">
        <f>Table1[[#This Row],[NETTO_monthly_revenue(€)]]-Table1[[#This Row],[procurement_cost_(€)]]</f>
        <v>10.313282352941179</v>
      </c>
      <c r="L434" s="21">
        <f t="shared" si="18"/>
        <v>8.4535101253616229</v>
      </c>
      <c r="M434" s="21" t="str">
        <f t="shared" si="19"/>
        <v>2024-05</v>
      </c>
      <c r="N434" s="21">
        <f t="shared" si="20"/>
        <v>46.705882352941174</v>
      </c>
    </row>
    <row r="435" spans="1:14">
      <c r="A435" s="9" t="s">
        <v>773</v>
      </c>
      <c r="B435" s="8">
        <v>12</v>
      </c>
      <c r="C435" s="8" t="s">
        <v>39</v>
      </c>
      <c r="D435" s="8" t="s">
        <v>36</v>
      </c>
      <c r="E435" s="8" t="s">
        <v>40</v>
      </c>
      <c r="F435" s="8">
        <v>165</v>
      </c>
      <c r="G435" s="8">
        <v>71.739999999999995</v>
      </c>
      <c r="H435" s="10">
        <v>29.4</v>
      </c>
      <c r="I435" s="21">
        <f>Table1[[#This Row],[BRUTTO_monthly_bill_eur]]/1.19</f>
        <v>60.285714285714285</v>
      </c>
      <c r="J435" s="21">
        <f>Table1[[#This Row],[monthly_consumption_kwh]]*Table1[[#This Row],[NETTO_procurement_cost_ct_per_kwh]]/100</f>
        <v>48.51</v>
      </c>
      <c r="K435" s="21">
        <f>Table1[[#This Row],[NETTO_monthly_revenue(€)]]-Table1[[#This Row],[procurement_cost_(€)]]</f>
        <v>11.775714285714287</v>
      </c>
      <c r="L435" s="21">
        <f t="shared" si="18"/>
        <v>7.1367965367965374</v>
      </c>
      <c r="M435" s="21" t="str">
        <f t="shared" si="19"/>
        <v>26.01.2024</v>
      </c>
      <c r="N435" s="21">
        <f t="shared" si="20"/>
        <v>60.285714285714285</v>
      </c>
    </row>
    <row r="436" spans="1:14">
      <c r="A436" s="9" t="s">
        <v>774</v>
      </c>
      <c r="B436" s="8">
        <v>12</v>
      </c>
      <c r="C436" s="8" t="s">
        <v>35</v>
      </c>
      <c r="D436" s="8" t="s">
        <v>36</v>
      </c>
      <c r="E436" s="8" t="s">
        <v>775</v>
      </c>
      <c r="F436" s="8">
        <v>268</v>
      </c>
      <c r="G436" s="8">
        <v>97.14</v>
      </c>
      <c r="H436" s="10">
        <v>22.38</v>
      </c>
      <c r="I436" s="21">
        <f>Table1[[#This Row],[BRUTTO_monthly_bill_eur]]/1.19</f>
        <v>81.630252100840337</v>
      </c>
      <c r="J436" s="21">
        <f>Table1[[#This Row],[monthly_consumption_kwh]]*Table1[[#This Row],[NETTO_procurement_cost_ct_per_kwh]]/100</f>
        <v>59.978400000000001</v>
      </c>
      <c r="K436" s="21">
        <f>Table1[[#This Row],[NETTO_monthly_revenue(€)]]-Table1[[#This Row],[procurement_cost_(€)]]</f>
        <v>21.651852100840337</v>
      </c>
      <c r="L436" s="21">
        <f t="shared" si="18"/>
        <v>8.079049291358336</v>
      </c>
      <c r="M436" s="21" t="str">
        <f t="shared" si="19"/>
        <v>17.02.2024</v>
      </c>
      <c r="N436" s="21">
        <f t="shared" si="20"/>
        <v>81.630252100840337</v>
      </c>
    </row>
    <row r="437" spans="1:14">
      <c r="A437" s="9" t="s">
        <v>776</v>
      </c>
      <c r="B437" s="8">
        <v>24</v>
      </c>
      <c r="C437" s="8" t="s">
        <v>35</v>
      </c>
      <c r="D437" s="8" t="s">
        <v>56</v>
      </c>
      <c r="E437" s="8" t="s">
        <v>44</v>
      </c>
      <c r="F437" s="8">
        <v>225</v>
      </c>
      <c r="G437" s="8">
        <v>84.1</v>
      </c>
      <c r="H437" s="10">
        <v>23.94</v>
      </c>
      <c r="I437" s="21">
        <f>Table1[[#This Row],[BRUTTO_monthly_bill_eur]]/1.19</f>
        <v>70.672268907563023</v>
      </c>
      <c r="J437" s="21">
        <f>Table1[[#This Row],[monthly_consumption_kwh]]*Table1[[#This Row],[NETTO_procurement_cost_ct_per_kwh]]/100</f>
        <v>53.865000000000002</v>
      </c>
      <c r="K437" s="21">
        <f>Table1[[#This Row],[NETTO_monthly_revenue(€)]]-Table1[[#This Row],[procurement_cost_(€)]]</f>
        <v>16.807268907563021</v>
      </c>
      <c r="L437" s="21">
        <f t="shared" si="18"/>
        <v>7.4698972922502316</v>
      </c>
      <c r="M437" s="21" t="str">
        <f t="shared" si="19"/>
        <v>07.09.2024</v>
      </c>
      <c r="N437" s="21">
        <f t="shared" si="20"/>
        <v>70.672268907563023</v>
      </c>
    </row>
    <row r="438" spans="1:14">
      <c r="A438" s="9" t="s">
        <v>777</v>
      </c>
      <c r="B438" s="8">
        <v>12</v>
      </c>
      <c r="C438" s="8" t="s">
        <v>51</v>
      </c>
      <c r="D438" s="8" t="s">
        <v>56</v>
      </c>
      <c r="E438" s="8" t="s">
        <v>308</v>
      </c>
      <c r="F438" s="8">
        <v>371</v>
      </c>
      <c r="G438" s="8">
        <v>125.65</v>
      </c>
      <c r="H438" s="10">
        <v>23.1</v>
      </c>
      <c r="I438" s="21">
        <f>Table1[[#This Row],[BRUTTO_monthly_bill_eur]]/1.19</f>
        <v>105.58823529411765</v>
      </c>
      <c r="J438" s="21">
        <f>Table1[[#This Row],[monthly_consumption_kwh]]*Table1[[#This Row],[NETTO_procurement_cost_ct_per_kwh]]/100</f>
        <v>85.701000000000008</v>
      </c>
      <c r="K438" s="21">
        <f>Table1[[#This Row],[NETTO_monthly_revenue(€)]]-Table1[[#This Row],[procurement_cost_(€)]]</f>
        <v>19.887235294117644</v>
      </c>
      <c r="L438" s="21">
        <f t="shared" si="18"/>
        <v>5.3604407800856189</v>
      </c>
      <c r="M438" s="21" t="str">
        <f t="shared" si="19"/>
        <v>01.05.2025</v>
      </c>
      <c r="N438" s="21">
        <f t="shared" si="20"/>
        <v>105.58823529411765</v>
      </c>
    </row>
    <row r="439" spans="1:14">
      <c r="A439" s="9" t="s">
        <v>778</v>
      </c>
      <c r="B439" s="8">
        <v>24</v>
      </c>
      <c r="C439" s="8" t="s">
        <v>35</v>
      </c>
      <c r="D439" s="8" t="s">
        <v>36</v>
      </c>
      <c r="E439" s="8" t="s">
        <v>779</v>
      </c>
      <c r="F439" s="8">
        <v>192</v>
      </c>
      <c r="G439" s="8">
        <v>79.77</v>
      </c>
      <c r="H439" s="10">
        <v>22.16</v>
      </c>
      <c r="I439" s="21">
        <f>Table1[[#This Row],[BRUTTO_monthly_bill_eur]]/1.19</f>
        <v>67.033613445378151</v>
      </c>
      <c r="J439" s="21">
        <f>Table1[[#This Row],[monthly_consumption_kwh]]*Table1[[#This Row],[NETTO_procurement_cost_ct_per_kwh]]/100</f>
        <v>42.547200000000004</v>
      </c>
      <c r="K439" s="21">
        <f>Table1[[#This Row],[NETTO_monthly_revenue(€)]]-Table1[[#This Row],[procurement_cost_(€)]]</f>
        <v>24.486413445378147</v>
      </c>
      <c r="L439" s="21">
        <f t="shared" si="18"/>
        <v>12.753340336134453</v>
      </c>
      <c r="M439" s="21" t="str">
        <f t="shared" si="19"/>
        <v>2024-03</v>
      </c>
      <c r="N439" s="21">
        <f t="shared" si="20"/>
        <v>67.033613445378151</v>
      </c>
    </row>
    <row r="440" spans="1:14">
      <c r="A440" s="9" t="s">
        <v>780</v>
      </c>
      <c r="B440" s="8">
        <v>24</v>
      </c>
      <c r="C440" s="8" t="s">
        <v>51</v>
      </c>
      <c r="D440" s="8" t="s">
        <v>46</v>
      </c>
      <c r="E440" s="8" t="s">
        <v>781</v>
      </c>
      <c r="F440" s="8">
        <v>408</v>
      </c>
      <c r="G440" s="8">
        <v>145.65</v>
      </c>
      <c r="H440" s="10">
        <v>17.96</v>
      </c>
      <c r="I440" s="21">
        <f>Table1[[#This Row],[BRUTTO_monthly_bill_eur]]/1.19</f>
        <v>122.39495798319329</v>
      </c>
      <c r="J440" s="21">
        <f>Table1[[#This Row],[monthly_consumption_kwh]]*Table1[[#This Row],[NETTO_procurement_cost_ct_per_kwh]]/100</f>
        <v>73.276800000000009</v>
      </c>
      <c r="K440" s="21">
        <f>Table1[[#This Row],[NETTO_monthly_revenue(€)]]-Table1[[#This Row],[procurement_cost_(€)]]</f>
        <v>49.118157983193285</v>
      </c>
      <c r="L440" s="21">
        <f t="shared" si="18"/>
        <v>12.038764211566981</v>
      </c>
      <c r="M440" s="21" t="str">
        <f t="shared" si="19"/>
        <v>11.04.2025</v>
      </c>
      <c r="N440" s="21">
        <f t="shared" si="20"/>
        <v>122.39495798319329</v>
      </c>
    </row>
    <row r="441" spans="1:14">
      <c r="A441" s="9" t="s">
        <v>782</v>
      </c>
      <c r="B441" s="8">
        <v>12</v>
      </c>
      <c r="C441" s="8" t="s">
        <v>39</v>
      </c>
      <c r="D441" s="8" t="s">
        <v>36</v>
      </c>
      <c r="E441" s="8" t="s">
        <v>783</v>
      </c>
      <c r="F441" s="8">
        <v>104</v>
      </c>
      <c r="G441" s="8">
        <v>46.85</v>
      </c>
      <c r="H441" s="10">
        <v>28.83</v>
      </c>
      <c r="I441" s="21">
        <f>Table1[[#This Row],[BRUTTO_monthly_bill_eur]]/1.19</f>
        <v>39.36974789915967</v>
      </c>
      <c r="J441" s="21">
        <f>Table1[[#This Row],[monthly_consumption_kwh]]*Table1[[#This Row],[NETTO_procurement_cost_ct_per_kwh]]/100</f>
        <v>29.983199999999997</v>
      </c>
      <c r="K441" s="21">
        <f>Table1[[#This Row],[NETTO_monthly_revenue(€)]]-Table1[[#This Row],[procurement_cost_(€)]]</f>
        <v>9.3865478991596731</v>
      </c>
      <c r="L441" s="21">
        <f t="shared" si="18"/>
        <v>9.025526826115069</v>
      </c>
      <c r="M441" s="21" t="str">
        <f t="shared" si="19"/>
        <v>28.02.2025</v>
      </c>
      <c r="N441" s="21">
        <f t="shared" si="20"/>
        <v>39.36974789915967</v>
      </c>
    </row>
    <row r="442" spans="1:14">
      <c r="A442" s="9" t="s">
        <v>784</v>
      </c>
      <c r="B442" s="8">
        <v>12</v>
      </c>
      <c r="C442" s="8" t="s">
        <v>51</v>
      </c>
      <c r="D442" s="8" t="s">
        <v>36</v>
      </c>
      <c r="E442" s="8" t="s">
        <v>785</v>
      </c>
      <c r="F442" s="8">
        <v>617</v>
      </c>
      <c r="G442" s="8">
        <v>213.34</v>
      </c>
      <c r="H442" s="10">
        <v>17.690000000000001</v>
      </c>
      <c r="I442" s="21">
        <f>Table1[[#This Row],[BRUTTO_monthly_bill_eur]]/1.19</f>
        <v>179.27731092436977</v>
      </c>
      <c r="J442" s="21">
        <f>Table1[[#This Row],[monthly_consumption_kwh]]*Table1[[#This Row],[NETTO_procurement_cost_ct_per_kwh]]/100</f>
        <v>109.14730000000002</v>
      </c>
      <c r="K442" s="21">
        <f>Table1[[#This Row],[NETTO_monthly_revenue(€)]]-Table1[[#This Row],[procurement_cost_(€)]]</f>
        <v>70.130010924369756</v>
      </c>
      <c r="L442" s="21">
        <f t="shared" si="18"/>
        <v>11.366290263269004</v>
      </c>
      <c r="M442" s="21" t="str">
        <f t="shared" si="19"/>
        <v>18.07.2024</v>
      </c>
      <c r="N442" s="21">
        <f t="shared" si="20"/>
        <v>179.27731092436977</v>
      </c>
    </row>
    <row r="443" spans="1:14">
      <c r="A443" s="9" t="s">
        <v>786</v>
      </c>
      <c r="B443" s="8">
        <v>24</v>
      </c>
      <c r="C443" s="8" t="s">
        <v>51</v>
      </c>
      <c r="D443" s="8" t="s">
        <v>46</v>
      </c>
      <c r="E443" s="8" t="s">
        <v>787</v>
      </c>
      <c r="F443" s="8">
        <v>520</v>
      </c>
      <c r="G443" s="8">
        <v>181.76</v>
      </c>
      <c r="H443" s="10">
        <v>21.04</v>
      </c>
      <c r="I443" s="21">
        <f>Table1[[#This Row],[BRUTTO_monthly_bill_eur]]/1.19</f>
        <v>152.73949579831933</v>
      </c>
      <c r="J443" s="21">
        <f>Table1[[#This Row],[monthly_consumption_kwh]]*Table1[[#This Row],[NETTO_procurement_cost_ct_per_kwh]]/100</f>
        <v>109.40799999999999</v>
      </c>
      <c r="K443" s="21">
        <f>Table1[[#This Row],[NETTO_monthly_revenue(€)]]-Table1[[#This Row],[procurement_cost_(€)]]</f>
        <v>43.331495798319338</v>
      </c>
      <c r="L443" s="21">
        <f t="shared" si="18"/>
        <v>8.3329799612152566</v>
      </c>
      <c r="M443" s="21" t="str">
        <f t="shared" si="19"/>
        <v>28.01.2025</v>
      </c>
      <c r="N443" s="21">
        <f t="shared" si="20"/>
        <v>152.73949579831933</v>
      </c>
    </row>
    <row r="444" spans="1:14">
      <c r="A444" s="9" t="s">
        <v>788</v>
      </c>
      <c r="B444" s="8">
        <v>12</v>
      </c>
      <c r="C444" s="8" t="s">
        <v>51</v>
      </c>
      <c r="D444" s="8" t="s">
        <v>56</v>
      </c>
      <c r="E444" s="8" t="s">
        <v>789</v>
      </c>
      <c r="F444" s="8">
        <v>508</v>
      </c>
      <c r="G444" s="8">
        <v>164.01</v>
      </c>
      <c r="H444" s="10">
        <v>20.84</v>
      </c>
      <c r="I444" s="21">
        <f>Table1[[#This Row],[BRUTTO_monthly_bill_eur]]/1.19</f>
        <v>137.8235294117647</v>
      </c>
      <c r="J444" s="21">
        <f>Table1[[#This Row],[monthly_consumption_kwh]]*Table1[[#This Row],[NETTO_procurement_cost_ct_per_kwh]]/100</f>
        <v>105.8672</v>
      </c>
      <c r="K444" s="21">
        <f>Table1[[#This Row],[NETTO_monthly_revenue(€)]]-Table1[[#This Row],[procurement_cost_(€)]]</f>
        <v>31.956329411764699</v>
      </c>
      <c r="L444" s="21">
        <f t="shared" si="18"/>
        <v>6.2906160259379327</v>
      </c>
      <c r="M444" s="21" t="str">
        <f t="shared" si="19"/>
        <v>21.05.2025</v>
      </c>
      <c r="N444" s="21">
        <f t="shared" si="20"/>
        <v>137.8235294117647</v>
      </c>
    </row>
    <row r="445" spans="1:14">
      <c r="A445" s="9" t="s">
        <v>790</v>
      </c>
      <c r="B445" s="8">
        <v>12</v>
      </c>
      <c r="C445" s="8" t="s">
        <v>51</v>
      </c>
      <c r="D445" s="8" t="s">
        <v>56</v>
      </c>
      <c r="E445" s="8" t="s">
        <v>673</v>
      </c>
      <c r="F445" s="8">
        <v>371</v>
      </c>
      <c r="G445" s="8">
        <v>127.41</v>
      </c>
      <c r="H445" s="10">
        <v>18.829999999999998</v>
      </c>
      <c r="I445" s="21">
        <f>Table1[[#This Row],[BRUTTO_monthly_bill_eur]]/1.19</f>
        <v>107.0672268907563</v>
      </c>
      <c r="J445" s="21">
        <f>Table1[[#This Row],[monthly_consumption_kwh]]*Table1[[#This Row],[NETTO_procurement_cost_ct_per_kwh]]/100</f>
        <v>69.85929999999999</v>
      </c>
      <c r="K445" s="21">
        <f>Table1[[#This Row],[NETTO_monthly_revenue(€)]]-Table1[[#This Row],[procurement_cost_(€)]]</f>
        <v>37.207926890756312</v>
      </c>
      <c r="L445" s="21">
        <f t="shared" si="18"/>
        <v>10.029090806133777</v>
      </c>
      <c r="M445" s="21" t="str">
        <f t="shared" si="19"/>
        <v>13.02.2025</v>
      </c>
      <c r="N445" s="21">
        <f t="shared" si="20"/>
        <v>107.0672268907563</v>
      </c>
    </row>
    <row r="446" spans="1:14">
      <c r="A446" s="9" t="s">
        <v>791</v>
      </c>
      <c r="B446" s="8">
        <v>24</v>
      </c>
      <c r="C446" s="8" t="s">
        <v>51</v>
      </c>
      <c r="D446" s="8" t="s">
        <v>46</v>
      </c>
      <c r="E446" s="8" t="s">
        <v>792</v>
      </c>
      <c r="F446" s="8">
        <v>620</v>
      </c>
      <c r="G446" s="8">
        <v>206.55</v>
      </c>
      <c r="H446" s="10">
        <v>20.3</v>
      </c>
      <c r="I446" s="21">
        <f>Table1[[#This Row],[BRUTTO_monthly_bill_eur]]/1.19</f>
        <v>173.57142857142858</v>
      </c>
      <c r="J446" s="21">
        <f>Table1[[#This Row],[monthly_consumption_kwh]]*Table1[[#This Row],[NETTO_procurement_cost_ct_per_kwh]]/100</f>
        <v>125.86</v>
      </c>
      <c r="K446" s="21">
        <f>Table1[[#This Row],[NETTO_monthly_revenue(€)]]-Table1[[#This Row],[procurement_cost_(€)]]</f>
        <v>47.711428571428584</v>
      </c>
      <c r="L446" s="21">
        <f t="shared" si="18"/>
        <v>7.6953917050691265</v>
      </c>
      <c r="M446" s="21" t="str">
        <f t="shared" si="19"/>
        <v>06.09.2024</v>
      </c>
      <c r="N446" s="21">
        <f t="shared" si="20"/>
        <v>173.57142857142858</v>
      </c>
    </row>
    <row r="447" spans="1:14">
      <c r="A447" s="9" t="s">
        <v>793</v>
      </c>
      <c r="B447" s="8">
        <v>24</v>
      </c>
      <c r="C447" s="8" t="s">
        <v>35</v>
      </c>
      <c r="D447" s="8" t="s">
        <v>36</v>
      </c>
      <c r="E447" s="8" t="s">
        <v>603</v>
      </c>
      <c r="F447" s="8">
        <v>287</v>
      </c>
      <c r="G447" s="8">
        <v>114.51</v>
      </c>
      <c r="H447" s="10">
        <v>22.62</v>
      </c>
      <c r="I447" s="21">
        <f>Table1[[#This Row],[BRUTTO_monthly_bill_eur]]/1.19</f>
        <v>96.226890756302524</v>
      </c>
      <c r="J447" s="21">
        <f>Table1[[#This Row],[monthly_consumption_kwh]]*Table1[[#This Row],[NETTO_procurement_cost_ct_per_kwh]]/100</f>
        <v>64.91940000000001</v>
      </c>
      <c r="K447" s="21">
        <f>Table1[[#This Row],[NETTO_monthly_revenue(€)]]-Table1[[#This Row],[procurement_cost_(€)]]</f>
        <v>31.307490756302514</v>
      </c>
      <c r="L447" s="21">
        <f t="shared" si="18"/>
        <v>10.908533364565336</v>
      </c>
      <c r="M447" s="21" t="str">
        <f t="shared" si="19"/>
        <v>31.05.2024</v>
      </c>
      <c r="N447" s="21">
        <f t="shared" si="20"/>
        <v>96.226890756302524</v>
      </c>
    </row>
    <row r="448" spans="1:14">
      <c r="A448" s="9" t="s">
        <v>794</v>
      </c>
      <c r="B448" s="8">
        <v>24</v>
      </c>
      <c r="C448" s="8" t="s">
        <v>39</v>
      </c>
      <c r="D448" s="8" t="s">
        <v>46</v>
      </c>
      <c r="E448" s="8" t="s">
        <v>795</v>
      </c>
      <c r="F448" s="8">
        <v>89</v>
      </c>
      <c r="G448" s="8">
        <v>43.44</v>
      </c>
      <c r="H448" s="10">
        <v>29.95</v>
      </c>
      <c r="I448" s="21">
        <f>Table1[[#This Row],[BRUTTO_monthly_bill_eur]]/1.19</f>
        <v>36.504201680672267</v>
      </c>
      <c r="J448" s="21">
        <f>Table1[[#This Row],[monthly_consumption_kwh]]*Table1[[#This Row],[NETTO_procurement_cost_ct_per_kwh]]/100</f>
        <v>26.655499999999996</v>
      </c>
      <c r="K448" s="21">
        <f>Table1[[#This Row],[NETTO_monthly_revenue(€)]]-Table1[[#This Row],[procurement_cost_(€)]]</f>
        <v>9.8487016806722707</v>
      </c>
      <c r="L448" s="21">
        <f t="shared" si="18"/>
        <v>11.065956944575586</v>
      </c>
      <c r="M448" s="21" t="str">
        <f t="shared" si="19"/>
        <v>06.01.2024</v>
      </c>
      <c r="N448" s="21">
        <f t="shared" si="20"/>
        <v>36.504201680672267</v>
      </c>
    </row>
    <row r="449" spans="1:14">
      <c r="A449" s="9" t="s">
        <v>796</v>
      </c>
      <c r="B449" s="8">
        <v>24</v>
      </c>
      <c r="C449" s="8" t="s">
        <v>39</v>
      </c>
      <c r="D449" s="8" t="s">
        <v>36</v>
      </c>
      <c r="E449" s="8" t="s">
        <v>555</v>
      </c>
      <c r="F449" s="8">
        <v>142</v>
      </c>
      <c r="G449" s="8">
        <v>65.19</v>
      </c>
      <c r="H449" s="10">
        <v>29.72</v>
      </c>
      <c r="I449" s="21">
        <f>Table1[[#This Row],[BRUTTO_monthly_bill_eur]]/1.19</f>
        <v>54.781512605042018</v>
      </c>
      <c r="J449" s="21">
        <f>Table1[[#This Row],[monthly_consumption_kwh]]*Table1[[#This Row],[NETTO_procurement_cost_ct_per_kwh]]/100</f>
        <v>42.202399999999997</v>
      </c>
      <c r="K449" s="21">
        <f>Table1[[#This Row],[NETTO_monthly_revenue(€)]]-Table1[[#This Row],[procurement_cost_(€)]]</f>
        <v>12.57911260504202</v>
      </c>
      <c r="L449" s="21">
        <f t="shared" si="18"/>
        <v>8.8585300035507188</v>
      </c>
      <c r="M449" s="21" t="str">
        <f t="shared" si="19"/>
        <v>19.04.2024</v>
      </c>
      <c r="N449" s="21">
        <f t="shared" si="20"/>
        <v>54.781512605042018</v>
      </c>
    </row>
    <row r="450" spans="1:14">
      <c r="A450" s="9" t="s">
        <v>797</v>
      </c>
      <c r="B450" s="8">
        <v>12</v>
      </c>
      <c r="C450" s="8" t="s">
        <v>51</v>
      </c>
      <c r="D450" s="8" t="s">
        <v>46</v>
      </c>
      <c r="E450" s="8" t="s">
        <v>798</v>
      </c>
      <c r="F450" s="8">
        <v>514</v>
      </c>
      <c r="G450" s="8">
        <v>167.82</v>
      </c>
      <c r="H450" s="10">
        <v>19.48</v>
      </c>
      <c r="I450" s="21">
        <f>Table1[[#This Row],[BRUTTO_monthly_bill_eur]]/1.19</f>
        <v>141.0252100840336</v>
      </c>
      <c r="J450" s="21">
        <f>Table1[[#This Row],[monthly_consumption_kwh]]*Table1[[#This Row],[NETTO_procurement_cost_ct_per_kwh]]/100</f>
        <v>100.12719999999999</v>
      </c>
      <c r="K450" s="21">
        <f>Table1[[#This Row],[NETTO_monthly_revenue(€)]]-Table1[[#This Row],[procurement_cost_(€)]]</f>
        <v>40.898010084033615</v>
      </c>
      <c r="L450" s="21">
        <f t="shared" ref="L450:L513" si="21">IF(F450=0,"",K450/F450*100)</f>
        <v>7.9568113003956453</v>
      </c>
      <c r="M450" s="21" t="str">
        <f t="shared" ref="M450:M513" si="22">TEXT(E450,"yyyy-mm")</f>
        <v>11.03.2025</v>
      </c>
      <c r="N450" s="21">
        <f t="shared" ref="N450:N513" si="23">G450/1.19</f>
        <v>141.0252100840336</v>
      </c>
    </row>
    <row r="451" spans="1:14">
      <c r="A451" s="9" t="s">
        <v>799</v>
      </c>
      <c r="B451" s="8">
        <v>12</v>
      </c>
      <c r="C451" s="8" t="s">
        <v>35</v>
      </c>
      <c r="D451" s="8" t="s">
        <v>36</v>
      </c>
      <c r="E451" s="8" t="s">
        <v>168</v>
      </c>
      <c r="F451" s="8">
        <v>181</v>
      </c>
      <c r="G451" s="8">
        <v>73.44</v>
      </c>
      <c r="H451" s="10">
        <v>26</v>
      </c>
      <c r="I451" s="21">
        <f>Table1[[#This Row],[BRUTTO_monthly_bill_eur]]/1.19</f>
        <v>61.714285714285715</v>
      </c>
      <c r="J451" s="21">
        <f>Table1[[#This Row],[monthly_consumption_kwh]]*Table1[[#This Row],[NETTO_procurement_cost_ct_per_kwh]]/100</f>
        <v>47.06</v>
      </c>
      <c r="K451" s="21">
        <f>Table1[[#This Row],[NETTO_monthly_revenue(€)]]-Table1[[#This Row],[procurement_cost_(€)]]</f>
        <v>14.654285714285713</v>
      </c>
      <c r="L451" s="21">
        <f t="shared" si="21"/>
        <v>8.0962904498816091</v>
      </c>
      <c r="M451" s="21" t="str">
        <f t="shared" si="22"/>
        <v>12.08.2024</v>
      </c>
      <c r="N451" s="21">
        <f t="shared" si="23"/>
        <v>61.714285714285715</v>
      </c>
    </row>
    <row r="452" spans="1:14">
      <c r="A452" s="9" t="s">
        <v>800</v>
      </c>
      <c r="B452" s="8">
        <v>24</v>
      </c>
      <c r="C452" s="8" t="s">
        <v>51</v>
      </c>
      <c r="D452" s="8" t="s">
        <v>46</v>
      </c>
      <c r="E452" s="8" t="s">
        <v>801</v>
      </c>
      <c r="F452" s="8">
        <v>486</v>
      </c>
      <c r="G452" s="8">
        <v>163.26</v>
      </c>
      <c r="H452" s="10">
        <v>22.35</v>
      </c>
      <c r="I452" s="21">
        <f>Table1[[#This Row],[BRUTTO_monthly_bill_eur]]/1.19</f>
        <v>137.19327731092437</v>
      </c>
      <c r="J452" s="21">
        <f>Table1[[#This Row],[monthly_consumption_kwh]]*Table1[[#This Row],[NETTO_procurement_cost_ct_per_kwh]]/100</f>
        <v>108.62100000000001</v>
      </c>
      <c r="K452" s="21">
        <f>Table1[[#This Row],[NETTO_monthly_revenue(€)]]-Table1[[#This Row],[procurement_cost_(€)]]</f>
        <v>28.572277310924363</v>
      </c>
      <c r="L452" s="21">
        <f t="shared" si="21"/>
        <v>5.8790694055399921</v>
      </c>
      <c r="M452" s="21" t="str">
        <f t="shared" si="22"/>
        <v>29.06.2024</v>
      </c>
      <c r="N452" s="21">
        <f t="shared" si="23"/>
        <v>137.19327731092437</v>
      </c>
    </row>
    <row r="453" spans="1:14">
      <c r="A453" s="9" t="s">
        <v>802</v>
      </c>
      <c r="B453" s="8">
        <v>24</v>
      </c>
      <c r="C453" s="8" t="s">
        <v>35</v>
      </c>
      <c r="D453" s="8" t="s">
        <v>36</v>
      </c>
      <c r="E453" s="8" t="s">
        <v>803</v>
      </c>
      <c r="F453" s="8">
        <v>248</v>
      </c>
      <c r="G453" s="8">
        <v>98.77</v>
      </c>
      <c r="H453" s="10">
        <v>23.59</v>
      </c>
      <c r="I453" s="21">
        <f>Table1[[#This Row],[BRUTTO_monthly_bill_eur]]/1.19</f>
        <v>83</v>
      </c>
      <c r="J453" s="21">
        <f>Table1[[#This Row],[monthly_consumption_kwh]]*Table1[[#This Row],[NETTO_procurement_cost_ct_per_kwh]]/100</f>
        <v>58.5032</v>
      </c>
      <c r="K453" s="21">
        <f>Table1[[#This Row],[NETTO_monthly_revenue(€)]]-Table1[[#This Row],[procurement_cost_(€)]]</f>
        <v>24.4968</v>
      </c>
      <c r="L453" s="21">
        <f t="shared" si="21"/>
        <v>9.8777419354838703</v>
      </c>
      <c r="M453" s="21" t="str">
        <f t="shared" si="22"/>
        <v>14.06.2025</v>
      </c>
      <c r="N453" s="21">
        <f t="shared" si="23"/>
        <v>83</v>
      </c>
    </row>
    <row r="454" spans="1:14">
      <c r="A454" s="9" t="s">
        <v>804</v>
      </c>
      <c r="B454" s="8">
        <v>12</v>
      </c>
      <c r="C454" s="8" t="s">
        <v>39</v>
      </c>
      <c r="D454" s="8" t="s">
        <v>36</v>
      </c>
      <c r="E454" s="8" t="s">
        <v>805</v>
      </c>
      <c r="F454" s="8">
        <v>97</v>
      </c>
      <c r="G454" s="8">
        <v>48.01</v>
      </c>
      <c r="H454" s="10">
        <v>31.31</v>
      </c>
      <c r="I454" s="21">
        <f>Table1[[#This Row],[BRUTTO_monthly_bill_eur]]/1.19</f>
        <v>40.344537815126053</v>
      </c>
      <c r="J454" s="21">
        <f>Table1[[#This Row],[monthly_consumption_kwh]]*Table1[[#This Row],[NETTO_procurement_cost_ct_per_kwh]]/100</f>
        <v>30.370699999999996</v>
      </c>
      <c r="K454" s="21">
        <f>Table1[[#This Row],[NETTO_monthly_revenue(€)]]-Table1[[#This Row],[procurement_cost_(€)]]</f>
        <v>9.9738378151260569</v>
      </c>
      <c r="L454" s="21">
        <f t="shared" si="21"/>
        <v>10.282307025903153</v>
      </c>
      <c r="M454" s="21" t="str">
        <f t="shared" si="22"/>
        <v>20.04.2025</v>
      </c>
      <c r="N454" s="21">
        <f t="shared" si="23"/>
        <v>40.344537815126053</v>
      </c>
    </row>
    <row r="455" spans="1:14">
      <c r="A455" s="9" t="s">
        <v>806</v>
      </c>
      <c r="B455" s="8">
        <v>24</v>
      </c>
      <c r="C455" s="8" t="s">
        <v>39</v>
      </c>
      <c r="D455" s="8" t="s">
        <v>56</v>
      </c>
      <c r="E455" s="8" t="s">
        <v>423</v>
      </c>
      <c r="F455" s="8">
        <v>162</v>
      </c>
      <c r="G455" s="8">
        <v>68.680000000000007</v>
      </c>
      <c r="H455" s="10">
        <v>28.68</v>
      </c>
      <c r="I455" s="21">
        <f>Table1[[#This Row],[BRUTTO_monthly_bill_eur]]/1.19</f>
        <v>57.714285714285722</v>
      </c>
      <c r="J455" s="21">
        <f>Table1[[#This Row],[monthly_consumption_kwh]]*Table1[[#This Row],[NETTO_procurement_cost_ct_per_kwh]]/100</f>
        <v>46.461599999999997</v>
      </c>
      <c r="K455" s="21">
        <f>Table1[[#This Row],[NETTO_monthly_revenue(€)]]-Table1[[#This Row],[procurement_cost_(€)]]</f>
        <v>11.252685714285725</v>
      </c>
      <c r="L455" s="21">
        <f t="shared" si="21"/>
        <v>6.9461022927689662</v>
      </c>
      <c r="M455" s="21" t="str">
        <f t="shared" si="22"/>
        <v>21.02.2024</v>
      </c>
      <c r="N455" s="21">
        <f t="shared" si="23"/>
        <v>57.714285714285722</v>
      </c>
    </row>
    <row r="456" spans="1:14">
      <c r="A456" s="9" t="s">
        <v>807</v>
      </c>
      <c r="B456" s="8">
        <v>12</v>
      </c>
      <c r="C456" s="8" t="s">
        <v>35</v>
      </c>
      <c r="D456" s="8" t="s">
        <v>36</v>
      </c>
      <c r="E456" s="8" t="s">
        <v>416</v>
      </c>
      <c r="F456" s="8">
        <v>308</v>
      </c>
      <c r="G456" s="8">
        <v>120.32</v>
      </c>
      <c r="H456" s="10">
        <v>22.12</v>
      </c>
      <c r="I456" s="21">
        <f>Table1[[#This Row],[BRUTTO_monthly_bill_eur]]/1.19</f>
        <v>101.10924369747899</v>
      </c>
      <c r="J456" s="21">
        <f>Table1[[#This Row],[monthly_consumption_kwh]]*Table1[[#This Row],[NETTO_procurement_cost_ct_per_kwh]]/100</f>
        <v>68.129599999999996</v>
      </c>
      <c r="K456" s="21">
        <f>Table1[[#This Row],[NETTO_monthly_revenue(€)]]-Table1[[#This Row],[procurement_cost_(€)]]</f>
        <v>32.979643697478991</v>
      </c>
      <c r="L456" s="21">
        <f t="shared" si="21"/>
        <v>10.707676525155517</v>
      </c>
      <c r="M456" s="21" t="str">
        <f t="shared" si="22"/>
        <v>12.09.2024</v>
      </c>
      <c r="N456" s="21">
        <f t="shared" si="23"/>
        <v>101.10924369747899</v>
      </c>
    </row>
    <row r="457" spans="1:14">
      <c r="A457" s="9" t="s">
        <v>808</v>
      </c>
      <c r="B457" s="8">
        <v>12</v>
      </c>
      <c r="C457" s="8" t="s">
        <v>35</v>
      </c>
      <c r="D457" s="8" t="s">
        <v>36</v>
      </c>
      <c r="E457" s="8" t="s">
        <v>809</v>
      </c>
      <c r="F457" s="8">
        <v>278</v>
      </c>
      <c r="G457" s="8">
        <v>100.1</v>
      </c>
      <c r="H457" s="10">
        <v>22.82</v>
      </c>
      <c r="I457" s="21">
        <f>Table1[[#This Row],[BRUTTO_monthly_bill_eur]]/1.19</f>
        <v>84.117647058823522</v>
      </c>
      <c r="J457" s="21">
        <f>Table1[[#This Row],[monthly_consumption_kwh]]*Table1[[#This Row],[NETTO_procurement_cost_ct_per_kwh]]/100</f>
        <v>63.439599999999999</v>
      </c>
      <c r="K457" s="21">
        <f>Table1[[#This Row],[NETTO_monthly_revenue(€)]]-Table1[[#This Row],[procurement_cost_(€)]]</f>
        <v>20.678047058823523</v>
      </c>
      <c r="L457" s="21">
        <f t="shared" si="21"/>
        <v>7.4381464240372379</v>
      </c>
      <c r="M457" s="21" t="str">
        <f t="shared" si="22"/>
        <v>04.05.2024</v>
      </c>
      <c r="N457" s="21">
        <f t="shared" si="23"/>
        <v>84.117647058823522</v>
      </c>
    </row>
    <row r="458" spans="1:14">
      <c r="A458" s="9" t="s">
        <v>810</v>
      </c>
      <c r="B458" s="8">
        <v>12</v>
      </c>
      <c r="C458" s="8" t="s">
        <v>39</v>
      </c>
      <c r="D458" s="8" t="s">
        <v>36</v>
      </c>
      <c r="E458" s="8" t="s">
        <v>811</v>
      </c>
      <c r="F458" s="8">
        <v>122</v>
      </c>
      <c r="G458" s="8">
        <v>53.45</v>
      </c>
      <c r="H458" s="10">
        <v>29.36</v>
      </c>
      <c r="I458" s="21">
        <f>Table1[[#This Row],[BRUTTO_monthly_bill_eur]]/1.19</f>
        <v>44.915966386554629</v>
      </c>
      <c r="J458" s="21">
        <f>Table1[[#This Row],[monthly_consumption_kwh]]*Table1[[#This Row],[NETTO_procurement_cost_ct_per_kwh]]/100</f>
        <v>35.819200000000002</v>
      </c>
      <c r="K458" s="21">
        <f>Table1[[#This Row],[NETTO_monthly_revenue(€)]]-Table1[[#This Row],[procurement_cost_(€)]]</f>
        <v>9.0967663865546271</v>
      </c>
      <c r="L458" s="21">
        <f t="shared" si="21"/>
        <v>7.4563658906185468</v>
      </c>
      <c r="M458" s="21" t="str">
        <f t="shared" si="22"/>
        <v>12.04.2025</v>
      </c>
      <c r="N458" s="21">
        <f t="shared" si="23"/>
        <v>44.915966386554629</v>
      </c>
    </row>
    <row r="459" spans="1:14">
      <c r="A459" s="9" t="s">
        <v>812</v>
      </c>
      <c r="B459" s="8">
        <v>12</v>
      </c>
      <c r="C459" s="8" t="s">
        <v>35</v>
      </c>
      <c r="D459" s="8" t="s">
        <v>36</v>
      </c>
      <c r="E459" s="8" t="s">
        <v>813</v>
      </c>
      <c r="F459" s="8">
        <v>235</v>
      </c>
      <c r="G459" s="8">
        <v>87.55</v>
      </c>
      <c r="H459" s="10">
        <v>24.04</v>
      </c>
      <c r="I459" s="21">
        <f>Table1[[#This Row],[BRUTTO_monthly_bill_eur]]/1.19</f>
        <v>73.571428571428569</v>
      </c>
      <c r="J459" s="21">
        <f>Table1[[#This Row],[monthly_consumption_kwh]]*Table1[[#This Row],[NETTO_procurement_cost_ct_per_kwh]]/100</f>
        <v>56.494</v>
      </c>
      <c r="K459" s="21">
        <f>Table1[[#This Row],[NETTO_monthly_revenue(€)]]-Table1[[#This Row],[procurement_cost_(€)]]</f>
        <v>17.07742857142857</v>
      </c>
      <c r="L459" s="21">
        <f t="shared" si="21"/>
        <v>7.2669908814589661</v>
      </c>
      <c r="M459" s="21" t="str">
        <f t="shared" si="22"/>
        <v>16.05.2024</v>
      </c>
      <c r="N459" s="21">
        <f t="shared" si="23"/>
        <v>73.571428571428569</v>
      </c>
    </row>
    <row r="460" spans="1:14">
      <c r="A460" s="9" t="s">
        <v>814</v>
      </c>
      <c r="B460" s="8">
        <v>12</v>
      </c>
      <c r="C460" s="8" t="s">
        <v>39</v>
      </c>
      <c r="D460" s="8" t="s">
        <v>36</v>
      </c>
      <c r="E460" s="8" t="s">
        <v>805</v>
      </c>
      <c r="F460" s="8">
        <v>138</v>
      </c>
      <c r="G460" s="8">
        <v>59.44</v>
      </c>
      <c r="H460" s="10">
        <v>30.46</v>
      </c>
      <c r="I460" s="21">
        <f>Table1[[#This Row],[BRUTTO_monthly_bill_eur]]/1.19</f>
        <v>49.949579831932773</v>
      </c>
      <c r="J460" s="21">
        <f>Table1[[#This Row],[monthly_consumption_kwh]]*Table1[[#This Row],[NETTO_procurement_cost_ct_per_kwh]]/100</f>
        <v>42.034800000000004</v>
      </c>
      <c r="K460" s="21">
        <f>Table1[[#This Row],[NETTO_monthly_revenue(€)]]-Table1[[#This Row],[procurement_cost_(€)]]</f>
        <v>7.9147798319327691</v>
      </c>
      <c r="L460" s="21">
        <f t="shared" si="21"/>
        <v>5.7353477042991079</v>
      </c>
      <c r="M460" s="21" t="str">
        <f t="shared" si="22"/>
        <v>20.04.2025</v>
      </c>
      <c r="N460" s="21">
        <f t="shared" si="23"/>
        <v>49.949579831932773</v>
      </c>
    </row>
    <row r="461" spans="1:14">
      <c r="A461" s="9" t="s">
        <v>815</v>
      </c>
      <c r="B461" s="8">
        <v>12</v>
      </c>
      <c r="C461" s="8" t="s">
        <v>35</v>
      </c>
      <c r="D461" s="8" t="s">
        <v>36</v>
      </c>
      <c r="E461" s="8" t="s">
        <v>275</v>
      </c>
      <c r="F461" s="8">
        <v>258</v>
      </c>
      <c r="G461" s="8">
        <v>0</v>
      </c>
      <c r="H461" s="10">
        <v>25.64</v>
      </c>
      <c r="I461" s="21">
        <f>Table1[[#This Row],[BRUTTO_monthly_bill_eur]]/1.19</f>
        <v>0</v>
      </c>
      <c r="J461" s="21">
        <f>Table1[[#This Row],[monthly_consumption_kwh]]*Table1[[#This Row],[NETTO_procurement_cost_ct_per_kwh]]/100</f>
        <v>66.151200000000003</v>
      </c>
      <c r="K461" s="21">
        <f>Table1[[#This Row],[NETTO_monthly_revenue(€)]]-Table1[[#This Row],[procurement_cost_(€)]]</f>
        <v>-66.151200000000003</v>
      </c>
      <c r="L461" s="21">
        <f t="shared" si="21"/>
        <v>-25.64</v>
      </c>
      <c r="M461" s="21" t="str">
        <f t="shared" si="22"/>
        <v>27.06.2025</v>
      </c>
      <c r="N461" s="21">
        <f t="shared" si="23"/>
        <v>0</v>
      </c>
    </row>
    <row r="462" spans="1:14">
      <c r="A462" s="9" t="s">
        <v>816</v>
      </c>
      <c r="B462" s="8">
        <v>12</v>
      </c>
      <c r="C462" s="8" t="s">
        <v>39</v>
      </c>
      <c r="D462" s="8" t="s">
        <v>56</v>
      </c>
      <c r="E462" s="8" t="s">
        <v>817</v>
      </c>
      <c r="F462" s="8">
        <v>88</v>
      </c>
      <c r="G462" s="8">
        <v>41.15</v>
      </c>
      <c r="H462" s="10">
        <v>30.04</v>
      </c>
      <c r="I462" s="21">
        <f>Table1[[#This Row],[BRUTTO_monthly_bill_eur]]/1.19</f>
        <v>34.579831932773111</v>
      </c>
      <c r="J462" s="21">
        <f>Table1[[#This Row],[monthly_consumption_kwh]]*Table1[[#This Row],[NETTO_procurement_cost_ct_per_kwh]]/100</f>
        <v>26.435199999999998</v>
      </c>
      <c r="K462" s="21">
        <f>Table1[[#This Row],[NETTO_monthly_revenue(€)]]-Table1[[#This Row],[procurement_cost_(€)]]</f>
        <v>8.1446319327731125</v>
      </c>
      <c r="L462" s="21">
        <f t="shared" si="21"/>
        <v>9.2552635599694462</v>
      </c>
      <c r="M462" s="21" t="str">
        <f t="shared" si="22"/>
        <v>20.11.2024</v>
      </c>
      <c r="N462" s="21">
        <f t="shared" si="23"/>
        <v>34.579831932773111</v>
      </c>
    </row>
    <row r="463" spans="1:14">
      <c r="A463" s="9" t="s">
        <v>818</v>
      </c>
      <c r="B463" s="8">
        <v>24</v>
      </c>
      <c r="C463" s="8" t="s">
        <v>51</v>
      </c>
      <c r="D463" s="8" t="s">
        <v>36</v>
      </c>
      <c r="E463" s="8" t="s">
        <v>420</v>
      </c>
      <c r="F463" s="8">
        <v>504</v>
      </c>
      <c r="G463" s="8">
        <v>172.82</v>
      </c>
      <c r="H463" s="10">
        <v>19.010000000000002</v>
      </c>
      <c r="I463" s="21">
        <f>Table1[[#This Row],[BRUTTO_monthly_bill_eur]]/1.19</f>
        <v>145.22689075630251</v>
      </c>
      <c r="J463" s="21">
        <f>Table1[[#This Row],[monthly_consumption_kwh]]*Table1[[#This Row],[NETTO_procurement_cost_ct_per_kwh]]/100</f>
        <v>95.810400000000016</v>
      </c>
      <c r="K463" s="21">
        <f>Table1[[#This Row],[NETTO_monthly_revenue(€)]]-Table1[[#This Row],[procurement_cost_(€)]]</f>
        <v>49.416490756302494</v>
      </c>
      <c r="L463" s="21">
        <f t="shared" si="21"/>
        <v>9.8048592770441445</v>
      </c>
      <c r="M463" s="21" t="str">
        <f t="shared" si="22"/>
        <v>29.03.2025</v>
      </c>
      <c r="N463" s="21">
        <f t="shared" si="23"/>
        <v>145.22689075630251</v>
      </c>
    </row>
    <row r="464" spans="1:14">
      <c r="A464" s="9" t="s">
        <v>819</v>
      </c>
      <c r="B464" s="8">
        <v>24</v>
      </c>
      <c r="C464" s="8" t="s">
        <v>39</v>
      </c>
      <c r="D464" s="8" t="s">
        <v>56</v>
      </c>
      <c r="E464" s="8" t="s">
        <v>820</v>
      </c>
      <c r="F464" s="8">
        <v>151</v>
      </c>
      <c r="G464" s="8">
        <v>67.75</v>
      </c>
      <c r="H464" s="10">
        <v>30.2</v>
      </c>
      <c r="I464" s="21">
        <f>Table1[[#This Row],[BRUTTO_monthly_bill_eur]]/1.19</f>
        <v>56.932773109243698</v>
      </c>
      <c r="J464" s="21">
        <f>Table1[[#This Row],[monthly_consumption_kwh]]*Table1[[#This Row],[NETTO_procurement_cost_ct_per_kwh]]/100</f>
        <v>45.601999999999997</v>
      </c>
      <c r="K464" s="21">
        <f>Table1[[#This Row],[NETTO_monthly_revenue(€)]]-Table1[[#This Row],[procurement_cost_(€)]]</f>
        <v>11.330773109243701</v>
      </c>
      <c r="L464" s="21">
        <f t="shared" si="21"/>
        <v>7.5038232511547687</v>
      </c>
      <c r="M464" s="21" t="str">
        <f t="shared" si="22"/>
        <v>2025-05</v>
      </c>
      <c r="N464" s="21">
        <f t="shared" si="23"/>
        <v>56.932773109243698</v>
      </c>
    </row>
    <row r="465" spans="1:14">
      <c r="A465" s="9" t="s">
        <v>821</v>
      </c>
      <c r="B465" s="8">
        <v>24</v>
      </c>
      <c r="C465" s="8" t="s">
        <v>35</v>
      </c>
      <c r="D465" s="8" t="s">
        <v>46</v>
      </c>
      <c r="E465" s="8" t="s">
        <v>822</v>
      </c>
      <c r="F465" s="8">
        <v>243</v>
      </c>
      <c r="G465" s="8">
        <v>89.11</v>
      </c>
      <c r="H465" s="10">
        <v>22.14</v>
      </c>
      <c r="I465" s="21">
        <f>Table1[[#This Row],[BRUTTO_monthly_bill_eur]]/1.19</f>
        <v>74.882352941176478</v>
      </c>
      <c r="J465" s="21">
        <f>Table1[[#This Row],[monthly_consumption_kwh]]*Table1[[#This Row],[NETTO_procurement_cost_ct_per_kwh]]/100</f>
        <v>53.800200000000004</v>
      </c>
      <c r="K465" s="21">
        <f>Table1[[#This Row],[NETTO_monthly_revenue(€)]]-Table1[[#This Row],[procurement_cost_(€)]]</f>
        <v>21.082152941176474</v>
      </c>
      <c r="L465" s="21">
        <f t="shared" si="21"/>
        <v>8.6757831033648038</v>
      </c>
      <c r="M465" s="21" t="str">
        <f t="shared" si="22"/>
        <v>12.03.2025</v>
      </c>
      <c r="N465" s="21">
        <f t="shared" si="23"/>
        <v>74.882352941176478</v>
      </c>
    </row>
    <row r="466" spans="1:14">
      <c r="A466" s="9" t="s">
        <v>823</v>
      </c>
      <c r="B466" s="8">
        <v>24</v>
      </c>
      <c r="C466" s="8" t="s">
        <v>39</v>
      </c>
      <c r="D466" s="8" t="s">
        <v>36</v>
      </c>
      <c r="E466" s="8" t="s">
        <v>824</v>
      </c>
      <c r="F466" s="8">
        <v>87</v>
      </c>
      <c r="G466" s="8">
        <v>45.38</v>
      </c>
      <c r="H466" s="10">
        <v>30.2</v>
      </c>
      <c r="I466" s="21">
        <f>Table1[[#This Row],[BRUTTO_monthly_bill_eur]]/1.19</f>
        <v>38.134453781512612</v>
      </c>
      <c r="J466" s="21">
        <f>Table1[[#This Row],[monthly_consumption_kwh]]*Table1[[#This Row],[NETTO_procurement_cost_ct_per_kwh]]/100</f>
        <v>26.274000000000001</v>
      </c>
      <c r="K466" s="21">
        <f>Table1[[#This Row],[NETTO_monthly_revenue(€)]]-Table1[[#This Row],[procurement_cost_(€)]]</f>
        <v>11.860453781512611</v>
      </c>
      <c r="L466" s="21">
        <f t="shared" si="21"/>
        <v>13.632705495991507</v>
      </c>
      <c r="M466" s="21" t="str">
        <f t="shared" si="22"/>
        <v>01.04.2025</v>
      </c>
      <c r="N466" s="21">
        <f t="shared" si="23"/>
        <v>38.134453781512612</v>
      </c>
    </row>
    <row r="467" spans="1:14">
      <c r="A467" s="9" t="s">
        <v>825</v>
      </c>
      <c r="B467" s="8">
        <v>12</v>
      </c>
      <c r="C467" s="8" t="s">
        <v>39</v>
      </c>
      <c r="D467" s="8" t="s">
        <v>46</v>
      </c>
      <c r="E467" s="8" t="s">
        <v>826</v>
      </c>
      <c r="F467" s="8">
        <v>149</v>
      </c>
      <c r="G467" s="8">
        <v>63.72</v>
      </c>
      <c r="H467" s="10">
        <v>31.75</v>
      </c>
      <c r="I467" s="21">
        <f>Table1[[#This Row],[BRUTTO_monthly_bill_eur]]/1.19</f>
        <v>53.54621848739496</v>
      </c>
      <c r="J467" s="21">
        <f>Table1[[#This Row],[monthly_consumption_kwh]]*Table1[[#This Row],[NETTO_procurement_cost_ct_per_kwh]]/100</f>
        <v>47.307499999999997</v>
      </c>
      <c r="K467" s="21">
        <f>Table1[[#This Row],[NETTO_monthly_revenue(€)]]-Table1[[#This Row],[procurement_cost_(€)]]</f>
        <v>6.2387184873949622</v>
      </c>
      <c r="L467" s="21">
        <f t="shared" si="21"/>
        <v>4.1870593875133979</v>
      </c>
      <c r="M467" s="21" t="str">
        <f t="shared" si="22"/>
        <v>11.06.2024</v>
      </c>
      <c r="N467" s="21">
        <f t="shared" si="23"/>
        <v>53.54621848739496</v>
      </c>
    </row>
    <row r="468" spans="1:14">
      <c r="A468" s="9" t="s">
        <v>827</v>
      </c>
      <c r="B468" s="8">
        <v>12</v>
      </c>
      <c r="C468" s="8" t="s">
        <v>35</v>
      </c>
      <c r="D468" s="8" t="s">
        <v>36</v>
      </c>
      <c r="E468" s="8" t="s">
        <v>308</v>
      </c>
      <c r="F468" s="8">
        <v>200</v>
      </c>
      <c r="G468" s="8">
        <v>75.05</v>
      </c>
      <c r="H468" s="10">
        <v>27.36</v>
      </c>
      <c r="I468" s="21">
        <f>Table1[[#This Row],[BRUTTO_monthly_bill_eur]]/1.19</f>
        <v>63.067226890756302</v>
      </c>
      <c r="J468" s="21">
        <f>Table1[[#This Row],[monthly_consumption_kwh]]*Table1[[#This Row],[NETTO_procurement_cost_ct_per_kwh]]/100</f>
        <v>54.72</v>
      </c>
      <c r="K468" s="21">
        <f>Table1[[#This Row],[NETTO_monthly_revenue(€)]]-Table1[[#This Row],[procurement_cost_(€)]]</f>
        <v>8.3472268907563034</v>
      </c>
      <c r="L468" s="21">
        <f t="shared" si="21"/>
        <v>4.1736134453781517</v>
      </c>
      <c r="M468" s="21" t="str">
        <f t="shared" si="22"/>
        <v>01.05.2025</v>
      </c>
      <c r="N468" s="21">
        <f t="shared" si="23"/>
        <v>63.067226890756302</v>
      </c>
    </row>
    <row r="469" spans="1:14">
      <c r="A469" s="9" t="s">
        <v>828</v>
      </c>
      <c r="B469" s="8">
        <v>24</v>
      </c>
      <c r="C469" s="8" t="s">
        <v>35</v>
      </c>
      <c r="D469" s="8" t="s">
        <v>46</v>
      </c>
      <c r="E469" s="8" t="s">
        <v>829</v>
      </c>
      <c r="F469" s="8">
        <v>210</v>
      </c>
      <c r="G469" s="8">
        <v>80.400000000000006</v>
      </c>
      <c r="H469" s="10">
        <v>22.64</v>
      </c>
      <c r="I469" s="21">
        <f>Table1[[#This Row],[BRUTTO_monthly_bill_eur]]/1.19</f>
        <v>67.563025210084035</v>
      </c>
      <c r="J469" s="21">
        <f>Table1[[#This Row],[monthly_consumption_kwh]]*Table1[[#This Row],[NETTO_procurement_cost_ct_per_kwh]]/100</f>
        <v>47.544000000000004</v>
      </c>
      <c r="K469" s="21">
        <f>Table1[[#This Row],[NETTO_monthly_revenue(€)]]-Table1[[#This Row],[procurement_cost_(€)]]</f>
        <v>20.019025210084031</v>
      </c>
      <c r="L469" s="21">
        <f t="shared" si="21"/>
        <v>9.5328691476590617</v>
      </c>
      <c r="M469" s="21" t="str">
        <f t="shared" si="22"/>
        <v>05.04.2025</v>
      </c>
      <c r="N469" s="21">
        <f t="shared" si="23"/>
        <v>67.563025210084035</v>
      </c>
    </row>
    <row r="470" spans="1:14">
      <c r="A470" s="9" t="s">
        <v>830</v>
      </c>
      <c r="B470" s="8">
        <v>12</v>
      </c>
      <c r="C470" s="8" t="s">
        <v>35</v>
      </c>
      <c r="D470" s="8" t="s">
        <v>36</v>
      </c>
      <c r="E470" s="8" t="s">
        <v>831</v>
      </c>
      <c r="F470" s="8">
        <v>194</v>
      </c>
      <c r="G470" s="8">
        <v>81.459999999999994</v>
      </c>
      <c r="H470" s="10">
        <v>22.1</v>
      </c>
      <c r="I470" s="21">
        <f>Table1[[#This Row],[BRUTTO_monthly_bill_eur]]/1.19</f>
        <v>68.453781512605033</v>
      </c>
      <c r="J470" s="21">
        <f>Table1[[#This Row],[monthly_consumption_kwh]]*Table1[[#This Row],[NETTO_procurement_cost_ct_per_kwh]]/100</f>
        <v>42.874000000000002</v>
      </c>
      <c r="K470" s="21">
        <f>Table1[[#This Row],[NETTO_monthly_revenue(€)]]-Table1[[#This Row],[procurement_cost_(€)]]</f>
        <v>25.579781512605031</v>
      </c>
      <c r="L470" s="21">
        <f t="shared" si="21"/>
        <v>13.185454387940737</v>
      </c>
      <c r="M470" s="21" t="str">
        <f t="shared" si="22"/>
        <v>22.09.2024</v>
      </c>
      <c r="N470" s="21">
        <f t="shared" si="23"/>
        <v>68.453781512605033</v>
      </c>
    </row>
    <row r="471" spans="1:14">
      <c r="A471" s="9" t="s">
        <v>832</v>
      </c>
      <c r="B471" s="8">
        <v>24</v>
      </c>
      <c r="C471" s="8" t="s">
        <v>39</v>
      </c>
      <c r="D471" s="8" t="s">
        <v>36</v>
      </c>
      <c r="E471" s="8" t="s">
        <v>833</v>
      </c>
      <c r="F471" s="8">
        <v>111</v>
      </c>
      <c r="G471" s="8">
        <v>51.33</v>
      </c>
      <c r="H471" s="10">
        <v>29.8</v>
      </c>
      <c r="I471" s="21">
        <f>Table1[[#This Row],[BRUTTO_monthly_bill_eur]]/1.19</f>
        <v>43.134453781512605</v>
      </c>
      <c r="J471" s="21">
        <f>Table1[[#This Row],[monthly_consumption_kwh]]*Table1[[#This Row],[NETTO_procurement_cost_ct_per_kwh]]/100</f>
        <v>33.078000000000003</v>
      </c>
      <c r="K471" s="21">
        <f>Table1[[#This Row],[NETTO_monthly_revenue(€)]]-Table1[[#This Row],[procurement_cost_(€)]]</f>
        <v>10.056453781512602</v>
      </c>
      <c r="L471" s="21">
        <f t="shared" si="21"/>
        <v>9.0598682716329737</v>
      </c>
      <c r="M471" s="21" t="str">
        <f t="shared" si="22"/>
        <v>2024-09</v>
      </c>
      <c r="N471" s="21">
        <f t="shared" si="23"/>
        <v>43.134453781512605</v>
      </c>
    </row>
    <row r="472" spans="1:14">
      <c r="A472" s="9" t="s">
        <v>834</v>
      </c>
      <c r="B472" s="8">
        <v>12</v>
      </c>
      <c r="C472" s="8" t="s">
        <v>35</v>
      </c>
      <c r="D472" s="8" t="s">
        <v>56</v>
      </c>
      <c r="E472" s="8" t="s">
        <v>577</v>
      </c>
      <c r="F472" s="8">
        <v>293</v>
      </c>
      <c r="G472" s="8">
        <v>112.18</v>
      </c>
      <c r="H472" s="10">
        <v>22.95</v>
      </c>
      <c r="I472" s="21">
        <f>Table1[[#This Row],[BRUTTO_monthly_bill_eur]]/1.19</f>
        <v>94.268907563025223</v>
      </c>
      <c r="J472" s="21">
        <f>Table1[[#This Row],[monthly_consumption_kwh]]*Table1[[#This Row],[NETTO_procurement_cost_ct_per_kwh]]/100</f>
        <v>67.243499999999997</v>
      </c>
      <c r="K472" s="21">
        <f>Table1[[#This Row],[NETTO_monthly_revenue(€)]]-Table1[[#This Row],[procurement_cost_(€)]]</f>
        <v>27.025407563025226</v>
      </c>
      <c r="L472" s="21">
        <f t="shared" si="21"/>
        <v>9.2236885880632169</v>
      </c>
      <c r="M472" s="21" t="str">
        <f t="shared" si="22"/>
        <v>10.10.2024</v>
      </c>
      <c r="N472" s="21">
        <f t="shared" si="23"/>
        <v>94.268907563025223</v>
      </c>
    </row>
    <row r="473" spans="1:14">
      <c r="A473" s="9" t="s">
        <v>835</v>
      </c>
      <c r="B473" s="8">
        <v>24</v>
      </c>
      <c r="C473" s="8" t="s">
        <v>51</v>
      </c>
      <c r="D473" s="8" t="s">
        <v>56</v>
      </c>
      <c r="E473" s="8" t="s">
        <v>836</v>
      </c>
      <c r="F473" s="8">
        <v>506</v>
      </c>
      <c r="G473" s="8">
        <v>178.72</v>
      </c>
      <c r="H473" s="10">
        <v>16.75</v>
      </c>
      <c r="I473" s="21">
        <f>Table1[[#This Row],[BRUTTO_monthly_bill_eur]]/1.19</f>
        <v>150.18487394957984</v>
      </c>
      <c r="J473" s="21">
        <f>Table1[[#This Row],[monthly_consumption_kwh]]*Table1[[#This Row],[NETTO_procurement_cost_ct_per_kwh]]/100</f>
        <v>84.754999999999995</v>
      </c>
      <c r="K473" s="21">
        <f>Table1[[#This Row],[NETTO_monthly_revenue(€)]]-Table1[[#This Row],[procurement_cost_(€)]]</f>
        <v>65.429873949579843</v>
      </c>
      <c r="L473" s="21">
        <f t="shared" si="21"/>
        <v>12.930805128375464</v>
      </c>
      <c r="M473" s="21" t="str">
        <f t="shared" si="22"/>
        <v>17.06.2025</v>
      </c>
      <c r="N473" s="21">
        <f t="shared" si="23"/>
        <v>150.18487394957984</v>
      </c>
    </row>
    <row r="474" spans="1:14">
      <c r="A474" s="9" t="s">
        <v>837</v>
      </c>
      <c r="B474" s="8">
        <v>12</v>
      </c>
      <c r="C474" s="8" t="s">
        <v>51</v>
      </c>
      <c r="D474" s="8" t="s">
        <v>56</v>
      </c>
      <c r="E474" s="8" t="s">
        <v>838</v>
      </c>
      <c r="F474" s="8">
        <v>401</v>
      </c>
      <c r="G474" s="8">
        <v>130.93</v>
      </c>
      <c r="H474" s="10">
        <v>22.12</v>
      </c>
      <c r="I474" s="21">
        <f>Table1[[#This Row],[BRUTTO_monthly_bill_eur]]/1.19</f>
        <v>110.02521008403363</v>
      </c>
      <c r="J474" s="21">
        <f>Table1[[#This Row],[monthly_consumption_kwh]]*Table1[[#This Row],[NETTO_procurement_cost_ct_per_kwh]]/100</f>
        <v>88.701200000000014</v>
      </c>
      <c r="K474" s="21">
        <f>Table1[[#This Row],[NETTO_monthly_revenue(€)]]-Table1[[#This Row],[procurement_cost_(€)]]</f>
        <v>21.324010084033617</v>
      </c>
      <c r="L474" s="21">
        <f t="shared" si="21"/>
        <v>5.3177082503824487</v>
      </c>
      <c r="M474" s="21" t="str">
        <f t="shared" si="22"/>
        <v>11.05.2025</v>
      </c>
      <c r="N474" s="21">
        <f t="shared" si="23"/>
        <v>110.02521008403363</v>
      </c>
    </row>
    <row r="475" spans="1:14">
      <c r="A475" s="9" t="s">
        <v>839</v>
      </c>
      <c r="B475" s="8">
        <v>24</v>
      </c>
      <c r="C475" s="8" t="s">
        <v>39</v>
      </c>
      <c r="D475" s="8" t="s">
        <v>36</v>
      </c>
      <c r="E475" s="8" t="s">
        <v>504</v>
      </c>
      <c r="F475" s="8">
        <v>157</v>
      </c>
      <c r="G475" s="8">
        <v>67.44</v>
      </c>
      <c r="H475" s="10">
        <v>28.45</v>
      </c>
      <c r="I475" s="21">
        <f>Table1[[#This Row],[BRUTTO_monthly_bill_eur]]/1.19</f>
        <v>56.672268907563023</v>
      </c>
      <c r="J475" s="21">
        <f>Table1[[#This Row],[monthly_consumption_kwh]]*Table1[[#This Row],[NETTO_procurement_cost_ct_per_kwh]]/100</f>
        <v>44.666499999999999</v>
      </c>
      <c r="K475" s="21">
        <f>Table1[[#This Row],[NETTO_monthly_revenue(€)]]-Table1[[#This Row],[procurement_cost_(€)]]</f>
        <v>12.005768907563024</v>
      </c>
      <c r="L475" s="21">
        <f t="shared" si="21"/>
        <v>7.6469865653267659</v>
      </c>
      <c r="M475" s="21" t="str">
        <f t="shared" si="22"/>
        <v>01.09.2024</v>
      </c>
      <c r="N475" s="21">
        <f t="shared" si="23"/>
        <v>56.672268907563023</v>
      </c>
    </row>
    <row r="476" spans="1:14">
      <c r="A476" s="9" t="s">
        <v>840</v>
      </c>
      <c r="B476" s="8">
        <v>12</v>
      </c>
      <c r="C476" s="8" t="s">
        <v>35</v>
      </c>
      <c r="D476" s="8" t="s">
        <v>46</v>
      </c>
      <c r="E476" s="8" t="s">
        <v>42</v>
      </c>
      <c r="F476" s="8">
        <v>313</v>
      </c>
      <c r="G476" s="8">
        <v>117.96</v>
      </c>
      <c r="H476" s="10">
        <v>24.43</v>
      </c>
      <c r="I476" s="21">
        <f>Table1[[#This Row],[BRUTTO_monthly_bill_eur]]/1.19</f>
        <v>99.12605042016807</v>
      </c>
      <c r="J476" s="21">
        <f>Table1[[#This Row],[monthly_consumption_kwh]]*Table1[[#This Row],[NETTO_procurement_cost_ct_per_kwh]]/100</f>
        <v>76.465900000000005</v>
      </c>
      <c r="K476" s="21">
        <f>Table1[[#This Row],[NETTO_monthly_revenue(€)]]-Table1[[#This Row],[procurement_cost_(€)]]</f>
        <v>22.660150420168065</v>
      </c>
      <c r="L476" s="21">
        <f t="shared" si="21"/>
        <v>7.239664670980213</v>
      </c>
      <c r="M476" s="21" t="str">
        <f t="shared" si="22"/>
        <v>08.10.2024</v>
      </c>
      <c r="N476" s="21">
        <f t="shared" si="23"/>
        <v>99.12605042016807</v>
      </c>
    </row>
    <row r="477" spans="1:14">
      <c r="A477" s="9" t="s">
        <v>841</v>
      </c>
      <c r="B477" s="8">
        <v>24</v>
      </c>
      <c r="C477" s="8" t="s">
        <v>39</v>
      </c>
      <c r="D477" s="8" t="s">
        <v>36</v>
      </c>
      <c r="E477" s="8" t="s">
        <v>842</v>
      </c>
      <c r="F477" s="8">
        <v>156</v>
      </c>
      <c r="G477" s="8">
        <v>65.31</v>
      </c>
      <c r="H477" s="10">
        <v>29.12</v>
      </c>
      <c r="I477" s="21">
        <f>Table1[[#This Row],[BRUTTO_monthly_bill_eur]]/1.19</f>
        <v>54.882352941176478</v>
      </c>
      <c r="J477" s="21">
        <f>Table1[[#This Row],[monthly_consumption_kwh]]*Table1[[#This Row],[NETTO_procurement_cost_ct_per_kwh]]/100</f>
        <v>45.427199999999999</v>
      </c>
      <c r="K477" s="21">
        <f>Table1[[#This Row],[NETTO_monthly_revenue(€)]]-Table1[[#This Row],[procurement_cost_(€)]]</f>
        <v>9.455152941176479</v>
      </c>
      <c r="L477" s="21">
        <f t="shared" si="21"/>
        <v>6.0609954751131276</v>
      </c>
      <c r="M477" s="21" t="str">
        <f t="shared" si="22"/>
        <v>26.03.2025</v>
      </c>
      <c r="N477" s="21">
        <f t="shared" si="23"/>
        <v>54.882352941176478</v>
      </c>
    </row>
    <row r="478" spans="1:14">
      <c r="A478" s="9" t="s">
        <v>843</v>
      </c>
      <c r="B478" s="8">
        <v>12</v>
      </c>
      <c r="C478" s="8" t="s">
        <v>39</v>
      </c>
      <c r="D478" s="8" t="s">
        <v>36</v>
      </c>
      <c r="E478" s="8" t="s">
        <v>844</v>
      </c>
      <c r="F478" s="8">
        <v>103</v>
      </c>
      <c r="G478" s="8">
        <v>46.2</v>
      </c>
      <c r="H478" s="10">
        <v>28.69</v>
      </c>
      <c r="I478" s="21">
        <f>Table1[[#This Row],[BRUTTO_monthly_bill_eur]]/1.19</f>
        <v>38.82352941176471</v>
      </c>
      <c r="J478" s="21">
        <f>Table1[[#This Row],[monthly_consumption_kwh]]*Table1[[#This Row],[NETTO_procurement_cost_ct_per_kwh]]/100</f>
        <v>29.550700000000003</v>
      </c>
      <c r="K478" s="21">
        <f>Table1[[#This Row],[NETTO_monthly_revenue(€)]]-Table1[[#This Row],[procurement_cost_(€)]]</f>
        <v>9.2728294117647074</v>
      </c>
      <c r="L478" s="21">
        <f t="shared" si="21"/>
        <v>9.002747001713308</v>
      </c>
      <c r="M478" s="21" t="str">
        <f t="shared" si="22"/>
        <v>2024-03</v>
      </c>
      <c r="N478" s="21">
        <f t="shared" si="23"/>
        <v>38.82352941176471</v>
      </c>
    </row>
    <row r="479" spans="1:14">
      <c r="A479" s="9" t="s">
        <v>845</v>
      </c>
      <c r="B479" s="8">
        <v>24</v>
      </c>
      <c r="C479" s="8" t="s">
        <v>51</v>
      </c>
      <c r="D479" s="8" t="s">
        <v>36</v>
      </c>
      <c r="E479" s="8" t="s">
        <v>450</v>
      </c>
      <c r="F479" s="8">
        <v>484</v>
      </c>
      <c r="G479" s="8">
        <v>161.16</v>
      </c>
      <c r="H479" s="10">
        <v>18.399999999999999</v>
      </c>
      <c r="I479" s="21">
        <f>Table1[[#This Row],[BRUTTO_monthly_bill_eur]]/1.19</f>
        <v>135.42857142857144</v>
      </c>
      <c r="J479" s="21">
        <f>Table1[[#This Row],[monthly_consumption_kwh]]*Table1[[#This Row],[NETTO_procurement_cost_ct_per_kwh]]/100</f>
        <v>89.055999999999983</v>
      </c>
      <c r="K479" s="21">
        <f>Table1[[#This Row],[NETTO_monthly_revenue(€)]]-Table1[[#This Row],[procurement_cost_(€)]]</f>
        <v>46.372571428571462</v>
      </c>
      <c r="L479" s="21">
        <f t="shared" si="21"/>
        <v>9.5811097992916245</v>
      </c>
      <c r="M479" s="21" t="str">
        <f t="shared" si="22"/>
        <v>19.10.2024</v>
      </c>
      <c r="N479" s="21">
        <f t="shared" si="23"/>
        <v>135.42857142857144</v>
      </c>
    </row>
    <row r="480" spans="1:14">
      <c r="A480" s="9" t="s">
        <v>846</v>
      </c>
      <c r="B480" s="8">
        <v>24</v>
      </c>
      <c r="C480" s="8" t="s">
        <v>39</v>
      </c>
      <c r="D480" s="8" t="s">
        <v>46</v>
      </c>
      <c r="E480" s="8" t="s">
        <v>484</v>
      </c>
      <c r="F480" s="8">
        <v>166</v>
      </c>
      <c r="G480" s="8">
        <v>72.72</v>
      </c>
      <c r="H480" s="10">
        <v>31.21</v>
      </c>
      <c r="I480" s="21">
        <f>Table1[[#This Row],[BRUTTO_monthly_bill_eur]]/1.19</f>
        <v>61.109243697478995</v>
      </c>
      <c r="J480" s="21">
        <f>Table1[[#This Row],[monthly_consumption_kwh]]*Table1[[#This Row],[NETTO_procurement_cost_ct_per_kwh]]/100</f>
        <v>51.808600000000006</v>
      </c>
      <c r="K480" s="21">
        <f>Table1[[#This Row],[NETTO_monthly_revenue(€)]]-Table1[[#This Row],[procurement_cost_(€)]]</f>
        <v>9.3006436974789892</v>
      </c>
      <c r="L480" s="21">
        <f t="shared" si="21"/>
        <v>5.6027974081198728</v>
      </c>
      <c r="M480" s="21" t="str">
        <f t="shared" si="22"/>
        <v>28.08.2024</v>
      </c>
      <c r="N480" s="21">
        <f t="shared" si="23"/>
        <v>61.109243697478995</v>
      </c>
    </row>
    <row r="481" spans="1:14">
      <c r="A481" s="9" t="s">
        <v>847</v>
      </c>
      <c r="B481" s="8">
        <v>12</v>
      </c>
      <c r="C481" s="8" t="s">
        <v>35</v>
      </c>
      <c r="D481" s="8" t="s">
        <v>36</v>
      </c>
      <c r="E481" s="8" t="s">
        <v>848</v>
      </c>
      <c r="F481" s="8">
        <v>295</v>
      </c>
      <c r="G481" s="8">
        <v>110.32</v>
      </c>
      <c r="H481" s="10">
        <v>23.57</v>
      </c>
      <c r="I481" s="21">
        <f>Table1[[#This Row],[BRUTTO_monthly_bill_eur]]/1.19</f>
        <v>92.705882352941174</v>
      </c>
      <c r="J481" s="21">
        <f>Table1[[#This Row],[monthly_consumption_kwh]]*Table1[[#This Row],[NETTO_procurement_cost_ct_per_kwh]]/100</f>
        <v>69.531499999999994</v>
      </c>
      <c r="K481" s="21">
        <f>Table1[[#This Row],[NETTO_monthly_revenue(€)]]-Table1[[#This Row],[procurement_cost_(€)]]</f>
        <v>23.17438235294118</v>
      </c>
      <c r="L481" s="21">
        <f t="shared" si="21"/>
        <v>7.855722831505485</v>
      </c>
      <c r="M481" s="21" t="str">
        <f t="shared" si="22"/>
        <v>2024-10</v>
      </c>
      <c r="N481" s="21">
        <f t="shared" si="23"/>
        <v>92.705882352941174</v>
      </c>
    </row>
    <row r="482" spans="1:14">
      <c r="A482" s="9" t="s">
        <v>849</v>
      </c>
      <c r="B482" s="8">
        <v>24</v>
      </c>
      <c r="C482" s="8" t="s">
        <v>35</v>
      </c>
      <c r="D482" s="8" t="s">
        <v>36</v>
      </c>
      <c r="E482" s="8" t="s">
        <v>764</v>
      </c>
      <c r="F482" s="8">
        <v>172</v>
      </c>
      <c r="G482" s="8">
        <v>70.3</v>
      </c>
      <c r="H482" s="10">
        <v>25</v>
      </c>
      <c r="I482" s="21">
        <f>Table1[[#This Row],[BRUTTO_monthly_bill_eur]]/1.19</f>
        <v>59.075630252100844</v>
      </c>
      <c r="J482" s="21">
        <f>Table1[[#This Row],[monthly_consumption_kwh]]*Table1[[#This Row],[NETTO_procurement_cost_ct_per_kwh]]/100</f>
        <v>43</v>
      </c>
      <c r="K482" s="21">
        <f>Table1[[#This Row],[NETTO_monthly_revenue(€)]]-Table1[[#This Row],[procurement_cost_(€)]]</f>
        <v>16.075630252100844</v>
      </c>
      <c r="L482" s="21">
        <f t="shared" si="21"/>
        <v>9.346296658198165</v>
      </c>
      <c r="M482" s="21" t="str">
        <f t="shared" si="22"/>
        <v>09.12.2024</v>
      </c>
      <c r="N482" s="21">
        <f t="shared" si="23"/>
        <v>59.075630252100844</v>
      </c>
    </row>
    <row r="483" spans="1:14">
      <c r="A483" s="9" t="s">
        <v>850</v>
      </c>
      <c r="B483" s="8">
        <v>24</v>
      </c>
      <c r="C483" s="8" t="s">
        <v>35</v>
      </c>
      <c r="D483" s="8" t="s">
        <v>56</v>
      </c>
      <c r="E483" s="8" t="s">
        <v>851</v>
      </c>
      <c r="F483" s="8">
        <v>-15</v>
      </c>
      <c r="G483" s="8">
        <v>71.959999999999994</v>
      </c>
      <c r="H483" s="10">
        <v>22.5</v>
      </c>
      <c r="I483" s="21">
        <f>Table1[[#This Row],[BRUTTO_monthly_bill_eur]]/1.19</f>
        <v>60.470588235294116</v>
      </c>
      <c r="J483" s="21">
        <f>Table1[[#This Row],[monthly_consumption_kwh]]*Table1[[#This Row],[NETTO_procurement_cost_ct_per_kwh]]/100</f>
        <v>-3.375</v>
      </c>
      <c r="K483" s="21">
        <f>Table1[[#This Row],[NETTO_monthly_revenue(€)]]-Table1[[#This Row],[procurement_cost_(€)]]</f>
        <v>63.845588235294116</v>
      </c>
      <c r="L483" s="21">
        <f t="shared" si="21"/>
        <v>-425.63725490196072</v>
      </c>
      <c r="M483" s="21" t="str">
        <f t="shared" si="22"/>
        <v>23.11.2024</v>
      </c>
      <c r="N483" s="21">
        <f t="shared" si="23"/>
        <v>60.470588235294116</v>
      </c>
    </row>
    <row r="484" spans="1:14">
      <c r="A484" s="9" t="s">
        <v>852</v>
      </c>
      <c r="B484" s="8">
        <v>12</v>
      </c>
      <c r="C484" s="8" t="s">
        <v>35</v>
      </c>
      <c r="D484" s="8" t="s">
        <v>36</v>
      </c>
      <c r="E484" s="8" t="s">
        <v>478</v>
      </c>
      <c r="F484" s="8">
        <v>244</v>
      </c>
      <c r="G484" s="8">
        <v>92.14</v>
      </c>
      <c r="H484" s="10">
        <v>25.09</v>
      </c>
      <c r="I484" s="21">
        <f>Table1[[#This Row],[BRUTTO_monthly_bill_eur]]/1.19</f>
        <v>77.428571428571431</v>
      </c>
      <c r="J484" s="21">
        <f>Table1[[#This Row],[monthly_consumption_kwh]]*Table1[[#This Row],[NETTO_procurement_cost_ct_per_kwh]]/100</f>
        <v>61.2196</v>
      </c>
      <c r="K484" s="21">
        <f>Table1[[#This Row],[NETTO_monthly_revenue(€)]]-Table1[[#This Row],[procurement_cost_(€)]]</f>
        <v>16.208971428571431</v>
      </c>
      <c r="L484" s="21">
        <f t="shared" si="21"/>
        <v>6.6430210772833735</v>
      </c>
      <c r="M484" s="21" t="str">
        <f t="shared" si="22"/>
        <v>23.03.2024</v>
      </c>
      <c r="N484" s="21">
        <f t="shared" si="23"/>
        <v>77.428571428571431</v>
      </c>
    </row>
    <row r="485" spans="1:14">
      <c r="A485" s="9" t="s">
        <v>853</v>
      </c>
      <c r="B485" s="8">
        <v>24</v>
      </c>
      <c r="C485" s="8" t="s">
        <v>39</v>
      </c>
      <c r="D485" s="8" t="s">
        <v>36</v>
      </c>
      <c r="E485" s="8" t="s">
        <v>213</v>
      </c>
      <c r="F485" s="8">
        <v>159</v>
      </c>
      <c r="G485" s="8">
        <v>70.11</v>
      </c>
      <c r="H485" s="10">
        <v>28.95</v>
      </c>
      <c r="I485" s="21">
        <f>Table1[[#This Row],[BRUTTO_monthly_bill_eur]]/1.19</f>
        <v>58.915966386554622</v>
      </c>
      <c r="J485" s="21">
        <f>Table1[[#This Row],[monthly_consumption_kwh]]*Table1[[#This Row],[NETTO_procurement_cost_ct_per_kwh]]/100</f>
        <v>46.030500000000004</v>
      </c>
      <c r="K485" s="21">
        <f>Table1[[#This Row],[NETTO_monthly_revenue(€)]]-Table1[[#This Row],[procurement_cost_(€)]]</f>
        <v>12.885466386554619</v>
      </c>
      <c r="L485" s="21">
        <f t="shared" si="21"/>
        <v>8.1040669097827784</v>
      </c>
      <c r="M485" s="21" t="str">
        <f t="shared" si="22"/>
        <v>21.05.2024</v>
      </c>
      <c r="N485" s="21">
        <f t="shared" si="23"/>
        <v>58.915966386554622</v>
      </c>
    </row>
    <row r="486" spans="1:14">
      <c r="A486" s="9" t="s">
        <v>854</v>
      </c>
      <c r="B486" s="8">
        <v>24</v>
      </c>
      <c r="C486" s="8" t="s">
        <v>39</v>
      </c>
      <c r="D486" s="8" t="s">
        <v>36</v>
      </c>
      <c r="E486" s="8" t="s">
        <v>855</v>
      </c>
      <c r="F486" s="8">
        <v>128</v>
      </c>
      <c r="G486" s="8">
        <v>55.42</v>
      </c>
      <c r="H486" s="10">
        <v>32.71</v>
      </c>
      <c r="I486" s="21">
        <f>Table1[[#This Row],[BRUTTO_monthly_bill_eur]]/1.19</f>
        <v>46.571428571428577</v>
      </c>
      <c r="J486" s="21">
        <f>Table1[[#This Row],[monthly_consumption_kwh]]*Table1[[#This Row],[NETTO_procurement_cost_ct_per_kwh]]/100</f>
        <v>41.8688</v>
      </c>
      <c r="K486" s="21">
        <f>Table1[[#This Row],[NETTO_monthly_revenue(€)]]-Table1[[#This Row],[procurement_cost_(€)]]</f>
        <v>4.7026285714285763</v>
      </c>
      <c r="L486" s="21">
        <f t="shared" si="21"/>
        <v>3.6739285714285752</v>
      </c>
      <c r="M486" s="21" t="str">
        <f t="shared" si="22"/>
        <v>03.06.2024</v>
      </c>
      <c r="N486" s="21">
        <f t="shared" si="23"/>
        <v>46.571428571428577</v>
      </c>
    </row>
    <row r="487" spans="1:14">
      <c r="A487" s="9" t="s">
        <v>856</v>
      </c>
      <c r="B487" s="8">
        <v>24</v>
      </c>
      <c r="C487" s="8" t="s">
        <v>35</v>
      </c>
      <c r="D487" s="8" t="s">
        <v>56</v>
      </c>
      <c r="E487" s="8" t="s">
        <v>857</v>
      </c>
      <c r="F487" s="8">
        <v>250</v>
      </c>
      <c r="G487" s="8">
        <v>99.72</v>
      </c>
      <c r="H487" s="10">
        <v>24.26</v>
      </c>
      <c r="I487" s="21">
        <f>Table1[[#This Row],[BRUTTO_monthly_bill_eur]]/1.19</f>
        <v>83.798319327731093</v>
      </c>
      <c r="J487" s="21">
        <f>Table1[[#This Row],[monthly_consumption_kwh]]*Table1[[#This Row],[NETTO_procurement_cost_ct_per_kwh]]/100</f>
        <v>60.65</v>
      </c>
      <c r="K487" s="21">
        <f>Table1[[#This Row],[NETTO_monthly_revenue(€)]]-Table1[[#This Row],[procurement_cost_(€)]]</f>
        <v>23.148319327731095</v>
      </c>
      <c r="L487" s="21">
        <f t="shared" si="21"/>
        <v>9.2593277310924389</v>
      </c>
      <c r="M487" s="21" t="str">
        <f t="shared" si="22"/>
        <v>24.08.2024</v>
      </c>
      <c r="N487" s="21">
        <f t="shared" si="23"/>
        <v>83.798319327731093</v>
      </c>
    </row>
    <row r="488" spans="1:14">
      <c r="A488" s="9" t="s">
        <v>858</v>
      </c>
      <c r="B488" s="8">
        <v>12</v>
      </c>
      <c r="C488" s="8" t="s">
        <v>39</v>
      </c>
      <c r="D488" s="8" t="s">
        <v>36</v>
      </c>
      <c r="E488" s="8" t="s">
        <v>859</v>
      </c>
      <c r="F488" s="8">
        <v>92</v>
      </c>
      <c r="G488" s="8">
        <v>44.91</v>
      </c>
      <c r="H488" s="10">
        <v>31.72</v>
      </c>
      <c r="I488" s="21">
        <f>Table1[[#This Row],[BRUTTO_monthly_bill_eur]]/1.19</f>
        <v>37.739495798319325</v>
      </c>
      <c r="J488" s="21">
        <f>Table1[[#This Row],[monthly_consumption_kwh]]*Table1[[#This Row],[NETTO_procurement_cost_ct_per_kwh]]/100</f>
        <v>29.182399999999998</v>
      </c>
      <c r="K488" s="21">
        <f>Table1[[#This Row],[NETTO_monthly_revenue(€)]]-Table1[[#This Row],[procurement_cost_(€)]]</f>
        <v>8.5570957983193274</v>
      </c>
      <c r="L488" s="21">
        <f t="shared" si="21"/>
        <v>9.3011910851297035</v>
      </c>
      <c r="M488" s="21" t="str">
        <f t="shared" si="22"/>
        <v>27.01.2025</v>
      </c>
      <c r="N488" s="21">
        <f t="shared" si="23"/>
        <v>37.739495798319325</v>
      </c>
    </row>
    <row r="489" spans="1:14">
      <c r="A489" s="9" t="s">
        <v>860</v>
      </c>
      <c r="B489" s="8">
        <v>12</v>
      </c>
      <c r="C489" s="8" t="s">
        <v>35</v>
      </c>
      <c r="D489" s="8" t="s">
        <v>36</v>
      </c>
      <c r="E489" s="8" t="s">
        <v>269</v>
      </c>
      <c r="F489" s="8">
        <v>276</v>
      </c>
      <c r="G489" s="8">
        <v>100.28</v>
      </c>
      <c r="H489" s="10">
        <v>25.55</v>
      </c>
      <c r="I489" s="21">
        <f>Table1[[#This Row],[BRUTTO_monthly_bill_eur]]/1.19</f>
        <v>84.268907563025209</v>
      </c>
      <c r="J489" s="21">
        <f>Table1[[#This Row],[monthly_consumption_kwh]]*Table1[[#This Row],[NETTO_procurement_cost_ct_per_kwh]]/100</f>
        <v>70.518000000000001</v>
      </c>
      <c r="K489" s="21">
        <f>Table1[[#This Row],[NETTO_monthly_revenue(€)]]-Table1[[#This Row],[procurement_cost_(€)]]</f>
        <v>13.750907563025208</v>
      </c>
      <c r="L489" s="21">
        <f t="shared" si="21"/>
        <v>4.9822128851540608</v>
      </c>
      <c r="M489" s="21" t="str">
        <f t="shared" si="22"/>
        <v>05.06.2024</v>
      </c>
      <c r="N489" s="21">
        <f t="shared" si="23"/>
        <v>84.268907563025209</v>
      </c>
    </row>
    <row r="490" spans="1:14">
      <c r="A490" s="9" t="s">
        <v>861</v>
      </c>
      <c r="B490" s="8">
        <v>24</v>
      </c>
      <c r="C490" s="8" t="s">
        <v>39</v>
      </c>
      <c r="D490" s="8" t="s">
        <v>56</v>
      </c>
      <c r="E490" s="8" t="s">
        <v>365</v>
      </c>
      <c r="F490" s="8">
        <v>152</v>
      </c>
      <c r="G490" s="8">
        <v>64.900000000000006</v>
      </c>
      <c r="H490" s="10">
        <v>28.26</v>
      </c>
      <c r="I490" s="21">
        <f>Table1[[#This Row],[BRUTTO_monthly_bill_eur]]/1.19</f>
        <v>54.537815126050425</v>
      </c>
      <c r="J490" s="21">
        <f>Table1[[#This Row],[monthly_consumption_kwh]]*Table1[[#This Row],[NETTO_procurement_cost_ct_per_kwh]]/100</f>
        <v>42.955200000000005</v>
      </c>
      <c r="K490" s="21">
        <f>Table1[[#This Row],[NETTO_monthly_revenue(€)]]-Table1[[#This Row],[procurement_cost_(€)]]</f>
        <v>11.58261512605042</v>
      </c>
      <c r="L490" s="21">
        <f t="shared" si="21"/>
        <v>7.6201415302963289</v>
      </c>
      <c r="M490" s="21" t="str">
        <f t="shared" si="22"/>
        <v>07.08.2024</v>
      </c>
      <c r="N490" s="21">
        <f t="shared" si="23"/>
        <v>54.537815126050425</v>
      </c>
    </row>
    <row r="491" spans="1:14">
      <c r="A491" s="9" t="s">
        <v>862</v>
      </c>
      <c r="B491" s="8">
        <v>24</v>
      </c>
      <c r="C491" s="8" t="s">
        <v>39</v>
      </c>
      <c r="D491" s="8" t="s">
        <v>56</v>
      </c>
      <c r="E491" s="8" t="s">
        <v>229</v>
      </c>
      <c r="F491" s="8">
        <v>115</v>
      </c>
      <c r="G491" s="8">
        <v>53.58</v>
      </c>
      <c r="H491" s="10">
        <v>28.08</v>
      </c>
      <c r="I491" s="21">
        <f>Table1[[#This Row],[BRUTTO_monthly_bill_eur]]/1.19</f>
        <v>45.025210084033617</v>
      </c>
      <c r="J491" s="21">
        <f>Table1[[#This Row],[monthly_consumption_kwh]]*Table1[[#This Row],[NETTO_procurement_cost_ct_per_kwh]]/100</f>
        <v>32.292000000000002</v>
      </c>
      <c r="K491" s="21">
        <f>Table1[[#This Row],[NETTO_monthly_revenue(€)]]-Table1[[#This Row],[procurement_cost_(€)]]</f>
        <v>12.733210084033615</v>
      </c>
      <c r="L491" s="21">
        <f t="shared" si="21"/>
        <v>11.07235659481184</v>
      </c>
      <c r="M491" s="21" t="str">
        <f t="shared" si="22"/>
        <v>06.03.2024</v>
      </c>
      <c r="N491" s="21">
        <f t="shared" si="23"/>
        <v>45.025210084033617</v>
      </c>
    </row>
    <row r="492" spans="1:14">
      <c r="A492" s="9" t="s">
        <v>863</v>
      </c>
      <c r="B492" s="8">
        <v>12</v>
      </c>
      <c r="C492" s="8" t="s">
        <v>35</v>
      </c>
      <c r="D492" s="8" t="s">
        <v>36</v>
      </c>
      <c r="E492" s="8" t="s">
        <v>783</v>
      </c>
      <c r="F492" s="8">
        <v>296</v>
      </c>
      <c r="G492" s="8">
        <v>106.89</v>
      </c>
      <c r="H492" s="10">
        <v>25.31</v>
      </c>
      <c r="I492" s="21">
        <f>Table1[[#This Row],[BRUTTO_monthly_bill_eur]]/1.19</f>
        <v>89.82352941176471</v>
      </c>
      <c r="J492" s="21">
        <f>Table1[[#This Row],[monthly_consumption_kwh]]*Table1[[#This Row],[NETTO_procurement_cost_ct_per_kwh]]/100</f>
        <v>74.917599999999993</v>
      </c>
      <c r="K492" s="21">
        <f>Table1[[#This Row],[NETTO_monthly_revenue(€)]]-Table1[[#This Row],[procurement_cost_(€)]]</f>
        <v>14.905929411764717</v>
      </c>
      <c r="L492" s="21">
        <f t="shared" si="21"/>
        <v>5.0357869634340258</v>
      </c>
      <c r="M492" s="21" t="str">
        <f t="shared" si="22"/>
        <v>28.02.2025</v>
      </c>
      <c r="N492" s="21">
        <f t="shared" si="23"/>
        <v>89.82352941176471</v>
      </c>
    </row>
    <row r="493" spans="1:14">
      <c r="A493" s="9" t="s">
        <v>864</v>
      </c>
      <c r="B493" s="8">
        <v>24</v>
      </c>
      <c r="C493" s="8" t="s">
        <v>39</v>
      </c>
      <c r="D493" s="8" t="s">
        <v>46</v>
      </c>
      <c r="E493" s="8" t="s">
        <v>865</v>
      </c>
      <c r="F493" s="8">
        <v>164</v>
      </c>
      <c r="G493" s="8">
        <v>69.099999999999994</v>
      </c>
      <c r="H493" s="10">
        <v>30.1</v>
      </c>
      <c r="I493" s="21">
        <f>Table1[[#This Row],[BRUTTO_monthly_bill_eur]]/1.19</f>
        <v>58.067226890756302</v>
      </c>
      <c r="J493" s="21">
        <f>Table1[[#This Row],[monthly_consumption_kwh]]*Table1[[#This Row],[NETTO_procurement_cost_ct_per_kwh]]/100</f>
        <v>49.364000000000004</v>
      </c>
      <c r="K493" s="21">
        <f>Table1[[#This Row],[NETTO_monthly_revenue(€)]]-Table1[[#This Row],[procurement_cost_(€)]]</f>
        <v>8.703226890756298</v>
      </c>
      <c r="L493" s="21">
        <f t="shared" si="21"/>
        <v>5.3068456650953033</v>
      </c>
      <c r="M493" s="21" t="str">
        <f t="shared" si="22"/>
        <v>21.02.2025</v>
      </c>
      <c r="N493" s="21">
        <f t="shared" si="23"/>
        <v>58.067226890756302</v>
      </c>
    </row>
    <row r="494" spans="1:14">
      <c r="A494" s="9" t="s">
        <v>866</v>
      </c>
      <c r="B494" s="8">
        <v>12</v>
      </c>
      <c r="C494" s="8" t="s">
        <v>35</v>
      </c>
      <c r="D494" s="8" t="s">
        <v>46</v>
      </c>
      <c r="E494" s="8" t="s">
        <v>354</v>
      </c>
      <c r="F494" s="8">
        <v>201</v>
      </c>
      <c r="G494" s="8">
        <v>77.09</v>
      </c>
      <c r="H494" s="10">
        <v>25.1</v>
      </c>
      <c r="I494" s="21">
        <f>Table1[[#This Row],[BRUTTO_monthly_bill_eur]]/1.19</f>
        <v>64.781512605042025</v>
      </c>
      <c r="J494" s="21">
        <f>Table1[[#This Row],[monthly_consumption_kwh]]*Table1[[#This Row],[NETTO_procurement_cost_ct_per_kwh]]/100</f>
        <v>50.451000000000001</v>
      </c>
      <c r="K494" s="21">
        <f>Table1[[#This Row],[NETTO_monthly_revenue(€)]]-Table1[[#This Row],[procurement_cost_(€)]]</f>
        <v>14.330512605042024</v>
      </c>
      <c r="L494" s="21">
        <f t="shared" si="21"/>
        <v>7.129608261214937</v>
      </c>
      <c r="M494" s="21" t="str">
        <f t="shared" si="22"/>
        <v>04.12.2024</v>
      </c>
      <c r="N494" s="21">
        <f t="shared" si="23"/>
        <v>64.781512605042025</v>
      </c>
    </row>
    <row r="495" spans="1:14">
      <c r="A495" s="9" t="s">
        <v>867</v>
      </c>
      <c r="B495" s="8">
        <v>12</v>
      </c>
      <c r="C495" s="8" t="s">
        <v>35</v>
      </c>
      <c r="D495" s="8" t="s">
        <v>46</v>
      </c>
      <c r="E495" s="8" t="s">
        <v>868</v>
      </c>
      <c r="F495" s="8">
        <v>254</v>
      </c>
      <c r="G495" s="8">
        <v>96.92</v>
      </c>
      <c r="H495" s="10">
        <v>22.94</v>
      </c>
      <c r="I495" s="21">
        <f>Table1[[#This Row],[BRUTTO_monthly_bill_eur]]/1.19</f>
        <v>81.445378151260513</v>
      </c>
      <c r="J495" s="21">
        <f>Table1[[#This Row],[monthly_consumption_kwh]]*Table1[[#This Row],[NETTO_procurement_cost_ct_per_kwh]]/100</f>
        <v>58.267600000000002</v>
      </c>
      <c r="K495" s="21">
        <f>Table1[[#This Row],[NETTO_monthly_revenue(€)]]-Table1[[#This Row],[procurement_cost_(€)]]</f>
        <v>23.177778151260512</v>
      </c>
      <c r="L495" s="21">
        <f t="shared" si="21"/>
        <v>9.1251095083702793</v>
      </c>
      <c r="M495" s="21" t="str">
        <f t="shared" si="22"/>
        <v>22.04.2025</v>
      </c>
      <c r="N495" s="21">
        <f t="shared" si="23"/>
        <v>81.445378151260513</v>
      </c>
    </row>
    <row r="496" spans="1:14">
      <c r="A496" s="9" t="s">
        <v>869</v>
      </c>
      <c r="B496" s="8">
        <v>12</v>
      </c>
      <c r="C496" s="8" t="s">
        <v>51</v>
      </c>
      <c r="D496" s="8" t="s">
        <v>36</v>
      </c>
      <c r="E496" s="8" t="s">
        <v>870</v>
      </c>
      <c r="F496" s="8">
        <v>429</v>
      </c>
      <c r="G496" s="8">
        <v>149.53</v>
      </c>
      <c r="H496" s="10">
        <v>18.23</v>
      </c>
      <c r="I496" s="21">
        <f>Table1[[#This Row],[BRUTTO_monthly_bill_eur]]/1.19</f>
        <v>125.65546218487395</v>
      </c>
      <c r="J496" s="21">
        <f>Table1[[#This Row],[monthly_consumption_kwh]]*Table1[[#This Row],[NETTO_procurement_cost_ct_per_kwh]]/100</f>
        <v>78.206699999999998</v>
      </c>
      <c r="K496" s="21">
        <f>Table1[[#This Row],[NETTO_monthly_revenue(€)]]-Table1[[#This Row],[procurement_cost_(€)]]</f>
        <v>47.448762184873956</v>
      </c>
      <c r="L496" s="21">
        <f t="shared" si="21"/>
        <v>11.060317525611644</v>
      </c>
      <c r="M496" s="21" t="str">
        <f t="shared" si="22"/>
        <v>01.03.2025</v>
      </c>
      <c r="N496" s="21">
        <f t="shared" si="23"/>
        <v>125.65546218487395</v>
      </c>
    </row>
    <row r="497" spans="1:14">
      <c r="A497" s="9" t="s">
        <v>871</v>
      </c>
      <c r="B497" s="8">
        <v>12</v>
      </c>
      <c r="C497" s="8" t="s">
        <v>39</v>
      </c>
      <c r="D497" s="8" t="s">
        <v>56</v>
      </c>
      <c r="E497" s="8" t="s">
        <v>872</v>
      </c>
      <c r="F497" s="8">
        <v>150</v>
      </c>
      <c r="G497" s="8">
        <v>63.27</v>
      </c>
      <c r="H497" s="10">
        <v>28.12</v>
      </c>
      <c r="I497" s="21">
        <f>Table1[[#This Row],[BRUTTO_monthly_bill_eur]]/1.19</f>
        <v>53.168067226890763</v>
      </c>
      <c r="J497" s="21">
        <f>Table1[[#This Row],[monthly_consumption_kwh]]*Table1[[#This Row],[NETTO_procurement_cost_ct_per_kwh]]/100</f>
        <v>42.18</v>
      </c>
      <c r="K497" s="21">
        <f>Table1[[#This Row],[NETTO_monthly_revenue(€)]]-Table1[[#This Row],[procurement_cost_(€)]]</f>
        <v>10.988067226890763</v>
      </c>
      <c r="L497" s="21">
        <f t="shared" si="21"/>
        <v>7.3253781512605087</v>
      </c>
      <c r="M497" s="21" t="str">
        <f t="shared" si="22"/>
        <v>04.03.2024</v>
      </c>
      <c r="N497" s="21">
        <f t="shared" si="23"/>
        <v>53.168067226890763</v>
      </c>
    </row>
    <row r="498" spans="1:14">
      <c r="A498" s="9" t="s">
        <v>873</v>
      </c>
      <c r="B498" s="8">
        <v>24</v>
      </c>
      <c r="C498" s="8" t="s">
        <v>39</v>
      </c>
      <c r="D498" s="8" t="s">
        <v>36</v>
      </c>
      <c r="E498" s="8" t="s">
        <v>874</v>
      </c>
      <c r="F498" s="8">
        <v>132</v>
      </c>
      <c r="G498" s="8">
        <v>57.85</v>
      </c>
      <c r="H498" s="10">
        <v>31.85</v>
      </c>
      <c r="I498" s="21">
        <f>Table1[[#This Row],[BRUTTO_monthly_bill_eur]]/1.19</f>
        <v>48.613445378151262</v>
      </c>
      <c r="J498" s="21">
        <f>Table1[[#This Row],[monthly_consumption_kwh]]*Table1[[#This Row],[NETTO_procurement_cost_ct_per_kwh]]/100</f>
        <v>42.042000000000002</v>
      </c>
      <c r="K498" s="21">
        <f>Table1[[#This Row],[NETTO_monthly_revenue(€)]]-Table1[[#This Row],[procurement_cost_(€)]]</f>
        <v>6.5714453781512603</v>
      </c>
      <c r="L498" s="21">
        <f t="shared" si="21"/>
        <v>4.9783677107206517</v>
      </c>
      <c r="M498" s="21" t="str">
        <f t="shared" si="22"/>
        <v>30.07.2024</v>
      </c>
      <c r="N498" s="21">
        <f t="shared" si="23"/>
        <v>48.613445378151262</v>
      </c>
    </row>
    <row r="499" spans="1:14">
      <c r="A499" s="9" t="s">
        <v>875</v>
      </c>
      <c r="B499" s="8">
        <v>12</v>
      </c>
      <c r="C499" s="8" t="s">
        <v>39</v>
      </c>
      <c r="D499" s="8" t="s">
        <v>36</v>
      </c>
      <c r="E499" s="8" t="s">
        <v>730</v>
      </c>
      <c r="F499" s="8">
        <v>136</v>
      </c>
      <c r="G499" s="8">
        <v>58.46</v>
      </c>
      <c r="H499" s="10">
        <v>30.67</v>
      </c>
      <c r="I499" s="21">
        <f>Table1[[#This Row],[BRUTTO_monthly_bill_eur]]/1.19</f>
        <v>49.12605042016807</v>
      </c>
      <c r="J499" s="21">
        <f>Table1[[#This Row],[monthly_consumption_kwh]]*Table1[[#This Row],[NETTO_procurement_cost_ct_per_kwh]]/100</f>
        <v>41.711199999999998</v>
      </c>
      <c r="K499" s="21">
        <f>Table1[[#This Row],[NETTO_monthly_revenue(€)]]-Table1[[#This Row],[procurement_cost_(€)]]</f>
        <v>7.4148504201680723</v>
      </c>
      <c r="L499" s="21">
        <f t="shared" si="21"/>
        <v>5.4520958971824056</v>
      </c>
      <c r="M499" s="21" t="str">
        <f t="shared" si="22"/>
        <v>06.03.2025</v>
      </c>
      <c r="N499" s="21">
        <f t="shared" si="23"/>
        <v>49.12605042016807</v>
      </c>
    </row>
    <row r="500" spans="1:14">
      <c r="A500" s="9" t="s">
        <v>876</v>
      </c>
      <c r="B500" s="8">
        <v>24</v>
      </c>
      <c r="C500" s="8" t="s">
        <v>35</v>
      </c>
      <c r="D500" s="8" t="s">
        <v>36</v>
      </c>
      <c r="E500" s="8" t="s">
        <v>877</v>
      </c>
      <c r="F500" s="8">
        <v>300</v>
      </c>
      <c r="G500" s="8">
        <v>110.56</v>
      </c>
      <c r="H500" s="10">
        <v>25.73</v>
      </c>
      <c r="I500" s="21">
        <f>Table1[[#This Row],[BRUTTO_monthly_bill_eur]]/1.19</f>
        <v>92.907563025210095</v>
      </c>
      <c r="J500" s="21">
        <f>Table1[[#This Row],[monthly_consumption_kwh]]*Table1[[#This Row],[NETTO_procurement_cost_ct_per_kwh]]/100</f>
        <v>77.19</v>
      </c>
      <c r="K500" s="21">
        <f>Table1[[#This Row],[NETTO_monthly_revenue(€)]]-Table1[[#This Row],[procurement_cost_(€)]]</f>
        <v>15.717563025210097</v>
      </c>
      <c r="L500" s="21">
        <f t="shared" si="21"/>
        <v>5.2391876750700321</v>
      </c>
      <c r="M500" s="21" t="str">
        <f t="shared" si="22"/>
        <v>02.02.2025</v>
      </c>
      <c r="N500" s="21">
        <f t="shared" si="23"/>
        <v>92.907563025210095</v>
      </c>
    </row>
    <row r="501" spans="1:14">
      <c r="A501" s="9" t="s">
        <v>878</v>
      </c>
      <c r="B501" s="8">
        <v>24</v>
      </c>
      <c r="C501" s="8" t="s">
        <v>35</v>
      </c>
      <c r="D501" s="8" t="s">
        <v>36</v>
      </c>
      <c r="E501" s="8" t="s">
        <v>879</v>
      </c>
      <c r="F501" s="8">
        <v>233</v>
      </c>
      <c r="G501" s="8">
        <v>87.91</v>
      </c>
      <c r="H501" s="10">
        <v>23.06</v>
      </c>
      <c r="I501" s="21">
        <f>Table1[[#This Row],[BRUTTO_monthly_bill_eur]]/1.19</f>
        <v>73.87394957983193</v>
      </c>
      <c r="J501" s="21">
        <f>Table1[[#This Row],[monthly_consumption_kwh]]*Table1[[#This Row],[NETTO_procurement_cost_ct_per_kwh]]/100</f>
        <v>53.729799999999997</v>
      </c>
      <c r="K501" s="21">
        <f>Table1[[#This Row],[NETTO_monthly_revenue(€)]]-Table1[[#This Row],[procurement_cost_(€)]]</f>
        <v>20.144149579831932</v>
      </c>
      <c r="L501" s="21">
        <f t="shared" si="21"/>
        <v>8.6455577595845199</v>
      </c>
      <c r="M501" s="21" t="str">
        <f t="shared" si="22"/>
        <v>21.01.2024</v>
      </c>
      <c r="N501" s="21">
        <f t="shared" si="23"/>
        <v>73.87394957983193</v>
      </c>
    </row>
    <row r="502" spans="1:14">
      <c r="A502" s="9" t="s">
        <v>880</v>
      </c>
      <c r="B502" s="8">
        <v>24</v>
      </c>
      <c r="C502" s="8" t="s">
        <v>39</v>
      </c>
      <c r="D502" s="8" t="s">
        <v>36</v>
      </c>
      <c r="E502" s="8" t="s">
        <v>100</v>
      </c>
      <c r="F502" s="8">
        <v>160</v>
      </c>
      <c r="G502" s="8">
        <v>69.95</v>
      </c>
      <c r="H502" s="10">
        <v>30.45</v>
      </c>
      <c r="I502" s="21">
        <f>Table1[[#This Row],[BRUTTO_monthly_bill_eur]]/1.19</f>
        <v>58.781512605042025</v>
      </c>
      <c r="J502" s="21">
        <f>Table1[[#This Row],[monthly_consumption_kwh]]*Table1[[#This Row],[NETTO_procurement_cost_ct_per_kwh]]/100</f>
        <v>48.72</v>
      </c>
      <c r="K502" s="21">
        <f>Table1[[#This Row],[NETTO_monthly_revenue(€)]]-Table1[[#This Row],[procurement_cost_(€)]]</f>
        <v>10.061512605042026</v>
      </c>
      <c r="L502" s="21">
        <f t="shared" si="21"/>
        <v>6.288445378151267</v>
      </c>
      <c r="M502" s="21" t="str">
        <f t="shared" si="22"/>
        <v>24.01.2025</v>
      </c>
      <c r="N502" s="21">
        <f t="shared" si="23"/>
        <v>58.781512605042025</v>
      </c>
    </row>
    <row r="503" spans="1:14">
      <c r="A503" s="9" t="s">
        <v>881</v>
      </c>
      <c r="B503" s="8">
        <v>12</v>
      </c>
      <c r="C503" s="8" t="s">
        <v>51</v>
      </c>
      <c r="D503" s="8" t="s">
        <v>46</v>
      </c>
      <c r="E503" s="8" t="s">
        <v>469</v>
      </c>
      <c r="F503" s="8">
        <v>511</v>
      </c>
      <c r="G503" s="8">
        <v>167.91</v>
      </c>
      <c r="H503" s="10">
        <v>21.89</v>
      </c>
      <c r="I503" s="21">
        <f>Table1[[#This Row],[BRUTTO_monthly_bill_eur]]/1.19</f>
        <v>141.10084033613447</v>
      </c>
      <c r="J503" s="21">
        <f>Table1[[#This Row],[monthly_consumption_kwh]]*Table1[[#This Row],[NETTO_procurement_cost_ct_per_kwh]]/100</f>
        <v>111.85790000000001</v>
      </c>
      <c r="K503" s="21">
        <f>Table1[[#This Row],[NETTO_monthly_revenue(€)]]-Table1[[#This Row],[procurement_cost_(€)]]</f>
        <v>29.242940336134453</v>
      </c>
      <c r="L503" s="21">
        <f t="shared" si="21"/>
        <v>5.7226889111809109</v>
      </c>
      <c r="M503" s="21" t="str">
        <f t="shared" si="22"/>
        <v>03.05.2025</v>
      </c>
      <c r="N503" s="21">
        <f t="shared" si="23"/>
        <v>141.10084033613447</v>
      </c>
    </row>
    <row r="504" spans="1:14">
      <c r="A504" s="9" t="s">
        <v>882</v>
      </c>
      <c r="B504" s="8">
        <v>12</v>
      </c>
      <c r="C504" s="8" t="s">
        <v>39</v>
      </c>
      <c r="D504" s="8" t="s">
        <v>36</v>
      </c>
      <c r="E504" s="8" t="s">
        <v>83</v>
      </c>
      <c r="F504" s="8">
        <v>96</v>
      </c>
      <c r="G504" s="8">
        <v>46.22</v>
      </c>
      <c r="H504" s="10">
        <v>29.27</v>
      </c>
      <c r="I504" s="21">
        <f>Table1[[#This Row],[BRUTTO_monthly_bill_eur]]/1.19</f>
        <v>38.840336134453786</v>
      </c>
      <c r="J504" s="21">
        <f>Table1[[#This Row],[monthly_consumption_kwh]]*Table1[[#This Row],[NETTO_procurement_cost_ct_per_kwh]]/100</f>
        <v>28.0992</v>
      </c>
      <c r="K504" s="21">
        <f>Table1[[#This Row],[NETTO_monthly_revenue(€)]]-Table1[[#This Row],[procurement_cost_(€)]]</f>
        <v>10.741136134453786</v>
      </c>
      <c r="L504" s="21">
        <f t="shared" si="21"/>
        <v>11.188683473389361</v>
      </c>
      <c r="M504" s="21" t="str">
        <f t="shared" si="22"/>
        <v>07.01.2024</v>
      </c>
      <c r="N504" s="21">
        <f t="shared" si="23"/>
        <v>38.840336134453786</v>
      </c>
    </row>
    <row r="505" spans="1:14">
      <c r="A505" s="9" t="s">
        <v>883</v>
      </c>
      <c r="B505" s="8">
        <v>24</v>
      </c>
      <c r="C505" s="8" t="s">
        <v>35</v>
      </c>
      <c r="D505" s="8" t="s">
        <v>36</v>
      </c>
      <c r="E505" s="8" t="s">
        <v>884</v>
      </c>
      <c r="F505" s="8">
        <v>282</v>
      </c>
      <c r="G505" s="8">
        <v>104.6</v>
      </c>
      <c r="H505" s="10">
        <v>25.39</v>
      </c>
      <c r="I505" s="21">
        <f>Table1[[#This Row],[BRUTTO_monthly_bill_eur]]/1.19</f>
        <v>87.899159663865547</v>
      </c>
      <c r="J505" s="21">
        <f>Table1[[#This Row],[monthly_consumption_kwh]]*Table1[[#This Row],[NETTO_procurement_cost_ct_per_kwh]]/100</f>
        <v>71.599800000000002</v>
      </c>
      <c r="K505" s="21">
        <f>Table1[[#This Row],[NETTO_monthly_revenue(€)]]-Table1[[#This Row],[procurement_cost_(€)]]</f>
        <v>16.299359663865545</v>
      </c>
      <c r="L505" s="21">
        <f t="shared" si="21"/>
        <v>5.7799147744204058</v>
      </c>
      <c r="M505" s="21" t="str">
        <f t="shared" si="22"/>
        <v>26.12.2024</v>
      </c>
      <c r="N505" s="21">
        <f t="shared" si="23"/>
        <v>87.899159663865547</v>
      </c>
    </row>
    <row r="506" spans="1:14">
      <c r="A506" s="9" t="s">
        <v>885</v>
      </c>
      <c r="B506" s="8">
        <v>24</v>
      </c>
      <c r="C506" s="8" t="s">
        <v>35</v>
      </c>
      <c r="D506" s="8" t="s">
        <v>36</v>
      </c>
      <c r="E506" s="8" t="s">
        <v>264</v>
      </c>
      <c r="F506" s="8">
        <v>299</v>
      </c>
      <c r="G506" s="8">
        <v>112.85</v>
      </c>
      <c r="H506" s="10">
        <v>25.79</v>
      </c>
      <c r="I506" s="21">
        <f>Table1[[#This Row],[BRUTTO_monthly_bill_eur]]/1.19</f>
        <v>94.831932773109244</v>
      </c>
      <c r="J506" s="21">
        <f>Table1[[#This Row],[monthly_consumption_kwh]]*Table1[[#This Row],[NETTO_procurement_cost_ct_per_kwh]]/100</f>
        <v>77.112099999999998</v>
      </c>
      <c r="K506" s="21">
        <f>Table1[[#This Row],[NETTO_monthly_revenue(€)]]-Table1[[#This Row],[procurement_cost_(€)]]</f>
        <v>17.719832773109246</v>
      </c>
      <c r="L506" s="21">
        <f t="shared" si="21"/>
        <v>5.9263654759562696</v>
      </c>
      <c r="M506" s="21" t="str">
        <f t="shared" si="22"/>
        <v>01.11.2024</v>
      </c>
      <c r="N506" s="21">
        <f t="shared" si="23"/>
        <v>94.831932773109244</v>
      </c>
    </row>
    <row r="507" spans="1:14">
      <c r="A507" s="9" t="s">
        <v>886</v>
      </c>
      <c r="B507" s="8">
        <v>12</v>
      </c>
      <c r="C507" s="8" t="s">
        <v>51</v>
      </c>
      <c r="D507" s="8" t="s">
        <v>36</v>
      </c>
      <c r="E507" s="8" t="s">
        <v>445</v>
      </c>
      <c r="F507" s="8">
        <v>439</v>
      </c>
      <c r="G507" s="8">
        <v>144.49</v>
      </c>
      <c r="H507" s="10">
        <v>20.92</v>
      </c>
      <c r="I507" s="21">
        <f>Table1[[#This Row],[BRUTTO_monthly_bill_eur]]/1.19</f>
        <v>121.42016806722691</v>
      </c>
      <c r="J507" s="21">
        <f>Table1[[#This Row],[monthly_consumption_kwh]]*Table1[[#This Row],[NETTO_procurement_cost_ct_per_kwh]]/100</f>
        <v>91.838800000000006</v>
      </c>
      <c r="K507" s="21">
        <f>Table1[[#This Row],[NETTO_monthly_revenue(€)]]-Table1[[#This Row],[procurement_cost_(€)]]</f>
        <v>29.581368067226904</v>
      </c>
      <c r="L507" s="21">
        <f t="shared" si="21"/>
        <v>6.7383526349036229</v>
      </c>
      <c r="M507" s="21" t="str">
        <f t="shared" si="22"/>
        <v>03.02.2025</v>
      </c>
      <c r="N507" s="21">
        <f t="shared" si="23"/>
        <v>121.42016806722691</v>
      </c>
    </row>
    <row r="508" spans="1:14">
      <c r="A508" s="9" t="s">
        <v>887</v>
      </c>
      <c r="B508" s="8">
        <v>24</v>
      </c>
      <c r="C508" s="8" t="s">
        <v>35</v>
      </c>
      <c r="D508" s="8" t="s">
        <v>56</v>
      </c>
      <c r="E508" s="8" t="s">
        <v>75</v>
      </c>
      <c r="F508" s="8">
        <v>309</v>
      </c>
      <c r="G508" s="8">
        <v>119.27</v>
      </c>
      <c r="H508" s="10">
        <v>24.96</v>
      </c>
      <c r="I508" s="21">
        <f>Table1[[#This Row],[BRUTTO_monthly_bill_eur]]/1.19</f>
        <v>100.22689075630252</v>
      </c>
      <c r="J508" s="21">
        <f>Table1[[#This Row],[monthly_consumption_kwh]]*Table1[[#This Row],[NETTO_procurement_cost_ct_per_kwh]]/100</f>
        <v>77.126400000000004</v>
      </c>
      <c r="K508" s="21">
        <f>Table1[[#This Row],[NETTO_monthly_revenue(€)]]-Table1[[#This Row],[procurement_cost_(€)]]</f>
        <v>23.10049075630252</v>
      </c>
      <c r="L508" s="21">
        <f t="shared" si="21"/>
        <v>7.4758869761496829</v>
      </c>
      <c r="M508" s="21" t="str">
        <f t="shared" si="22"/>
        <v>05.03.2025</v>
      </c>
      <c r="N508" s="21">
        <f t="shared" si="23"/>
        <v>100.22689075630252</v>
      </c>
    </row>
    <row r="509" spans="1:14">
      <c r="A509" s="9" t="s">
        <v>888</v>
      </c>
      <c r="B509" s="8">
        <v>24</v>
      </c>
      <c r="C509" s="8" t="s">
        <v>51</v>
      </c>
      <c r="D509" s="8" t="s">
        <v>36</v>
      </c>
      <c r="E509" s="8" t="s">
        <v>889</v>
      </c>
      <c r="F509" s="8">
        <v>636</v>
      </c>
      <c r="G509" s="8">
        <v>201.03</v>
      </c>
      <c r="H509" s="10">
        <v>0.19</v>
      </c>
      <c r="I509" s="21">
        <f>Table1[[#This Row],[BRUTTO_monthly_bill_eur]]/1.19</f>
        <v>168.9327731092437</v>
      </c>
      <c r="J509" s="21">
        <f>Table1[[#This Row],[monthly_consumption_kwh]]*Table1[[#This Row],[NETTO_procurement_cost_ct_per_kwh]]/100</f>
        <v>1.2084000000000001</v>
      </c>
      <c r="K509" s="21">
        <f>Table1[[#This Row],[NETTO_monthly_revenue(€)]]-Table1[[#This Row],[procurement_cost_(€)]]</f>
        <v>167.72437310924369</v>
      </c>
      <c r="L509" s="21">
        <f t="shared" si="21"/>
        <v>26.37175677818297</v>
      </c>
      <c r="M509" s="21" t="str">
        <f t="shared" si="22"/>
        <v>2024-08</v>
      </c>
      <c r="N509" s="21">
        <f t="shared" si="23"/>
        <v>168.9327731092437</v>
      </c>
    </row>
    <row r="510" spans="1:14">
      <c r="A510" s="9" t="s">
        <v>890</v>
      </c>
      <c r="B510" s="8">
        <v>24</v>
      </c>
      <c r="C510" s="8" t="s">
        <v>39</v>
      </c>
      <c r="D510" s="8" t="s">
        <v>36</v>
      </c>
      <c r="E510" s="8" t="s">
        <v>891</v>
      </c>
      <c r="F510" s="8">
        <v>106</v>
      </c>
      <c r="G510" s="8">
        <v>51.38</v>
      </c>
      <c r="H510" s="10">
        <v>31.13</v>
      </c>
      <c r="I510" s="21">
        <f>Table1[[#This Row],[BRUTTO_monthly_bill_eur]]/1.19</f>
        <v>43.176470588235297</v>
      </c>
      <c r="J510" s="21">
        <f>Table1[[#This Row],[monthly_consumption_kwh]]*Table1[[#This Row],[NETTO_procurement_cost_ct_per_kwh]]/100</f>
        <v>32.997799999999998</v>
      </c>
      <c r="K510" s="21">
        <f>Table1[[#This Row],[NETTO_monthly_revenue(€)]]-Table1[[#This Row],[procurement_cost_(€)]]</f>
        <v>10.178670588235299</v>
      </c>
      <c r="L510" s="21">
        <f t="shared" si="21"/>
        <v>9.6025194228634891</v>
      </c>
      <c r="M510" s="21" t="str">
        <f t="shared" si="22"/>
        <v>2025-05</v>
      </c>
      <c r="N510" s="21">
        <f t="shared" si="23"/>
        <v>43.176470588235297</v>
      </c>
    </row>
    <row r="511" spans="1:14">
      <c r="A511" s="9" t="s">
        <v>892</v>
      </c>
      <c r="B511" s="8">
        <v>24</v>
      </c>
      <c r="C511" s="8" t="s">
        <v>51</v>
      </c>
      <c r="D511" s="8" t="s">
        <v>36</v>
      </c>
      <c r="E511" s="8" t="s">
        <v>168</v>
      </c>
      <c r="F511" s="8">
        <v>662</v>
      </c>
      <c r="G511" s="8">
        <v>232.78</v>
      </c>
      <c r="H511" s="10">
        <v>21.32</v>
      </c>
      <c r="I511" s="21">
        <f>Table1[[#This Row],[BRUTTO_monthly_bill_eur]]/1.19</f>
        <v>195.61344537815128</v>
      </c>
      <c r="J511" s="21">
        <f>Table1[[#This Row],[monthly_consumption_kwh]]*Table1[[#This Row],[NETTO_procurement_cost_ct_per_kwh]]/100</f>
        <v>141.13839999999999</v>
      </c>
      <c r="K511" s="21">
        <f>Table1[[#This Row],[NETTO_monthly_revenue(€)]]-Table1[[#This Row],[procurement_cost_(€)]]</f>
        <v>54.475045378151293</v>
      </c>
      <c r="L511" s="21">
        <f t="shared" si="21"/>
        <v>8.2288588184518563</v>
      </c>
      <c r="M511" s="21" t="str">
        <f t="shared" si="22"/>
        <v>12.08.2024</v>
      </c>
      <c r="N511" s="21">
        <f t="shared" si="23"/>
        <v>195.61344537815128</v>
      </c>
    </row>
    <row r="512" spans="1:14">
      <c r="A512" s="9" t="s">
        <v>893</v>
      </c>
      <c r="B512" s="8">
        <v>24</v>
      </c>
      <c r="C512" s="8" t="s">
        <v>39</v>
      </c>
      <c r="D512" s="8" t="s">
        <v>36</v>
      </c>
      <c r="E512" s="8" t="s">
        <v>894</v>
      </c>
      <c r="F512" s="8">
        <v>95</v>
      </c>
      <c r="G512" s="8">
        <v>43.29</v>
      </c>
      <c r="H512" s="10">
        <v>28.04</v>
      </c>
      <c r="I512" s="21">
        <f>Table1[[#This Row],[BRUTTO_monthly_bill_eur]]/1.19</f>
        <v>36.378151260504204</v>
      </c>
      <c r="J512" s="21">
        <f>Table1[[#This Row],[monthly_consumption_kwh]]*Table1[[#This Row],[NETTO_procurement_cost_ct_per_kwh]]/100</f>
        <v>26.637999999999998</v>
      </c>
      <c r="K512" s="21">
        <f>Table1[[#This Row],[NETTO_monthly_revenue(€)]]-Table1[[#This Row],[procurement_cost_(€)]]</f>
        <v>9.7401512605042058</v>
      </c>
      <c r="L512" s="21">
        <f t="shared" si="21"/>
        <v>10.252790800530743</v>
      </c>
      <c r="M512" s="21" t="str">
        <f t="shared" si="22"/>
        <v>06.10.2024</v>
      </c>
      <c r="N512" s="21">
        <f t="shared" si="23"/>
        <v>36.378151260504204</v>
      </c>
    </row>
    <row r="513" spans="1:14">
      <c r="A513" s="9" t="s">
        <v>895</v>
      </c>
      <c r="B513" s="8">
        <v>12</v>
      </c>
      <c r="C513" s="8" t="s">
        <v>51</v>
      </c>
      <c r="D513" s="8" t="s">
        <v>36</v>
      </c>
      <c r="E513" s="8" t="s">
        <v>691</v>
      </c>
      <c r="F513" s="8">
        <v>400</v>
      </c>
      <c r="G513" s="8">
        <v>135.93</v>
      </c>
      <c r="H513" s="10">
        <v>20.079999999999998</v>
      </c>
      <c r="I513" s="21">
        <f>Table1[[#This Row],[BRUTTO_monthly_bill_eur]]/1.19</f>
        <v>114.22689075630254</v>
      </c>
      <c r="J513" s="21">
        <f>Table1[[#This Row],[monthly_consumption_kwh]]*Table1[[#This Row],[NETTO_procurement_cost_ct_per_kwh]]/100</f>
        <v>80.319999999999993</v>
      </c>
      <c r="K513" s="21">
        <f>Table1[[#This Row],[NETTO_monthly_revenue(€)]]-Table1[[#This Row],[procurement_cost_(€)]]</f>
        <v>33.906890756302545</v>
      </c>
      <c r="L513" s="21">
        <f t="shared" si="21"/>
        <v>8.4767226890756362</v>
      </c>
      <c r="M513" s="21" t="str">
        <f t="shared" si="22"/>
        <v>22.03.2025</v>
      </c>
      <c r="N513" s="21">
        <f t="shared" si="23"/>
        <v>114.22689075630254</v>
      </c>
    </row>
    <row r="514" spans="1:14">
      <c r="A514" s="9" t="s">
        <v>896</v>
      </c>
      <c r="B514" s="8">
        <v>24</v>
      </c>
      <c r="C514" s="8" t="s">
        <v>35</v>
      </c>
      <c r="D514" s="8" t="s">
        <v>46</v>
      </c>
      <c r="E514" s="8" t="s">
        <v>298</v>
      </c>
      <c r="F514" s="8">
        <v>198</v>
      </c>
      <c r="G514" s="8">
        <v>78.06</v>
      </c>
      <c r="H514" s="10">
        <v>26.82</v>
      </c>
      <c r="I514" s="21">
        <f>Table1[[#This Row],[BRUTTO_monthly_bill_eur]]/1.19</f>
        <v>65.596638655462186</v>
      </c>
      <c r="J514" s="21">
        <f>Table1[[#This Row],[monthly_consumption_kwh]]*Table1[[#This Row],[NETTO_procurement_cost_ct_per_kwh]]/100</f>
        <v>53.1036</v>
      </c>
      <c r="K514" s="21">
        <f>Table1[[#This Row],[NETTO_monthly_revenue(€)]]-Table1[[#This Row],[procurement_cost_(€)]]</f>
        <v>12.493038655462186</v>
      </c>
      <c r="L514" s="21">
        <f t="shared" ref="L514:L577" si="24">IF(F514=0,"",K514/F514*100)</f>
        <v>6.3096154825566604</v>
      </c>
      <c r="M514" s="21" t="str">
        <f t="shared" ref="M514:M577" si="25">TEXT(E514,"yyyy-mm")</f>
        <v>12.05.2025</v>
      </c>
      <c r="N514" s="21">
        <f t="shared" ref="N514:N577" si="26">G514/1.19</f>
        <v>65.596638655462186</v>
      </c>
    </row>
    <row r="515" spans="1:14">
      <c r="A515" s="9" t="s">
        <v>897</v>
      </c>
      <c r="B515" s="8">
        <v>24</v>
      </c>
      <c r="C515" s="8" t="s">
        <v>51</v>
      </c>
      <c r="D515" s="8" t="s">
        <v>56</v>
      </c>
      <c r="E515" s="8" t="s">
        <v>898</v>
      </c>
      <c r="F515" s="8">
        <v>632</v>
      </c>
      <c r="G515" s="8">
        <v>216.13</v>
      </c>
      <c r="H515" s="10">
        <v>19.61</v>
      </c>
      <c r="I515" s="21">
        <f>Table1[[#This Row],[BRUTTO_monthly_bill_eur]]/1.19</f>
        <v>181.62184873949579</v>
      </c>
      <c r="J515" s="21">
        <f>Table1[[#This Row],[monthly_consumption_kwh]]*Table1[[#This Row],[NETTO_procurement_cost_ct_per_kwh]]/100</f>
        <v>123.93520000000001</v>
      </c>
      <c r="K515" s="21">
        <f>Table1[[#This Row],[NETTO_monthly_revenue(€)]]-Table1[[#This Row],[procurement_cost_(€)]]</f>
        <v>57.68664873949578</v>
      </c>
      <c r="L515" s="21">
        <f t="shared" si="24"/>
        <v>9.1276342942240163</v>
      </c>
      <c r="M515" s="21" t="str">
        <f t="shared" si="25"/>
        <v>30.01.2024</v>
      </c>
      <c r="N515" s="21">
        <f t="shared" si="26"/>
        <v>181.62184873949579</v>
      </c>
    </row>
    <row r="516" spans="1:14">
      <c r="A516" s="9" t="s">
        <v>899</v>
      </c>
      <c r="B516" s="8">
        <v>12</v>
      </c>
      <c r="C516" s="8" t="s">
        <v>35</v>
      </c>
      <c r="D516" s="8" t="s">
        <v>36</v>
      </c>
      <c r="E516" s="8" t="s">
        <v>877</v>
      </c>
      <c r="F516" s="8">
        <v>276</v>
      </c>
      <c r="G516" s="8">
        <v>104.27</v>
      </c>
      <c r="H516" s="10">
        <v>25.96</v>
      </c>
      <c r="I516" s="21">
        <f>Table1[[#This Row],[BRUTTO_monthly_bill_eur]]/1.19</f>
        <v>87.621848739495803</v>
      </c>
      <c r="J516" s="21">
        <f>Table1[[#This Row],[monthly_consumption_kwh]]*Table1[[#This Row],[NETTO_procurement_cost_ct_per_kwh]]/100</f>
        <v>71.649600000000007</v>
      </c>
      <c r="K516" s="21">
        <f>Table1[[#This Row],[NETTO_monthly_revenue(€)]]-Table1[[#This Row],[procurement_cost_(€)]]</f>
        <v>15.972248739495797</v>
      </c>
      <c r="L516" s="21">
        <f t="shared" si="24"/>
        <v>5.7870466447448541</v>
      </c>
      <c r="M516" s="21" t="str">
        <f t="shared" si="25"/>
        <v>02.02.2025</v>
      </c>
      <c r="N516" s="21">
        <f t="shared" si="26"/>
        <v>87.621848739495803</v>
      </c>
    </row>
    <row r="517" spans="1:14">
      <c r="A517" s="9" t="s">
        <v>900</v>
      </c>
      <c r="B517" s="8">
        <v>12</v>
      </c>
      <c r="C517" s="8" t="s">
        <v>35</v>
      </c>
      <c r="D517" s="8" t="s">
        <v>46</v>
      </c>
      <c r="E517" s="8" t="s">
        <v>95</v>
      </c>
      <c r="F517" s="8">
        <v>192</v>
      </c>
      <c r="G517" s="8">
        <v>75.069999999999993</v>
      </c>
      <c r="H517" s="10">
        <v>23.25</v>
      </c>
      <c r="I517" s="21">
        <f>Table1[[#This Row],[BRUTTO_monthly_bill_eur]]/1.19</f>
        <v>63.084033613445378</v>
      </c>
      <c r="J517" s="21">
        <f>Table1[[#This Row],[monthly_consumption_kwh]]*Table1[[#This Row],[NETTO_procurement_cost_ct_per_kwh]]/100</f>
        <v>44.64</v>
      </c>
      <c r="K517" s="21">
        <f>Table1[[#This Row],[NETTO_monthly_revenue(€)]]-Table1[[#This Row],[procurement_cost_(€)]]</f>
        <v>18.444033613445377</v>
      </c>
      <c r="L517" s="21">
        <f t="shared" si="24"/>
        <v>9.6062675070028014</v>
      </c>
      <c r="M517" s="21" t="str">
        <f t="shared" si="25"/>
        <v>10.12.2024</v>
      </c>
      <c r="N517" s="21">
        <f t="shared" si="26"/>
        <v>63.084033613445378</v>
      </c>
    </row>
    <row r="518" spans="1:14">
      <c r="A518" s="9" t="s">
        <v>901</v>
      </c>
      <c r="B518" s="8">
        <v>12</v>
      </c>
      <c r="C518" s="8" t="s">
        <v>35</v>
      </c>
      <c r="D518" s="8" t="s">
        <v>46</v>
      </c>
      <c r="E518" s="8" t="s">
        <v>902</v>
      </c>
      <c r="F518" s="8">
        <v>240</v>
      </c>
      <c r="G518" s="8">
        <v>91.01</v>
      </c>
      <c r="H518" s="10">
        <v>23.36</v>
      </c>
      <c r="I518" s="21">
        <f>Table1[[#This Row],[BRUTTO_monthly_bill_eur]]/1.19</f>
        <v>76.478991596638664</v>
      </c>
      <c r="J518" s="21">
        <f>Table1[[#This Row],[monthly_consumption_kwh]]*Table1[[#This Row],[NETTO_procurement_cost_ct_per_kwh]]/100</f>
        <v>56.063999999999993</v>
      </c>
      <c r="K518" s="21">
        <f>Table1[[#This Row],[NETTO_monthly_revenue(€)]]-Table1[[#This Row],[procurement_cost_(€)]]</f>
        <v>20.414991596638671</v>
      </c>
      <c r="L518" s="21">
        <f t="shared" si="24"/>
        <v>8.506246498599447</v>
      </c>
      <c r="M518" s="21" t="str">
        <f t="shared" si="25"/>
        <v>2025-02</v>
      </c>
      <c r="N518" s="21">
        <f t="shared" si="26"/>
        <v>76.478991596638664</v>
      </c>
    </row>
    <row r="519" spans="1:14">
      <c r="A519" s="9" t="s">
        <v>903</v>
      </c>
      <c r="B519" s="8">
        <v>24</v>
      </c>
      <c r="C519" s="8" t="s">
        <v>35</v>
      </c>
      <c r="D519" s="8" t="s">
        <v>56</v>
      </c>
      <c r="E519" s="8" t="s">
        <v>310</v>
      </c>
      <c r="F519" s="8">
        <v>269</v>
      </c>
      <c r="G519" s="8">
        <v>109.17</v>
      </c>
      <c r="H519" s="10">
        <v>24.32</v>
      </c>
      <c r="I519" s="21">
        <f>Table1[[#This Row],[BRUTTO_monthly_bill_eur]]/1.19</f>
        <v>91.739495798319339</v>
      </c>
      <c r="J519" s="21">
        <f>Table1[[#This Row],[monthly_consumption_kwh]]*Table1[[#This Row],[NETTO_procurement_cost_ct_per_kwh]]/100</f>
        <v>65.4208</v>
      </c>
      <c r="K519" s="21">
        <f>Table1[[#This Row],[NETTO_monthly_revenue(€)]]-Table1[[#This Row],[procurement_cost_(€)]]</f>
        <v>26.318695798319339</v>
      </c>
      <c r="L519" s="21">
        <f t="shared" si="24"/>
        <v>9.7839017837618361</v>
      </c>
      <c r="M519" s="21" t="str">
        <f t="shared" si="25"/>
        <v>18.06.2024</v>
      </c>
      <c r="N519" s="21">
        <f t="shared" si="26"/>
        <v>91.739495798319339</v>
      </c>
    </row>
    <row r="520" spans="1:14">
      <c r="A520" s="9" t="s">
        <v>904</v>
      </c>
      <c r="B520" s="8">
        <v>24</v>
      </c>
      <c r="C520" s="8" t="s">
        <v>39</v>
      </c>
      <c r="D520" s="8" t="s">
        <v>36</v>
      </c>
      <c r="E520" s="8" t="s">
        <v>389</v>
      </c>
      <c r="F520" s="8">
        <v>90</v>
      </c>
      <c r="G520" s="8">
        <v>40.82</v>
      </c>
      <c r="H520" s="10">
        <v>29.77</v>
      </c>
      <c r="I520" s="21">
        <f>Table1[[#This Row],[BRUTTO_monthly_bill_eur]]/1.19</f>
        <v>34.30252100840336</v>
      </c>
      <c r="J520" s="21">
        <f>Table1[[#This Row],[monthly_consumption_kwh]]*Table1[[#This Row],[NETTO_procurement_cost_ct_per_kwh]]/100</f>
        <v>26.793000000000003</v>
      </c>
      <c r="K520" s="21">
        <f>Table1[[#This Row],[NETTO_monthly_revenue(€)]]-Table1[[#This Row],[procurement_cost_(€)]]</f>
        <v>7.5095210084033575</v>
      </c>
      <c r="L520" s="21">
        <f t="shared" si="24"/>
        <v>8.3439122315592869</v>
      </c>
      <c r="M520" s="21" t="str">
        <f t="shared" si="25"/>
        <v>23.04.2025</v>
      </c>
      <c r="N520" s="21">
        <f t="shared" si="26"/>
        <v>34.30252100840336</v>
      </c>
    </row>
    <row r="521" spans="1:14">
      <c r="A521" s="9" t="s">
        <v>905</v>
      </c>
      <c r="B521" s="8">
        <v>12</v>
      </c>
      <c r="C521" s="8" t="s">
        <v>39</v>
      </c>
      <c r="D521" s="8" t="s">
        <v>36</v>
      </c>
      <c r="E521" s="8" t="s">
        <v>607</v>
      </c>
      <c r="F521" s="8">
        <v>157</v>
      </c>
      <c r="G521" s="8">
        <v>64.760000000000005</v>
      </c>
      <c r="H521" s="10">
        <v>29.04</v>
      </c>
      <c r="I521" s="21">
        <f>Table1[[#This Row],[BRUTTO_monthly_bill_eur]]/1.19</f>
        <v>54.420168067226896</v>
      </c>
      <c r="J521" s="21">
        <f>Table1[[#This Row],[monthly_consumption_kwh]]*Table1[[#This Row],[NETTO_procurement_cost_ct_per_kwh]]/100</f>
        <v>45.592799999999997</v>
      </c>
      <c r="K521" s="21">
        <f>Table1[[#This Row],[NETTO_monthly_revenue(€)]]-Table1[[#This Row],[procurement_cost_(€)]]</f>
        <v>8.8273680672268995</v>
      </c>
      <c r="L521" s="21">
        <f t="shared" si="24"/>
        <v>5.6225274313547136</v>
      </c>
      <c r="M521" s="21" t="str">
        <f t="shared" si="25"/>
        <v>10.05.2024</v>
      </c>
      <c r="N521" s="21">
        <f t="shared" si="26"/>
        <v>54.420168067226896</v>
      </c>
    </row>
    <row r="522" spans="1:14">
      <c r="A522" s="9" t="s">
        <v>906</v>
      </c>
      <c r="B522" s="8">
        <v>24</v>
      </c>
      <c r="C522" s="8" t="s">
        <v>39</v>
      </c>
      <c r="D522" s="8" t="s">
        <v>36</v>
      </c>
      <c r="E522" s="8" t="s">
        <v>71</v>
      </c>
      <c r="F522" s="8">
        <v>150</v>
      </c>
      <c r="G522" s="8">
        <v>65.63</v>
      </c>
      <c r="H522" s="10">
        <v>29.37</v>
      </c>
      <c r="I522" s="21">
        <f>Table1[[#This Row],[BRUTTO_monthly_bill_eur]]/1.19</f>
        <v>55.15126050420168</v>
      </c>
      <c r="J522" s="21">
        <f>Table1[[#This Row],[monthly_consumption_kwh]]*Table1[[#This Row],[NETTO_procurement_cost_ct_per_kwh]]/100</f>
        <v>44.055</v>
      </c>
      <c r="K522" s="21">
        <f>Table1[[#This Row],[NETTO_monthly_revenue(€)]]-Table1[[#This Row],[procurement_cost_(€)]]</f>
        <v>11.09626050420168</v>
      </c>
      <c r="L522" s="21">
        <f t="shared" si="24"/>
        <v>7.3975070028011212</v>
      </c>
      <c r="M522" s="21" t="str">
        <f t="shared" si="25"/>
        <v>28.01.2024</v>
      </c>
      <c r="N522" s="21">
        <f t="shared" si="26"/>
        <v>55.15126050420168</v>
      </c>
    </row>
    <row r="523" spans="1:14">
      <c r="A523" s="9" t="s">
        <v>907</v>
      </c>
      <c r="B523" s="8">
        <v>12</v>
      </c>
      <c r="C523" s="8" t="s">
        <v>39</v>
      </c>
      <c r="D523" s="8" t="s">
        <v>46</v>
      </c>
      <c r="E523" s="8" t="s">
        <v>908</v>
      </c>
      <c r="F523" s="8">
        <v>125</v>
      </c>
      <c r="G523" s="8">
        <v>55.22</v>
      </c>
      <c r="H523" s="10">
        <v>31.34</v>
      </c>
      <c r="I523" s="21">
        <f>Table1[[#This Row],[BRUTTO_monthly_bill_eur]]/1.19</f>
        <v>46.403361344537814</v>
      </c>
      <c r="J523" s="21">
        <f>Table1[[#This Row],[monthly_consumption_kwh]]*Table1[[#This Row],[NETTO_procurement_cost_ct_per_kwh]]/100</f>
        <v>39.174999999999997</v>
      </c>
      <c r="K523" s="21">
        <f>Table1[[#This Row],[NETTO_monthly_revenue(€)]]-Table1[[#This Row],[procurement_cost_(€)]]</f>
        <v>7.2283613445378165</v>
      </c>
      <c r="L523" s="21">
        <f t="shared" si="24"/>
        <v>5.7826890756302536</v>
      </c>
      <c r="M523" s="21" t="str">
        <f t="shared" si="25"/>
        <v>07.02.2025</v>
      </c>
      <c r="N523" s="21">
        <f t="shared" si="26"/>
        <v>46.403361344537814</v>
      </c>
    </row>
    <row r="524" spans="1:14">
      <c r="A524" s="9" t="s">
        <v>909</v>
      </c>
      <c r="B524" s="8">
        <v>24</v>
      </c>
      <c r="C524" s="8" t="s">
        <v>51</v>
      </c>
      <c r="D524" s="8" t="s">
        <v>56</v>
      </c>
      <c r="E524" s="8" t="s">
        <v>71</v>
      </c>
      <c r="F524" s="8">
        <v>656</v>
      </c>
      <c r="G524" s="8">
        <v>227.45</v>
      </c>
      <c r="H524" s="10">
        <v>21.18</v>
      </c>
      <c r="I524" s="21">
        <f>Table1[[#This Row],[BRUTTO_monthly_bill_eur]]/1.19</f>
        <v>191.1344537815126</v>
      </c>
      <c r="J524" s="21">
        <f>Table1[[#This Row],[monthly_consumption_kwh]]*Table1[[#This Row],[NETTO_procurement_cost_ct_per_kwh]]/100</f>
        <v>138.9408</v>
      </c>
      <c r="K524" s="21">
        <f>Table1[[#This Row],[NETTO_monthly_revenue(€)]]-Table1[[#This Row],[procurement_cost_(€)]]</f>
        <v>52.193653781512609</v>
      </c>
      <c r="L524" s="21">
        <f t="shared" si="24"/>
        <v>7.9563496618159464</v>
      </c>
      <c r="M524" s="21" t="str">
        <f t="shared" si="25"/>
        <v>28.01.2024</v>
      </c>
      <c r="N524" s="21">
        <f t="shared" si="26"/>
        <v>191.1344537815126</v>
      </c>
    </row>
    <row r="525" spans="1:14">
      <c r="A525" s="9" t="s">
        <v>910</v>
      </c>
      <c r="B525" s="8">
        <v>24</v>
      </c>
      <c r="C525" s="8" t="s">
        <v>39</v>
      </c>
      <c r="D525" s="8" t="s">
        <v>36</v>
      </c>
      <c r="E525" s="8" t="s">
        <v>911</v>
      </c>
      <c r="F525" s="8">
        <v>118</v>
      </c>
      <c r="G525" s="8">
        <v>56.15</v>
      </c>
      <c r="H525" s="10">
        <v>28.74</v>
      </c>
      <c r="I525" s="21">
        <f>Table1[[#This Row],[BRUTTO_monthly_bill_eur]]/1.19</f>
        <v>47.184873949579831</v>
      </c>
      <c r="J525" s="21">
        <f>Table1[[#This Row],[monthly_consumption_kwh]]*Table1[[#This Row],[NETTO_procurement_cost_ct_per_kwh]]/100</f>
        <v>33.913199999999996</v>
      </c>
      <c r="K525" s="21">
        <f>Table1[[#This Row],[NETTO_monthly_revenue(€)]]-Table1[[#This Row],[procurement_cost_(€)]]</f>
        <v>13.271673949579835</v>
      </c>
      <c r="L525" s="21">
        <f t="shared" si="24"/>
        <v>11.247181313203249</v>
      </c>
      <c r="M525" s="21" t="str">
        <f t="shared" si="25"/>
        <v>26.03.2024</v>
      </c>
      <c r="N525" s="21">
        <f t="shared" si="26"/>
        <v>47.184873949579831</v>
      </c>
    </row>
    <row r="526" spans="1:14">
      <c r="A526" s="9" t="s">
        <v>912</v>
      </c>
      <c r="B526" s="8">
        <v>24</v>
      </c>
      <c r="C526" s="8" t="s">
        <v>51</v>
      </c>
      <c r="D526" s="8" t="s">
        <v>36</v>
      </c>
      <c r="E526" s="8" t="s">
        <v>206</v>
      </c>
      <c r="F526" s="8">
        <v>662</v>
      </c>
      <c r="G526" s="8">
        <v>225.77</v>
      </c>
      <c r="H526" s="10">
        <v>18.36</v>
      </c>
      <c r="I526" s="21">
        <f>Table1[[#This Row],[BRUTTO_monthly_bill_eur]]/1.19</f>
        <v>189.72268907563026</v>
      </c>
      <c r="J526" s="21">
        <f>Table1[[#This Row],[monthly_consumption_kwh]]*Table1[[#This Row],[NETTO_procurement_cost_ct_per_kwh]]/100</f>
        <v>121.5432</v>
      </c>
      <c r="K526" s="21">
        <f>Table1[[#This Row],[NETTO_monthly_revenue(€)]]-Table1[[#This Row],[procurement_cost_(€)]]</f>
        <v>68.179489075630258</v>
      </c>
      <c r="L526" s="21">
        <f t="shared" si="24"/>
        <v>10.299016476681308</v>
      </c>
      <c r="M526" s="21" t="str">
        <f t="shared" si="25"/>
        <v>14.03.2025</v>
      </c>
      <c r="N526" s="21">
        <f t="shared" si="26"/>
        <v>189.72268907563026</v>
      </c>
    </row>
    <row r="527" spans="1:14">
      <c r="A527" s="9" t="s">
        <v>913</v>
      </c>
      <c r="B527" s="8">
        <v>12</v>
      </c>
      <c r="C527" s="8" t="s">
        <v>39</v>
      </c>
      <c r="D527" s="8" t="s">
        <v>56</v>
      </c>
      <c r="E527" s="8" t="s">
        <v>914</v>
      </c>
      <c r="F527" s="8">
        <v>139</v>
      </c>
      <c r="G527" s="8">
        <v>60.75</v>
      </c>
      <c r="H527" s="10">
        <v>31.71</v>
      </c>
      <c r="I527" s="21">
        <f>Table1[[#This Row],[BRUTTO_monthly_bill_eur]]/1.19</f>
        <v>51.050420168067227</v>
      </c>
      <c r="J527" s="21">
        <f>Table1[[#This Row],[monthly_consumption_kwh]]*Table1[[#This Row],[NETTO_procurement_cost_ct_per_kwh]]/100</f>
        <v>44.076900000000002</v>
      </c>
      <c r="K527" s="21">
        <f>Table1[[#This Row],[NETTO_monthly_revenue(€)]]-Table1[[#This Row],[procurement_cost_(€)]]</f>
        <v>6.9735201680672247</v>
      </c>
      <c r="L527" s="21">
        <f t="shared" si="24"/>
        <v>5.0169209842210254</v>
      </c>
      <c r="M527" s="21" t="str">
        <f t="shared" si="25"/>
        <v>18.05.2024</v>
      </c>
      <c r="N527" s="21">
        <f t="shared" si="26"/>
        <v>51.050420168067227</v>
      </c>
    </row>
    <row r="528" spans="1:14">
      <c r="A528" s="9" t="s">
        <v>915</v>
      </c>
      <c r="B528" s="8">
        <v>12</v>
      </c>
      <c r="C528" s="8" t="s">
        <v>39</v>
      </c>
      <c r="D528" s="8" t="s">
        <v>56</v>
      </c>
      <c r="E528" s="8" t="s">
        <v>916</v>
      </c>
      <c r="F528" s="8">
        <v>136</v>
      </c>
      <c r="G528" s="8">
        <v>58.98</v>
      </c>
      <c r="H528" s="10">
        <v>28.25</v>
      </c>
      <c r="I528" s="21">
        <f>Table1[[#This Row],[BRUTTO_monthly_bill_eur]]/1.19</f>
        <v>49.563025210084035</v>
      </c>
      <c r="J528" s="21">
        <f>Table1[[#This Row],[monthly_consumption_kwh]]*Table1[[#This Row],[NETTO_procurement_cost_ct_per_kwh]]/100</f>
        <v>38.42</v>
      </c>
      <c r="K528" s="21">
        <f>Table1[[#This Row],[NETTO_monthly_revenue(€)]]-Table1[[#This Row],[procurement_cost_(€)]]</f>
        <v>11.143025210084033</v>
      </c>
      <c r="L528" s="21">
        <f t="shared" si="24"/>
        <v>8.1934008897676716</v>
      </c>
      <c r="M528" s="21" t="str">
        <f t="shared" si="25"/>
        <v>17.04.2025</v>
      </c>
      <c r="N528" s="21">
        <f t="shared" si="26"/>
        <v>49.563025210084035</v>
      </c>
    </row>
    <row r="529" spans="1:14">
      <c r="A529" s="9" t="s">
        <v>917</v>
      </c>
      <c r="B529" s="8">
        <v>12</v>
      </c>
      <c r="C529" s="8" t="s">
        <v>51</v>
      </c>
      <c r="D529" s="8" t="s">
        <v>56</v>
      </c>
      <c r="E529" s="8" t="s">
        <v>918</v>
      </c>
      <c r="F529" s="8">
        <v>388</v>
      </c>
      <c r="G529" s="8">
        <v>136.16</v>
      </c>
      <c r="H529" s="10">
        <v>16.96</v>
      </c>
      <c r="I529" s="21">
        <f>Table1[[#This Row],[BRUTTO_monthly_bill_eur]]/1.19</f>
        <v>114.4201680672269</v>
      </c>
      <c r="J529" s="21">
        <f>Table1[[#This Row],[monthly_consumption_kwh]]*Table1[[#This Row],[NETTO_procurement_cost_ct_per_kwh]]/100</f>
        <v>65.8048</v>
      </c>
      <c r="K529" s="21">
        <f>Table1[[#This Row],[NETTO_monthly_revenue(€)]]-Table1[[#This Row],[procurement_cost_(€)]]</f>
        <v>48.615368067226896</v>
      </c>
      <c r="L529" s="21">
        <f t="shared" si="24"/>
        <v>12.529734037945076</v>
      </c>
      <c r="M529" s="21" t="str">
        <f t="shared" si="25"/>
        <v>05.07.2024</v>
      </c>
      <c r="N529" s="21">
        <f t="shared" si="26"/>
        <v>114.4201680672269</v>
      </c>
    </row>
    <row r="530" spans="1:14">
      <c r="A530" s="9" t="s">
        <v>919</v>
      </c>
      <c r="B530" s="8">
        <v>12</v>
      </c>
      <c r="C530" s="8" t="s">
        <v>35</v>
      </c>
      <c r="D530" s="8" t="s">
        <v>46</v>
      </c>
      <c r="E530" s="8" t="s">
        <v>920</v>
      </c>
      <c r="F530" s="8">
        <v>313</v>
      </c>
      <c r="G530" s="8">
        <v>116.86</v>
      </c>
      <c r="H530" s="10">
        <v>22.65</v>
      </c>
      <c r="I530" s="21">
        <f>Table1[[#This Row],[BRUTTO_monthly_bill_eur]]/1.19</f>
        <v>98.201680672268907</v>
      </c>
      <c r="J530" s="21">
        <f>Table1[[#This Row],[monthly_consumption_kwh]]*Table1[[#This Row],[NETTO_procurement_cost_ct_per_kwh]]/100</f>
        <v>70.894499999999994</v>
      </c>
      <c r="K530" s="21">
        <f>Table1[[#This Row],[NETTO_monthly_revenue(€)]]-Table1[[#This Row],[procurement_cost_(€)]]</f>
        <v>27.307180672268913</v>
      </c>
      <c r="L530" s="21">
        <f t="shared" si="24"/>
        <v>8.7243388729293656</v>
      </c>
      <c r="M530" s="21" t="str">
        <f t="shared" si="25"/>
        <v>2024-02</v>
      </c>
      <c r="N530" s="21">
        <f t="shared" si="26"/>
        <v>98.201680672268907</v>
      </c>
    </row>
    <row r="531" spans="1:14">
      <c r="A531" s="9" t="s">
        <v>921</v>
      </c>
      <c r="B531" s="8">
        <v>24</v>
      </c>
      <c r="C531" s="8" t="s">
        <v>35</v>
      </c>
      <c r="D531" s="8" t="s">
        <v>36</v>
      </c>
      <c r="E531" s="8" t="s">
        <v>922</v>
      </c>
      <c r="F531" s="8">
        <v>238</v>
      </c>
      <c r="G531" s="8">
        <v>89.95</v>
      </c>
      <c r="H531" s="10">
        <v>24.38</v>
      </c>
      <c r="I531" s="21">
        <f>Table1[[#This Row],[BRUTTO_monthly_bill_eur]]/1.19</f>
        <v>75.588235294117652</v>
      </c>
      <c r="J531" s="21">
        <f>Table1[[#This Row],[monthly_consumption_kwh]]*Table1[[#This Row],[NETTO_procurement_cost_ct_per_kwh]]/100</f>
        <v>58.024399999999993</v>
      </c>
      <c r="K531" s="21">
        <f>Table1[[#This Row],[NETTO_monthly_revenue(€)]]-Table1[[#This Row],[procurement_cost_(€)]]</f>
        <v>17.563835294117659</v>
      </c>
      <c r="L531" s="21">
        <f t="shared" si="24"/>
        <v>7.3797627286208662</v>
      </c>
      <c r="M531" s="21" t="str">
        <f t="shared" si="25"/>
        <v>23.09.2024</v>
      </c>
      <c r="N531" s="21">
        <f t="shared" si="26"/>
        <v>75.588235294117652</v>
      </c>
    </row>
    <row r="532" spans="1:14">
      <c r="A532" s="9" t="s">
        <v>923</v>
      </c>
      <c r="B532" s="8">
        <v>24</v>
      </c>
      <c r="C532" s="8" t="s">
        <v>35</v>
      </c>
      <c r="D532" s="8" t="s">
        <v>46</v>
      </c>
      <c r="E532" s="8" t="s">
        <v>164</v>
      </c>
      <c r="F532" s="8">
        <v>194</v>
      </c>
      <c r="G532" s="8">
        <v>74.930000000000007</v>
      </c>
      <c r="H532" s="10">
        <v>22.6</v>
      </c>
      <c r="I532" s="21">
        <f>Table1[[#This Row],[BRUTTO_monthly_bill_eur]]/1.19</f>
        <v>62.966386554621856</v>
      </c>
      <c r="J532" s="21">
        <f>Table1[[#This Row],[monthly_consumption_kwh]]*Table1[[#This Row],[NETTO_procurement_cost_ct_per_kwh]]/100</f>
        <v>43.844000000000008</v>
      </c>
      <c r="K532" s="21">
        <f>Table1[[#This Row],[NETTO_monthly_revenue(€)]]-Table1[[#This Row],[procurement_cost_(€)]]</f>
        <v>19.122386554621848</v>
      </c>
      <c r="L532" s="21">
        <f t="shared" si="24"/>
        <v>9.8569002858875496</v>
      </c>
      <c r="M532" s="21" t="str">
        <f t="shared" si="25"/>
        <v>23.01.2025</v>
      </c>
      <c r="N532" s="21">
        <f t="shared" si="26"/>
        <v>62.966386554621856</v>
      </c>
    </row>
    <row r="533" spans="1:14">
      <c r="A533" s="9" t="s">
        <v>924</v>
      </c>
      <c r="B533" s="8">
        <v>24</v>
      </c>
      <c r="C533" s="8" t="s">
        <v>35</v>
      </c>
      <c r="D533" s="8" t="s">
        <v>46</v>
      </c>
      <c r="E533" s="8" t="s">
        <v>925</v>
      </c>
      <c r="F533" s="8">
        <v>169</v>
      </c>
      <c r="G533" s="8">
        <v>66.569999999999993</v>
      </c>
      <c r="H533" s="10">
        <v>0.26</v>
      </c>
      <c r="I533" s="21">
        <f>Table1[[#This Row],[BRUTTO_monthly_bill_eur]]/1.19</f>
        <v>55.941176470588232</v>
      </c>
      <c r="J533" s="21">
        <f>Table1[[#This Row],[monthly_consumption_kwh]]*Table1[[#This Row],[NETTO_procurement_cost_ct_per_kwh]]/100</f>
        <v>0.43940000000000007</v>
      </c>
      <c r="K533" s="21">
        <f>Table1[[#This Row],[NETTO_monthly_revenue(€)]]-Table1[[#This Row],[procurement_cost_(€)]]</f>
        <v>55.501776470588233</v>
      </c>
      <c r="L533" s="21">
        <f t="shared" si="24"/>
        <v>32.841287852419072</v>
      </c>
      <c r="M533" s="21" t="str">
        <f t="shared" si="25"/>
        <v>2024-12</v>
      </c>
      <c r="N533" s="21">
        <f t="shared" si="26"/>
        <v>55.941176470588232</v>
      </c>
    </row>
    <row r="534" spans="1:14">
      <c r="A534" s="9" t="s">
        <v>926</v>
      </c>
      <c r="B534" s="8">
        <v>24</v>
      </c>
      <c r="C534" s="8" t="s">
        <v>39</v>
      </c>
      <c r="D534" s="8" t="s">
        <v>36</v>
      </c>
      <c r="E534" s="8" t="s">
        <v>185</v>
      </c>
      <c r="F534" s="8">
        <v>130</v>
      </c>
      <c r="G534" s="8">
        <v>54.4</v>
      </c>
      <c r="H534" s="10">
        <v>29.79</v>
      </c>
      <c r="I534" s="21">
        <f>Table1[[#This Row],[BRUTTO_monthly_bill_eur]]/1.19</f>
        <v>45.714285714285715</v>
      </c>
      <c r="J534" s="21">
        <f>Table1[[#This Row],[monthly_consumption_kwh]]*Table1[[#This Row],[NETTO_procurement_cost_ct_per_kwh]]/100</f>
        <v>38.726999999999997</v>
      </c>
      <c r="K534" s="21">
        <f>Table1[[#This Row],[NETTO_monthly_revenue(€)]]-Table1[[#This Row],[procurement_cost_(€)]]</f>
        <v>6.9872857142857185</v>
      </c>
      <c r="L534" s="21">
        <f t="shared" si="24"/>
        <v>5.3748351648351678</v>
      </c>
      <c r="M534" s="21" t="str">
        <f t="shared" si="25"/>
        <v>04.08.2024</v>
      </c>
      <c r="N534" s="21">
        <f t="shared" si="26"/>
        <v>45.714285714285715</v>
      </c>
    </row>
    <row r="535" spans="1:14">
      <c r="A535" s="9" t="s">
        <v>927</v>
      </c>
      <c r="B535" s="8">
        <v>24</v>
      </c>
      <c r="C535" s="8" t="s">
        <v>51</v>
      </c>
      <c r="D535" s="8" t="s">
        <v>36</v>
      </c>
      <c r="E535" s="8" t="s">
        <v>448</v>
      </c>
      <c r="F535" s="8">
        <v>509</v>
      </c>
      <c r="G535" s="8">
        <v>168.02</v>
      </c>
      <c r="H535" s="10">
        <v>19.010000000000002</v>
      </c>
      <c r="I535" s="21">
        <f>Table1[[#This Row],[BRUTTO_monthly_bill_eur]]/1.19</f>
        <v>141.19327731092437</v>
      </c>
      <c r="J535" s="21">
        <f>Table1[[#This Row],[monthly_consumption_kwh]]*Table1[[#This Row],[NETTO_procurement_cost_ct_per_kwh]]/100</f>
        <v>96.760900000000007</v>
      </c>
      <c r="K535" s="21">
        <f>Table1[[#This Row],[NETTO_monthly_revenue(€)]]-Table1[[#This Row],[procurement_cost_(€)]]</f>
        <v>44.432377310924366</v>
      </c>
      <c r="L535" s="21">
        <f t="shared" si="24"/>
        <v>8.7293472123623506</v>
      </c>
      <c r="M535" s="21" t="str">
        <f t="shared" si="25"/>
        <v>10.04.2025</v>
      </c>
      <c r="N535" s="21">
        <f t="shared" si="26"/>
        <v>141.19327731092437</v>
      </c>
    </row>
    <row r="536" spans="1:14">
      <c r="A536" s="9" t="s">
        <v>928</v>
      </c>
      <c r="B536" s="8">
        <v>24</v>
      </c>
      <c r="C536" s="8" t="s">
        <v>51</v>
      </c>
      <c r="D536" s="8" t="s">
        <v>46</v>
      </c>
      <c r="E536" s="8" t="s">
        <v>723</v>
      </c>
      <c r="F536" s="8">
        <v>573</v>
      </c>
      <c r="G536" s="8">
        <v>196.08</v>
      </c>
      <c r="H536" s="10">
        <v>17.73</v>
      </c>
      <c r="I536" s="21">
        <f>Table1[[#This Row],[BRUTTO_monthly_bill_eur]]/1.19</f>
        <v>164.77310924369749</v>
      </c>
      <c r="J536" s="21">
        <f>Table1[[#This Row],[monthly_consumption_kwh]]*Table1[[#This Row],[NETTO_procurement_cost_ct_per_kwh]]/100</f>
        <v>101.59290000000001</v>
      </c>
      <c r="K536" s="21">
        <f>Table1[[#This Row],[NETTO_monthly_revenue(€)]]-Table1[[#This Row],[procurement_cost_(€)]]</f>
        <v>63.180209243697476</v>
      </c>
      <c r="L536" s="21">
        <f t="shared" si="24"/>
        <v>11.026214527695895</v>
      </c>
      <c r="M536" s="21" t="str">
        <f t="shared" si="25"/>
        <v>30.11.2024</v>
      </c>
      <c r="N536" s="21">
        <f t="shared" si="26"/>
        <v>164.77310924369749</v>
      </c>
    </row>
    <row r="537" spans="1:14">
      <c r="A537" s="9" t="s">
        <v>929</v>
      </c>
      <c r="B537" s="8">
        <v>24</v>
      </c>
      <c r="C537" s="8" t="s">
        <v>35</v>
      </c>
      <c r="D537" s="8" t="s">
        <v>36</v>
      </c>
      <c r="E537" s="8" t="s">
        <v>930</v>
      </c>
      <c r="F537" s="8">
        <v>315</v>
      </c>
      <c r="G537" s="8">
        <v>121.76</v>
      </c>
      <c r="H537" s="10">
        <v>23.88</v>
      </c>
      <c r="I537" s="21">
        <f>Table1[[#This Row],[BRUTTO_monthly_bill_eur]]/1.19</f>
        <v>102.31932773109244</v>
      </c>
      <c r="J537" s="21">
        <f>Table1[[#This Row],[monthly_consumption_kwh]]*Table1[[#This Row],[NETTO_procurement_cost_ct_per_kwh]]/100</f>
        <v>75.221999999999994</v>
      </c>
      <c r="K537" s="21">
        <f>Table1[[#This Row],[NETTO_monthly_revenue(€)]]-Table1[[#This Row],[procurement_cost_(€)]]</f>
        <v>27.097327731092449</v>
      </c>
      <c r="L537" s="21">
        <f t="shared" si="24"/>
        <v>8.6023262638388722</v>
      </c>
      <c r="M537" s="21" t="str">
        <f t="shared" si="25"/>
        <v>11.12.2024</v>
      </c>
      <c r="N537" s="21">
        <f t="shared" si="26"/>
        <v>102.31932773109244</v>
      </c>
    </row>
    <row r="538" spans="1:14">
      <c r="A538" s="9" t="s">
        <v>931</v>
      </c>
      <c r="B538" s="8">
        <v>24</v>
      </c>
      <c r="C538" s="8" t="s">
        <v>39</v>
      </c>
      <c r="D538" s="8" t="s">
        <v>46</v>
      </c>
      <c r="E538" s="8" t="s">
        <v>164</v>
      </c>
      <c r="F538" s="8">
        <v>90</v>
      </c>
      <c r="G538" s="8">
        <v>42.37</v>
      </c>
      <c r="H538" s="10">
        <v>30.65</v>
      </c>
      <c r="I538" s="21">
        <f>Table1[[#This Row],[BRUTTO_monthly_bill_eur]]/1.19</f>
        <v>35.605042016806721</v>
      </c>
      <c r="J538" s="21">
        <f>Table1[[#This Row],[monthly_consumption_kwh]]*Table1[[#This Row],[NETTO_procurement_cost_ct_per_kwh]]/100</f>
        <v>27.585000000000001</v>
      </c>
      <c r="K538" s="21">
        <f>Table1[[#This Row],[NETTO_monthly_revenue(€)]]-Table1[[#This Row],[procurement_cost_(€)]]</f>
        <v>8.0200420168067197</v>
      </c>
      <c r="L538" s="21">
        <f t="shared" si="24"/>
        <v>8.91115779645191</v>
      </c>
      <c r="M538" s="21" t="str">
        <f t="shared" si="25"/>
        <v>23.01.2025</v>
      </c>
      <c r="N538" s="21">
        <f t="shared" si="26"/>
        <v>35.605042016806721</v>
      </c>
    </row>
    <row r="539" spans="1:14">
      <c r="A539" s="9" t="s">
        <v>932</v>
      </c>
      <c r="B539" s="8">
        <v>12</v>
      </c>
      <c r="C539" s="8" t="s">
        <v>35</v>
      </c>
      <c r="D539" s="8" t="s">
        <v>46</v>
      </c>
      <c r="E539" s="8" t="s">
        <v>81</v>
      </c>
      <c r="F539" s="8">
        <v>288</v>
      </c>
      <c r="G539" s="8">
        <v>109.53</v>
      </c>
      <c r="H539" s="10">
        <v>25</v>
      </c>
      <c r="I539" s="21">
        <f>Table1[[#This Row],[BRUTTO_monthly_bill_eur]]/1.19</f>
        <v>92.0420168067227</v>
      </c>
      <c r="J539" s="21">
        <f>Table1[[#This Row],[monthly_consumption_kwh]]*Table1[[#This Row],[NETTO_procurement_cost_ct_per_kwh]]/100</f>
        <v>72</v>
      </c>
      <c r="K539" s="21">
        <f>Table1[[#This Row],[NETTO_monthly_revenue(€)]]-Table1[[#This Row],[procurement_cost_(€)]]</f>
        <v>20.0420168067227</v>
      </c>
      <c r="L539" s="21">
        <f t="shared" si="24"/>
        <v>6.9590336134453814</v>
      </c>
      <c r="M539" s="21" t="str">
        <f t="shared" si="25"/>
        <v>11.10.2024</v>
      </c>
      <c r="N539" s="21">
        <f t="shared" si="26"/>
        <v>92.0420168067227</v>
      </c>
    </row>
    <row r="540" spans="1:14">
      <c r="A540" s="9" t="s">
        <v>933</v>
      </c>
      <c r="B540" s="8">
        <v>12</v>
      </c>
      <c r="C540" s="8" t="s">
        <v>39</v>
      </c>
      <c r="D540" s="8" t="s">
        <v>56</v>
      </c>
      <c r="E540" s="8" t="s">
        <v>934</v>
      </c>
      <c r="F540" s="8">
        <v>99</v>
      </c>
      <c r="G540" s="8">
        <v>47.02</v>
      </c>
      <c r="H540" s="10">
        <v>31.02</v>
      </c>
      <c r="I540" s="21">
        <f>Table1[[#This Row],[BRUTTO_monthly_bill_eur]]/1.19</f>
        <v>39.512605042016808</v>
      </c>
      <c r="J540" s="21">
        <f>Table1[[#This Row],[monthly_consumption_kwh]]*Table1[[#This Row],[NETTO_procurement_cost_ct_per_kwh]]/100</f>
        <v>30.709800000000001</v>
      </c>
      <c r="K540" s="21">
        <f>Table1[[#This Row],[NETTO_monthly_revenue(€)]]-Table1[[#This Row],[procurement_cost_(€)]]</f>
        <v>8.8028050420168071</v>
      </c>
      <c r="L540" s="21">
        <f t="shared" si="24"/>
        <v>8.8917222646634411</v>
      </c>
      <c r="M540" s="21" t="str">
        <f t="shared" si="25"/>
        <v>2025-03</v>
      </c>
      <c r="N540" s="21">
        <f t="shared" si="26"/>
        <v>39.512605042016808</v>
      </c>
    </row>
    <row r="541" spans="1:14">
      <c r="A541" s="9" t="s">
        <v>935</v>
      </c>
      <c r="B541" s="8">
        <v>12</v>
      </c>
      <c r="C541" s="8" t="s">
        <v>39</v>
      </c>
      <c r="D541" s="8" t="s">
        <v>36</v>
      </c>
      <c r="E541" s="8" t="s">
        <v>936</v>
      </c>
      <c r="F541" s="8">
        <v>155</v>
      </c>
      <c r="G541" s="8">
        <v>61.7</v>
      </c>
      <c r="H541" s="10">
        <v>30.31</v>
      </c>
      <c r="I541" s="21">
        <f>Table1[[#This Row],[BRUTTO_monthly_bill_eur]]/1.19</f>
        <v>51.848739495798327</v>
      </c>
      <c r="J541" s="21">
        <f>Table1[[#This Row],[monthly_consumption_kwh]]*Table1[[#This Row],[NETTO_procurement_cost_ct_per_kwh]]/100</f>
        <v>46.980499999999999</v>
      </c>
      <c r="K541" s="21">
        <f>Table1[[#This Row],[NETTO_monthly_revenue(€)]]-Table1[[#This Row],[procurement_cost_(€)]]</f>
        <v>4.8682394957983277</v>
      </c>
      <c r="L541" s="21">
        <f t="shared" si="24"/>
        <v>3.1407996747085982</v>
      </c>
      <c r="M541" s="21" t="str">
        <f t="shared" si="25"/>
        <v>15.09.2024</v>
      </c>
      <c r="N541" s="21">
        <f t="shared" si="26"/>
        <v>51.848739495798327</v>
      </c>
    </row>
    <row r="542" spans="1:14">
      <c r="A542" s="9" t="s">
        <v>937</v>
      </c>
      <c r="B542" s="8">
        <v>24</v>
      </c>
      <c r="C542" s="8" t="s">
        <v>39</v>
      </c>
      <c r="D542" s="8" t="s">
        <v>36</v>
      </c>
      <c r="E542" s="8" t="s">
        <v>493</v>
      </c>
      <c r="F542" s="8">
        <v>152</v>
      </c>
      <c r="G542" s="8">
        <v>64.89</v>
      </c>
      <c r="H542" s="10">
        <v>31.62</v>
      </c>
      <c r="I542" s="21">
        <f>Table1[[#This Row],[BRUTTO_monthly_bill_eur]]/1.19</f>
        <v>54.529411764705884</v>
      </c>
      <c r="J542" s="21">
        <f>Table1[[#This Row],[monthly_consumption_kwh]]*Table1[[#This Row],[NETTO_procurement_cost_ct_per_kwh]]/100</f>
        <v>48.062399999999997</v>
      </c>
      <c r="K542" s="21">
        <f>Table1[[#This Row],[NETTO_monthly_revenue(€)]]-Table1[[#This Row],[procurement_cost_(€)]]</f>
        <v>6.4670117647058873</v>
      </c>
      <c r="L542" s="21">
        <f t="shared" si="24"/>
        <v>4.2546130030959786</v>
      </c>
      <c r="M542" s="21" t="str">
        <f t="shared" si="25"/>
        <v>24.03.2024</v>
      </c>
      <c r="N542" s="21">
        <f t="shared" si="26"/>
        <v>54.529411764705884</v>
      </c>
    </row>
    <row r="543" spans="1:14">
      <c r="A543" s="9" t="s">
        <v>938</v>
      </c>
      <c r="B543" s="8">
        <v>24</v>
      </c>
      <c r="C543" s="8" t="s">
        <v>35</v>
      </c>
      <c r="D543" s="8" t="s">
        <v>46</v>
      </c>
      <c r="E543" s="8" t="s">
        <v>646</v>
      </c>
      <c r="F543" s="8">
        <v>257</v>
      </c>
      <c r="G543" s="8">
        <v>101.28</v>
      </c>
      <c r="H543" s="10">
        <v>25.27</v>
      </c>
      <c r="I543" s="21">
        <f>Table1[[#This Row],[BRUTTO_monthly_bill_eur]]/1.19</f>
        <v>85.109243697479002</v>
      </c>
      <c r="J543" s="21">
        <f>Table1[[#This Row],[monthly_consumption_kwh]]*Table1[[#This Row],[NETTO_procurement_cost_ct_per_kwh]]/100</f>
        <v>64.943899999999999</v>
      </c>
      <c r="K543" s="21">
        <f>Table1[[#This Row],[NETTO_monthly_revenue(€)]]-Table1[[#This Row],[procurement_cost_(€)]]</f>
        <v>20.165343697479003</v>
      </c>
      <c r="L543" s="21">
        <f t="shared" si="24"/>
        <v>7.846437236373152</v>
      </c>
      <c r="M543" s="21" t="str">
        <f t="shared" si="25"/>
        <v>26.04.2025</v>
      </c>
      <c r="N543" s="21">
        <f t="shared" si="26"/>
        <v>85.109243697479002</v>
      </c>
    </row>
    <row r="544" spans="1:14">
      <c r="A544" s="9" t="s">
        <v>939</v>
      </c>
      <c r="B544" s="8">
        <v>12</v>
      </c>
      <c r="C544" s="8" t="s">
        <v>51</v>
      </c>
      <c r="D544" s="8" t="s">
        <v>36</v>
      </c>
      <c r="E544" s="8" t="s">
        <v>283</v>
      </c>
      <c r="F544" s="8">
        <v>570</v>
      </c>
      <c r="G544" s="8">
        <v>180.54</v>
      </c>
      <c r="H544" s="10">
        <v>20.29</v>
      </c>
      <c r="I544" s="21">
        <f>Table1[[#This Row],[BRUTTO_monthly_bill_eur]]/1.19</f>
        <v>151.71428571428572</v>
      </c>
      <c r="J544" s="21">
        <f>Table1[[#This Row],[monthly_consumption_kwh]]*Table1[[#This Row],[NETTO_procurement_cost_ct_per_kwh]]/100</f>
        <v>115.65299999999999</v>
      </c>
      <c r="K544" s="21">
        <f>Table1[[#This Row],[NETTO_monthly_revenue(€)]]-Table1[[#This Row],[procurement_cost_(€)]]</f>
        <v>36.061285714285731</v>
      </c>
      <c r="L544" s="21">
        <f t="shared" si="24"/>
        <v>6.3265413533834618</v>
      </c>
      <c r="M544" s="21" t="str">
        <f t="shared" si="25"/>
        <v>20.01.2024</v>
      </c>
      <c r="N544" s="21">
        <f t="shared" si="26"/>
        <v>151.71428571428572</v>
      </c>
    </row>
    <row r="545" spans="1:14">
      <c r="A545" s="9" t="s">
        <v>940</v>
      </c>
      <c r="B545" s="8">
        <v>24</v>
      </c>
      <c r="C545" s="8" t="s">
        <v>35</v>
      </c>
      <c r="D545" s="8" t="s">
        <v>46</v>
      </c>
      <c r="E545" s="8" t="s">
        <v>941</v>
      </c>
      <c r="F545" s="8">
        <v>219</v>
      </c>
      <c r="G545" s="8">
        <v>82.94</v>
      </c>
      <c r="H545" s="10">
        <v>22.22</v>
      </c>
      <c r="I545" s="21">
        <f>Table1[[#This Row],[BRUTTO_monthly_bill_eur]]/1.19</f>
        <v>69.69747899159664</v>
      </c>
      <c r="J545" s="21">
        <f>Table1[[#This Row],[monthly_consumption_kwh]]*Table1[[#This Row],[NETTO_procurement_cost_ct_per_kwh]]/100</f>
        <v>48.661799999999992</v>
      </c>
      <c r="K545" s="21">
        <f>Table1[[#This Row],[NETTO_monthly_revenue(€)]]-Table1[[#This Row],[procurement_cost_(€)]]</f>
        <v>21.035678991596647</v>
      </c>
      <c r="L545" s="21">
        <f t="shared" si="24"/>
        <v>9.6053328728751808</v>
      </c>
      <c r="M545" s="21" t="str">
        <f t="shared" si="25"/>
        <v>23.02.2024</v>
      </c>
      <c r="N545" s="21">
        <f t="shared" si="26"/>
        <v>69.69747899159664</v>
      </c>
    </row>
    <row r="546" spans="1:14">
      <c r="A546" s="9" t="s">
        <v>942</v>
      </c>
      <c r="B546" s="8">
        <v>24</v>
      </c>
      <c r="C546" s="8" t="s">
        <v>35</v>
      </c>
      <c r="D546" s="8" t="s">
        <v>46</v>
      </c>
      <c r="E546" s="8" t="s">
        <v>654</v>
      </c>
      <c r="F546" s="8">
        <v>245</v>
      </c>
      <c r="G546" s="8">
        <v>96.37</v>
      </c>
      <c r="H546" s="10">
        <v>22.03</v>
      </c>
      <c r="I546" s="21">
        <f>Table1[[#This Row],[BRUTTO_monthly_bill_eur]]/1.19</f>
        <v>80.983193277310932</v>
      </c>
      <c r="J546" s="21">
        <f>Table1[[#This Row],[monthly_consumption_kwh]]*Table1[[#This Row],[NETTO_procurement_cost_ct_per_kwh]]/100</f>
        <v>53.973500000000001</v>
      </c>
      <c r="K546" s="21">
        <f>Table1[[#This Row],[NETTO_monthly_revenue(€)]]-Table1[[#This Row],[procurement_cost_(€)]]</f>
        <v>27.00969327731093</v>
      </c>
      <c r="L546" s="21">
        <f t="shared" si="24"/>
        <v>11.024364602984054</v>
      </c>
      <c r="M546" s="21" t="str">
        <f t="shared" si="25"/>
        <v>24.12.2024</v>
      </c>
      <c r="N546" s="21">
        <f t="shared" si="26"/>
        <v>80.983193277310932</v>
      </c>
    </row>
    <row r="547" spans="1:14">
      <c r="A547" s="9" t="s">
        <v>943</v>
      </c>
      <c r="B547" s="8">
        <v>12</v>
      </c>
      <c r="C547" s="8" t="s">
        <v>35</v>
      </c>
      <c r="D547" s="8" t="s">
        <v>36</v>
      </c>
      <c r="E547" s="8" t="s">
        <v>944</v>
      </c>
      <c r="F547" s="8">
        <v>303</v>
      </c>
      <c r="G547" s="8">
        <v>116.57</v>
      </c>
      <c r="H547" s="10">
        <v>22.85</v>
      </c>
      <c r="I547" s="21">
        <f>Table1[[#This Row],[BRUTTO_monthly_bill_eur]]/1.19</f>
        <v>97.957983193277315</v>
      </c>
      <c r="J547" s="21">
        <f>Table1[[#This Row],[monthly_consumption_kwh]]*Table1[[#This Row],[NETTO_procurement_cost_ct_per_kwh]]/100</f>
        <v>69.235500000000002</v>
      </c>
      <c r="K547" s="21">
        <f>Table1[[#This Row],[NETTO_monthly_revenue(€)]]-Table1[[#This Row],[procurement_cost_(€)]]</f>
        <v>28.722483193277313</v>
      </c>
      <c r="L547" s="21">
        <f t="shared" si="24"/>
        <v>9.4793673905205651</v>
      </c>
      <c r="M547" s="21" t="str">
        <f t="shared" si="25"/>
        <v>17.08.2024</v>
      </c>
      <c r="N547" s="21">
        <f t="shared" si="26"/>
        <v>97.957983193277315</v>
      </c>
    </row>
    <row r="548" spans="1:14">
      <c r="A548" s="9" t="s">
        <v>945</v>
      </c>
      <c r="B548" s="8">
        <v>12</v>
      </c>
      <c r="C548" s="8" t="s">
        <v>39</v>
      </c>
      <c r="D548" s="8" t="s">
        <v>36</v>
      </c>
      <c r="E548" s="8" t="s">
        <v>300</v>
      </c>
      <c r="F548" s="8">
        <v>122</v>
      </c>
      <c r="G548" s="8">
        <v>50.17</v>
      </c>
      <c r="H548" s="10">
        <v>30.65</v>
      </c>
      <c r="I548" s="21">
        <f>Table1[[#This Row],[BRUTTO_monthly_bill_eur]]/1.19</f>
        <v>42.159663865546221</v>
      </c>
      <c r="J548" s="21">
        <f>Table1[[#This Row],[monthly_consumption_kwh]]*Table1[[#This Row],[NETTO_procurement_cost_ct_per_kwh]]/100</f>
        <v>37.393000000000001</v>
      </c>
      <c r="K548" s="21">
        <f>Table1[[#This Row],[NETTO_monthly_revenue(€)]]-Table1[[#This Row],[procurement_cost_(€)]]</f>
        <v>4.7666638655462208</v>
      </c>
      <c r="L548" s="21">
        <f t="shared" si="24"/>
        <v>3.9071015291362463</v>
      </c>
      <c r="M548" s="21" t="str">
        <f t="shared" si="25"/>
        <v>11.03.2024</v>
      </c>
      <c r="N548" s="21">
        <f t="shared" si="26"/>
        <v>42.159663865546221</v>
      </c>
    </row>
    <row r="549" spans="1:14">
      <c r="A549" s="9" t="s">
        <v>946</v>
      </c>
      <c r="B549" s="8">
        <v>24</v>
      </c>
      <c r="C549" s="8" t="s">
        <v>35</v>
      </c>
      <c r="D549" s="8" t="s">
        <v>36</v>
      </c>
      <c r="E549" s="8" t="s">
        <v>947</v>
      </c>
      <c r="F549" s="8">
        <v>226</v>
      </c>
      <c r="G549" s="8">
        <v>88.74</v>
      </c>
      <c r="H549" s="10">
        <v>23.64</v>
      </c>
      <c r="I549" s="21">
        <f>Table1[[#This Row],[BRUTTO_monthly_bill_eur]]/1.19</f>
        <v>74.571428571428569</v>
      </c>
      <c r="J549" s="21">
        <f>Table1[[#This Row],[monthly_consumption_kwh]]*Table1[[#This Row],[NETTO_procurement_cost_ct_per_kwh]]/100</f>
        <v>53.426400000000001</v>
      </c>
      <c r="K549" s="21">
        <f>Table1[[#This Row],[NETTO_monthly_revenue(€)]]-Table1[[#This Row],[procurement_cost_(€)]]</f>
        <v>21.145028571428568</v>
      </c>
      <c r="L549" s="21">
        <f t="shared" si="24"/>
        <v>9.3562073324905164</v>
      </c>
      <c r="M549" s="21" t="str">
        <f t="shared" si="25"/>
        <v>11.02.2024</v>
      </c>
      <c r="N549" s="21">
        <f t="shared" si="26"/>
        <v>74.571428571428569</v>
      </c>
    </row>
    <row r="550" spans="1:14">
      <c r="A550" s="9" t="s">
        <v>948</v>
      </c>
      <c r="B550" s="8">
        <v>12</v>
      </c>
      <c r="C550" s="8" t="s">
        <v>51</v>
      </c>
      <c r="D550" s="8" t="s">
        <v>36</v>
      </c>
      <c r="E550" s="8" t="s">
        <v>949</v>
      </c>
      <c r="F550" s="8">
        <v>498</v>
      </c>
      <c r="G550" s="8">
        <v>168.8</v>
      </c>
      <c r="H550" s="10">
        <v>18.510000000000002</v>
      </c>
      <c r="I550" s="21">
        <f>Table1[[#This Row],[BRUTTO_monthly_bill_eur]]/1.19</f>
        <v>141.84873949579833</v>
      </c>
      <c r="J550" s="21">
        <f>Table1[[#This Row],[monthly_consumption_kwh]]*Table1[[#This Row],[NETTO_procurement_cost_ct_per_kwh]]/100</f>
        <v>92.179800000000014</v>
      </c>
      <c r="K550" s="21">
        <f>Table1[[#This Row],[NETTO_monthly_revenue(€)]]-Table1[[#This Row],[procurement_cost_(€)]]</f>
        <v>49.668939495798313</v>
      </c>
      <c r="L550" s="21">
        <f t="shared" si="24"/>
        <v>9.9736826296783772</v>
      </c>
      <c r="M550" s="21" t="str">
        <f t="shared" si="25"/>
        <v>01.02.2024</v>
      </c>
      <c r="N550" s="21">
        <f t="shared" si="26"/>
        <v>141.84873949579833</v>
      </c>
    </row>
    <row r="551" spans="1:14">
      <c r="A551" s="9" t="s">
        <v>950</v>
      </c>
      <c r="B551" s="8">
        <v>24</v>
      </c>
      <c r="C551" s="8" t="s">
        <v>39</v>
      </c>
      <c r="D551" s="8" t="s">
        <v>56</v>
      </c>
      <c r="E551" s="8" t="s">
        <v>333</v>
      </c>
      <c r="F551" s="8">
        <v>153</v>
      </c>
      <c r="G551" s="8">
        <v>68.02</v>
      </c>
      <c r="H551" s="10">
        <v>31.54</v>
      </c>
      <c r="I551" s="21">
        <f>Table1[[#This Row],[BRUTTO_monthly_bill_eur]]/1.19</f>
        <v>57.159663865546214</v>
      </c>
      <c r="J551" s="21">
        <f>Table1[[#This Row],[monthly_consumption_kwh]]*Table1[[#This Row],[NETTO_procurement_cost_ct_per_kwh]]/100</f>
        <v>48.2562</v>
      </c>
      <c r="K551" s="21">
        <f>Table1[[#This Row],[NETTO_monthly_revenue(€)]]-Table1[[#This Row],[procurement_cost_(€)]]</f>
        <v>8.9034638655462146</v>
      </c>
      <c r="L551" s="21">
        <f t="shared" si="24"/>
        <v>5.8192574284615777</v>
      </c>
      <c r="M551" s="21" t="str">
        <f t="shared" si="25"/>
        <v>10.09.2024</v>
      </c>
      <c r="N551" s="21">
        <f t="shared" si="26"/>
        <v>57.159663865546214</v>
      </c>
    </row>
    <row r="552" spans="1:14">
      <c r="A552" s="9" t="s">
        <v>951</v>
      </c>
      <c r="B552" s="8">
        <v>12</v>
      </c>
      <c r="C552" s="8" t="s">
        <v>51</v>
      </c>
      <c r="D552" s="8" t="s">
        <v>56</v>
      </c>
      <c r="E552" s="8" t="s">
        <v>650</v>
      </c>
      <c r="F552" s="8">
        <v>445</v>
      </c>
      <c r="G552" s="8">
        <v>157.57</v>
      </c>
      <c r="H552" s="10">
        <v>20.98</v>
      </c>
      <c r="I552" s="21">
        <f>Table1[[#This Row],[BRUTTO_monthly_bill_eur]]/1.19</f>
        <v>132.41176470588235</v>
      </c>
      <c r="J552" s="21">
        <f>Table1[[#This Row],[monthly_consumption_kwh]]*Table1[[#This Row],[NETTO_procurement_cost_ct_per_kwh]]/100</f>
        <v>93.361000000000004</v>
      </c>
      <c r="K552" s="21">
        <f>Table1[[#This Row],[NETTO_monthly_revenue(€)]]-Table1[[#This Row],[procurement_cost_(€)]]</f>
        <v>39.050764705882344</v>
      </c>
      <c r="L552" s="21">
        <f t="shared" si="24"/>
        <v>8.7754527428949078</v>
      </c>
      <c r="M552" s="21" t="str">
        <f t="shared" si="25"/>
        <v>23.07.2024</v>
      </c>
      <c r="N552" s="21">
        <f t="shared" si="26"/>
        <v>132.41176470588235</v>
      </c>
    </row>
    <row r="553" spans="1:14">
      <c r="A553" s="9" t="s">
        <v>952</v>
      </c>
      <c r="B553" s="8">
        <v>24</v>
      </c>
      <c r="C553" s="8" t="s">
        <v>35</v>
      </c>
      <c r="D553" s="8" t="s">
        <v>46</v>
      </c>
      <c r="E553" s="8" t="s">
        <v>879</v>
      </c>
      <c r="F553" s="8">
        <v>196</v>
      </c>
      <c r="G553" s="8">
        <v>77.31</v>
      </c>
      <c r="H553" s="10">
        <v>25.64</v>
      </c>
      <c r="I553" s="21">
        <f>Table1[[#This Row],[BRUTTO_monthly_bill_eur]]/1.19</f>
        <v>64.966386554621849</v>
      </c>
      <c r="J553" s="21">
        <f>Table1[[#This Row],[monthly_consumption_kwh]]*Table1[[#This Row],[NETTO_procurement_cost_ct_per_kwh]]/100</f>
        <v>50.254400000000004</v>
      </c>
      <c r="K553" s="21">
        <f>Table1[[#This Row],[NETTO_monthly_revenue(€)]]-Table1[[#This Row],[procurement_cost_(€)]]</f>
        <v>14.711986554621845</v>
      </c>
      <c r="L553" s="21">
        <f t="shared" si="24"/>
        <v>7.5061155890927784</v>
      </c>
      <c r="M553" s="21" t="str">
        <f t="shared" si="25"/>
        <v>21.01.2024</v>
      </c>
      <c r="N553" s="21">
        <f t="shared" si="26"/>
        <v>64.966386554621849</v>
      </c>
    </row>
    <row r="554" spans="1:14">
      <c r="A554" s="9" t="s">
        <v>953</v>
      </c>
      <c r="B554" s="8">
        <v>24</v>
      </c>
      <c r="C554" s="8" t="s">
        <v>35</v>
      </c>
      <c r="D554" s="8" t="s">
        <v>46</v>
      </c>
      <c r="E554" s="8" t="s">
        <v>269</v>
      </c>
      <c r="F554" s="8">
        <v>285</v>
      </c>
      <c r="G554" s="8">
        <v>104.08</v>
      </c>
      <c r="H554" s="10">
        <v>25.26</v>
      </c>
      <c r="I554" s="21">
        <f>Table1[[#This Row],[BRUTTO_monthly_bill_eur]]/1.19</f>
        <v>87.462184873949582</v>
      </c>
      <c r="J554" s="21">
        <f>Table1[[#This Row],[monthly_consumption_kwh]]*Table1[[#This Row],[NETTO_procurement_cost_ct_per_kwh]]/100</f>
        <v>71.991</v>
      </c>
      <c r="K554" s="21">
        <f>Table1[[#This Row],[NETTO_monthly_revenue(€)]]-Table1[[#This Row],[procurement_cost_(€)]]</f>
        <v>15.471184873949582</v>
      </c>
      <c r="L554" s="21">
        <f t="shared" si="24"/>
        <v>5.4284859206840643</v>
      </c>
      <c r="M554" s="21" t="str">
        <f t="shared" si="25"/>
        <v>05.06.2024</v>
      </c>
      <c r="N554" s="21">
        <f t="shared" si="26"/>
        <v>87.462184873949582</v>
      </c>
    </row>
    <row r="555" spans="1:14">
      <c r="A555" s="9" t="s">
        <v>954</v>
      </c>
      <c r="B555" s="8">
        <v>24</v>
      </c>
      <c r="C555" s="8" t="s">
        <v>35</v>
      </c>
      <c r="D555" s="8" t="s">
        <v>36</v>
      </c>
      <c r="E555" s="8" t="s">
        <v>955</v>
      </c>
      <c r="F555" s="8">
        <v>304</v>
      </c>
      <c r="G555" s="8">
        <v>119.41</v>
      </c>
      <c r="H555" s="10">
        <v>24.76</v>
      </c>
      <c r="I555" s="21">
        <f>Table1[[#This Row],[BRUTTO_monthly_bill_eur]]/1.19</f>
        <v>100.34453781512605</v>
      </c>
      <c r="J555" s="21">
        <f>Table1[[#This Row],[monthly_consumption_kwh]]*Table1[[#This Row],[NETTO_procurement_cost_ct_per_kwh]]/100</f>
        <v>75.270400000000009</v>
      </c>
      <c r="K555" s="21">
        <f>Table1[[#This Row],[NETTO_monthly_revenue(€)]]-Table1[[#This Row],[procurement_cost_(€)]]</f>
        <v>25.074137815126036</v>
      </c>
      <c r="L555" s="21">
        <f t="shared" si="24"/>
        <v>8.2480716497125108</v>
      </c>
      <c r="M555" s="21" t="str">
        <f t="shared" si="25"/>
        <v>2024-09</v>
      </c>
      <c r="N555" s="21">
        <f t="shared" si="26"/>
        <v>100.34453781512605</v>
      </c>
    </row>
    <row r="556" spans="1:14">
      <c r="A556" s="9" t="s">
        <v>956</v>
      </c>
      <c r="B556" s="8">
        <v>24</v>
      </c>
      <c r="C556" s="8" t="s">
        <v>35</v>
      </c>
      <c r="D556" s="8" t="s">
        <v>56</v>
      </c>
      <c r="E556" s="8" t="s">
        <v>957</v>
      </c>
      <c r="F556" s="8">
        <v>184</v>
      </c>
      <c r="G556" s="8">
        <v>74.09</v>
      </c>
      <c r="H556" s="10">
        <v>23.09</v>
      </c>
      <c r="I556" s="21">
        <f>Table1[[#This Row],[BRUTTO_monthly_bill_eur]]/1.19</f>
        <v>62.260504201680675</v>
      </c>
      <c r="J556" s="21">
        <f>Table1[[#This Row],[monthly_consumption_kwh]]*Table1[[#This Row],[NETTO_procurement_cost_ct_per_kwh]]/100</f>
        <v>42.485600000000005</v>
      </c>
      <c r="K556" s="21">
        <f>Table1[[#This Row],[NETTO_monthly_revenue(€)]]-Table1[[#This Row],[procurement_cost_(€)]]</f>
        <v>19.77490420168067</v>
      </c>
      <c r="L556" s="21">
        <f t="shared" si="24"/>
        <v>10.747230544391668</v>
      </c>
      <c r="M556" s="21" t="str">
        <f t="shared" si="25"/>
        <v>09.05.2024</v>
      </c>
      <c r="N556" s="21">
        <f t="shared" si="26"/>
        <v>62.260504201680675</v>
      </c>
    </row>
    <row r="557" spans="1:14">
      <c r="A557" s="9" t="s">
        <v>958</v>
      </c>
      <c r="B557" s="8">
        <v>12</v>
      </c>
      <c r="C557" s="8" t="s">
        <v>51</v>
      </c>
      <c r="D557" s="8" t="s">
        <v>46</v>
      </c>
      <c r="E557" s="8" t="s">
        <v>369</v>
      </c>
      <c r="F557" s="8">
        <v>413</v>
      </c>
      <c r="G557" s="8">
        <v>140.19</v>
      </c>
      <c r="H557" s="10">
        <v>17.45</v>
      </c>
      <c r="I557" s="21">
        <f>Table1[[#This Row],[BRUTTO_monthly_bill_eur]]/1.19</f>
        <v>117.80672268907563</v>
      </c>
      <c r="J557" s="21">
        <f>Table1[[#This Row],[monthly_consumption_kwh]]*Table1[[#This Row],[NETTO_procurement_cost_ct_per_kwh]]/100</f>
        <v>72.0685</v>
      </c>
      <c r="K557" s="21">
        <f>Table1[[#This Row],[NETTO_monthly_revenue(€)]]-Table1[[#This Row],[procurement_cost_(€)]]</f>
        <v>45.738222689075627</v>
      </c>
      <c r="L557" s="21">
        <f t="shared" si="24"/>
        <v>11.074630191059475</v>
      </c>
      <c r="M557" s="21" t="str">
        <f t="shared" si="25"/>
        <v>29.04.2025</v>
      </c>
      <c r="N557" s="21">
        <f t="shared" si="26"/>
        <v>117.80672268907563</v>
      </c>
    </row>
    <row r="558" spans="1:14">
      <c r="A558" s="9" t="s">
        <v>959</v>
      </c>
      <c r="B558" s="8">
        <v>12</v>
      </c>
      <c r="C558" s="8" t="s">
        <v>51</v>
      </c>
      <c r="D558" s="8" t="s">
        <v>46</v>
      </c>
      <c r="E558" s="8" t="s">
        <v>242</v>
      </c>
      <c r="F558" s="8">
        <v>380</v>
      </c>
      <c r="G558" s="8">
        <v>130.24</v>
      </c>
      <c r="H558" s="10">
        <v>17.420000000000002</v>
      </c>
      <c r="I558" s="21">
        <f>Table1[[#This Row],[BRUTTO_monthly_bill_eur]]/1.19</f>
        <v>109.44537815126051</v>
      </c>
      <c r="J558" s="21">
        <f>Table1[[#This Row],[monthly_consumption_kwh]]*Table1[[#This Row],[NETTO_procurement_cost_ct_per_kwh]]/100</f>
        <v>66.195999999999998</v>
      </c>
      <c r="K558" s="21">
        <f>Table1[[#This Row],[NETTO_monthly_revenue(€)]]-Table1[[#This Row],[procurement_cost_(€)]]</f>
        <v>43.249378151260515</v>
      </c>
      <c r="L558" s="21">
        <f t="shared" si="24"/>
        <v>11.381415302963294</v>
      </c>
      <c r="M558" s="21" t="str">
        <f t="shared" si="25"/>
        <v>27.04.2024</v>
      </c>
      <c r="N558" s="21">
        <f t="shared" si="26"/>
        <v>109.44537815126051</v>
      </c>
    </row>
    <row r="559" spans="1:14">
      <c r="A559" s="9" t="s">
        <v>960</v>
      </c>
      <c r="B559" s="8">
        <v>12</v>
      </c>
      <c r="C559" s="8" t="s">
        <v>35</v>
      </c>
      <c r="D559" s="8" t="s">
        <v>56</v>
      </c>
      <c r="E559" s="8" t="s">
        <v>65</v>
      </c>
      <c r="F559" s="8">
        <v>225</v>
      </c>
      <c r="G559" s="8">
        <v>90.52</v>
      </c>
      <c r="H559" s="10">
        <v>23.37</v>
      </c>
      <c r="I559" s="21">
        <f>Table1[[#This Row],[BRUTTO_monthly_bill_eur]]/1.19</f>
        <v>76.067226890756302</v>
      </c>
      <c r="J559" s="21">
        <f>Table1[[#This Row],[monthly_consumption_kwh]]*Table1[[#This Row],[NETTO_procurement_cost_ct_per_kwh]]/100</f>
        <v>52.582500000000003</v>
      </c>
      <c r="K559" s="21">
        <f>Table1[[#This Row],[NETTO_monthly_revenue(€)]]-Table1[[#This Row],[procurement_cost_(€)]]</f>
        <v>23.484726890756299</v>
      </c>
      <c r="L559" s="21">
        <f t="shared" si="24"/>
        <v>10.437656395891688</v>
      </c>
      <c r="M559" s="21" t="str">
        <f t="shared" si="25"/>
        <v>11.08.2024</v>
      </c>
      <c r="N559" s="21">
        <f t="shared" si="26"/>
        <v>76.067226890756302</v>
      </c>
    </row>
    <row r="560" spans="1:14">
      <c r="A560" s="9" t="s">
        <v>961</v>
      </c>
      <c r="B560" s="8">
        <v>24</v>
      </c>
      <c r="C560" s="8" t="s">
        <v>39</v>
      </c>
      <c r="D560" s="8" t="s">
        <v>36</v>
      </c>
      <c r="E560" s="8" t="s">
        <v>748</v>
      </c>
      <c r="F560" s="8">
        <v>121</v>
      </c>
      <c r="G560" s="8">
        <v>57.85</v>
      </c>
      <c r="H560" s="10">
        <v>29.72</v>
      </c>
      <c r="I560" s="21">
        <f>Table1[[#This Row],[BRUTTO_monthly_bill_eur]]/1.19</f>
        <v>48.613445378151262</v>
      </c>
      <c r="J560" s="21">
        <f>Table1[[#This Row],[monthly_consumption_kwh]]*Table1[[#This Row],[NETTO_procurement_cost_ct_per_kwh]]/100</f>
        <v>35.961199999999998</v>
      </c>
      <c r="K560" s="21">
        <f>Table1[[#This Row],[NETTO_monthly_revenue(€)]]-Table1[[#This Row],[procurement_cost_(€)]]</f>
        <v>12.652245378151264</v>
      </c>
      <c r="L560" s="21">
        <f t="shared" si="24"/>
        <v>10.456401138967987</v>
      </c>
      <c r="M560" s="21" t="str">
        <f t="shared" si="25"/>
        <v>21.04.2025</v>
      </c>
      <c r="N560" s="21">
        <f t="shared" si="26"/>
        <v>48.613445378151262</v>
      </c>
    </row>
    <row r="561" spans="1:14">
      <c r="A561" s="9" t="s">
        <v>962</v>
      </c>
      <c r="B561" s="8">
        <v>24</v>
      </c>
      <c r="C561" s="8" t="s">
        <v>35</v>
      </c>
      <c r="D561" s="8" t="s">
        <v>56</v>
      </c>
      <c r="E561" s="8" t="s">
        <v>963</v>
      </c>
      <c r="F561" s="8">
        <v>291</v>
      </c>
      <c r="G561" s="8">
        <v>115.85</v>
      </c>
      <c r="H561" s="10">
        <v>25.32</v>
      </c>
      <c r="I561" s="21">
        <f>Table1[[#This Row],[BRUTTO_monthly_bill_eur]]/1.19</f>
        <v>97.352941176470594</v>
      </c>
      <c r="J561" s="21">
        <f>Table1[[#This Row],[monthly_consumption_kwh]]*Table1[[#This Row],[NETTO_procurement_cost_ct_per_kwh]]/100</f>
        <v>73.681200000000004</v>
      </c>
      <c r="K561" s="21">
        <f>Table1[[#This Row],[NETTO_monthly_revenue(€)]]-Table1[[#This Row],[procurement_cost_(€)]]</f>
        <v>23.67174117647059</v>
      </c>
      <c r="L561" s="21">
        <f t="shared" si="24"/>
        <v>8.1346189609864581</v>
      </c>
      <c r="M561" s="21" t="str">
        <f t="shared" si="25"/>
        <v>19.09.2024</v>
      </c>
      <c r="N561" s="21">
        <f t="shared" si="26"/>
        <v>97.352941176470594</v>
      </c>
    </row>
    <row r="562" spans="1:14">
      <c r="A562" s="9" t="s">
        <v>964</v>
      </c>
      <c r="B562" s="8">
        <v>24</v>
      </c>
      <c r="C562" s="8" t="s">
        <v>51</v>
      </c>
      <c r="D562" s="8" t="s">
        <v>36</v>
      </c>
      <c r="E562" s="8" t="s">
        <v>965</v>
      </c>
      <c r="F562" s="8">
        <v>550</v>
      </c>
      <c r="G562" s="8">
        <v>190.31</v>
      </c>
      <c r="H562" s="10">
        <v>17.100000000000001</v>
      </c>
      <c r="I562" s="21">
        <f>Table1[[#This Row],[BRUTTO_monthly_bill_eur]]/1.19</f>
        <v>159.92436974789916</v>
      </c>
      <c r="J562" s="21">
        <f>Table1[[#This Row],[monthly_consumption_kwh]]*Table1[[#This Row],[NETTO_procurement_cost_ct_per_kwh]]/100</f>
        <v>94.05</v>
      </c>
      <c r="K562" s="21">
        <f>Table1[[#This Row],[NETTO_monthly_revenue(€)]]-Table1[[#This Row],[procurement_cost_(€)]]</f>
        <v>65.874369747899166</v>
      </c>
      <c r="L562" s="21">
        <f t="shared" si="24"/>
        <v>11.977158135981666</v>
      </c>
      <c r="M562" s="21" t="str">
        <f t="shared" si="25"/>
        <v>2025-01</v>
      </c>
      <c r="N562" s="21">
        <f t="shared" si="26"/>
        <v>159.92436974789916</v>
      </c>
    </row>
    <row r="563" spans="1:14">
      <c r="A563" s="9" t="s">
        <v>966</v>
      </c>
      <c r="B563" s="8">
        <v>12</v>
      </c>
      <c r="C563" s="8" t="s">
        <v>39</v>
      </c>
      <c r="D563" s="8" t="s">
        <v>36</v>
      </c>
      <c r="E563" s="8" t="s">
        <v>967</v>
      </c>
      <c r="F563" s="8">
        <v>135</v>
      </c>
      <c r="G563" s="8">
        <v>57.04</v>
      </c>
      <c r="H563" s="10">
        <v>32.94</v>
      </c>
      <c r="I563" s="21">
        <f>Table1[[#This Row],[BRUTTO_monthly_bill_eur]]/1.19</f>
        <v>47.932773109243698</v>
      </c>
      <c r="J563" s="21">
        <f>Table1[[#This Row],[monthly_consumption_kwh]]*Table1[[#This Row],[NETTO_procurement_cost_ct_per_kwh]]/100</f>
        <v>44.468999999999994</v>
      </c>
      <c r="K563" s="21">
        <f>Table1[[#This Row],[NETTO_monthly_revenue(€)]]-Table1[[#This Row],[procurement_cost_(€)]]</f>
        <v>3.4637731092437036</v>
      </c>
      <c r="L563" s="21">
        <f t="shared" si="24"/>
        <v>2.5657578586990399</v>
      </c>
      <c r="M563" s="21" t="str">
        <f t="shared" si="25"/>
        <v>20.06.2024</v>
      </c>
      <c r="N563" s="21">
        <f t="shared" si="26"/>
        <v>47.932773109243698</v>
      </c>
    </row>
    <row r="564" spans="1:14">
      <c r="A564" s="9" t="s">
        <v>968</v>
      </c>
      <c r="B564" s="8">
        <v>12</v>
      </c>
      <c r="C564" s="8" t="s">
        <v>35</v>
      </c>
      <c r="D564" s="8" t="s">
        <v>36</v>
      </c>
      <c r="E564" s="8" t="s">
        <v>242</v>
      </c>
      <c r="F564" s="8">
        <v>226</v>
      </c>
      <c r="G564" s="8">
        <v>90.31</v>
      </c>
      <c r="H564" s="10">
        <v>24.13</v>
      </c>
      <c r="I564" s="21">
        <f>Table1[[#This Row],[BRUTTO_monthly_bill_eur]]/1.19</f>
        <v>75.890756302521012</v>
      </c>
      <c r="J564" s="21">
        <f>Table1[[#This Row],[monthly_consumption_kwh]]*Table1[[#This Row],[NETTO_procurement_cost_ct_per_kwh]]/100</f>
        <v>54.533799999999999</v>
      </c>
      <c r="K564" s="21">
        <f>Table1[[#This Row],[NETTO_monthly_revenue(€)]]-Table1[[#This Row],[procurement_cost_(€)]]</f>
        <v>21.356956302521013</v>
      </c>
      <c r="L564" s="21">
        <f t="shared" si="24"/>
        <v>9.4499806648323066</v>
      </c>
      <c r="M564" s="21" t="str">
        <f t="shared" si="25"/>
        <v>27.04.2024</v>
      </c>
      <c r="N564" s="21">
        <f t="shared" si="26"/>
        <v>75.890756302521012</v>
      </c>
    </row>
    <row r="565" spans="1:14">
      <c r="A565" s="9" t="s">
        <v>969</v>
      </c>
      <c r="B565" s="8">
        <v>12</v>
      </c>
      <c r="C565" s="8" t="s">
        <v>35</v>
      </c>
      <c r="D565" s="8" t="s">
        <v>56</v>
      </c>
      <c r="E565" s="8" t="s">
        <v>970</v>
      </c>
      <c r="F565" s="8">
        <v>307</v>
      </c>
      <c r="G565" s="8">
        <v>110.09</v>
      </c>
      <c r="H565" s="10">
        <v>25.15</v>
      </c>
      <c r="I565" s="21">
        <f>Table1[[#This Row],[BRUTTO_monthly_bill_eur]]/1.19</f>
        <v>92.512605042016816</v>
      </c>
      <c r="J565" s="21">
        <f>Table1[[#This Row],[monthly_consumption_kwh]]*Table1[[#This Row],[NETTO_procurement_cost_ct_per_kwh]]/100</f>
        <v>77.210499999999996</v>
      </c>
      <c r="K565" s="21">
        <f>Table1[[#This Row],[NETTO_monthly_revenue(€)]]-Table1[[#This Row],[procurement_cost_(€)]]</f>
        <v>15.302105042016819</v>
      </c>
      <c r="L565" s="21">
        <f t="shared" si="24"/>
        <v>4.984399036487563</v>
      </c>
      <c r="M565" s="21" t="str">
        <f t="shared" si="25"/>
        <v>2024-06</v>
      </c>
      <c r="N565" s="21">
        <f t="shared" si="26"/>
        <v>92.512605042016816</v>
      </c>
    </row>
    <row r="566" spans="1:14">
      <c r="A566" s="9" t="s">
        <v>971</v>
      </c>
      <c r="B566" s="8">
        <v>12</v>
      </c>
      <c r="C566" s="8" t="s">
        <v>35</v>
      </c>
      <c r="D566" s="8" t="s">
        <v>56</v>
      </c>
      <c r="E566" s="8" t="s">
        <v>972</v>
      </c>
      <c r="F566" s="8">
        <v>245</v>
      </c>
      <c r="G566" s="8">
        <v>91.31</v>
      </c>
      <c r="H566" s="10">
        <v>23.97</v>
      </c>
      <c r="I566" s="21">
        <f>Table1[[#This Row],[BRUTTO_monthly_bill_eur]]/1.19</f>
        <v>76.731092436974791</v>
      </c>
      <c r="J566" s="21">
        <f>Table1[[#This Row],[monthly_consumption_kwh]]*Table1[[#This Row],[NETTO_procurement_cost_ct_per_kwh]]/100</f>
        <v>58.726499999999994</v>
      </c>
      <c r="K566" s="21">
        <f>Table1[[#This Row],[NETTO_monthly_revenue(€)]]-Table1[[#This Row],[procurement_cost_(€)]]</f>
        <v>18.004592436974796</v>
      </c>
      <c r="L566" s="21">
        <f t="shared" si="24"/>
        <v>7.3488132395815491</v>
      </c>
      <c r="M566" s="21" t="str">
        <f t="shared" si="25"/>
        <v>14.11.2024</v>
      </c>
      <c r="N566" s="21">
        <f t="shared" si="26"/>
        <v>76.731092436974791</v>
      </c>
    </row>
    <row r="567" spans="1:14">
      <c r="A567" s="9" t="s">
        <v>973</v>
      </c>
      <c r="B567" s="8">
        <v>24</v>
      </c>
      <c r="C567" s="8" t="s">
        <v>39</v>
      </c>
      <c r="D567" s="8" t="s">
        <v>46</v>
      </c>
      <c r="E567" s="8" t="s">
        <v>974</v>
      </c>
      <c r="F567" s="8">
        <v>165</v>
      </c>
      <c r="G567" s="8">
        <v>74.569999999999993</v>
      </c>
      <c r="H567" s="10">
        <v>29.2</v>
      </c>
      <c r="I567" s="21">
        <f>Table1[[#This Row],[BRUTTO_monthly_bill_eur]]/1.19</f>
        <v>62.663865546218481</v>
      </c>
      <c r="J567" s="21">
        <f>Table1[[#This Row],[monthly_consumption_kwh]]*Table1[[#This Row],[NETTO_procurement_cost_ct_per_kwh]]/100</f>
        <v>48.18</v>
      </c>
      <c r="K567" s="21">
        <f>Table1[[#This Row],[NETTO_monthly_revenue(€)]]-Table1[[#This Row],[procurement_cost_(€)]]</f>
        <v>14.483865546218482</v>
      </c>
      <c r="L567" s="21">
        <f t="shared" si="24"/>
        <v>8.7781003310415038</v>
      </c>
      <c r="M567" s="21" t="str">
        <f t="shared" si="25"/>
        <v>20.04.2024</v>
      </c>
      <c r="N567" s="21">
        <f t="shared" si="26"/>
        <v>62.663865546218481</v>
      </c>
    </row>
    <row r="568" spans="1:14">
      <c r="A568" s="9" t="s">
        <v>975</v>
      </c>
      <c r="B568" s="8">
        <v>12</v>
      </c>
      <c r="C568" s="8" t="s">
        <v>35</v>
      </c>
      <c r="D568" s="8" t="s">
        <v>46</v>
      </c>
      <c r="E568" s="8" t="s">
        <v>976</v>
      </c>
      <c r="F568" s="8">
        <v>272</v>
      </c>
      <c r="G568" s="8">
        <v>100.8</v>
      </c>
      <c r="H568" s="10">
        <v>24.38</v>
      </c>
      <c r="I568" s="21">
        <f>Table1[[#This Row],[BRUTTO_monthly_bill_eur]]/1.19</f>
        <v>84.705882352941174</v>
      </c>
      <c r="J568" s="21">
        <f>Table1[[#This Row],[monthly_consumption_kwh]]*Table1[[#This Row],[NETTO_procurement_cost_ct_per_kwh]]/100</f>
        <v>66.313599999999994</v>
      </c>
      <c r="K568" s="21">
        <f>Table1[[#This Row],[NETTO_monthly_revenue(€)]]-Table1[[#This Row],[procurement_cost_(€)]]</f>
        <v>18.39228235294118</v>
      </c>
      <c r="L568" s="21">
        <f t="shared" si="24"/>
        <v>6.7618685121107278</v>
      </c>
      <c r="M568" s="21" t="str">
        <f t="shared" si="25"/>
        <v>27.01.2024</v>
      </c>
      <c r="N568" s="21">
        <f t="shared" si="26"/>
        <v>84.705882352941174</v>
      </c>
    </row>
    <row r="569" spans="1:14">
      <c r="A569" s="9" t="s">
        <v>977</v>
      </c>
      <c r="B569" s="8">
        <v>12</v>
      </c>
      <c r="C569" s="8" t="s">
        <v>51</v>
      </c>
      <c r="D569" s="8" t="s">
        <v>46</v>
      </c>
      <c r="E569" s="8" t="s">
        <v>320</v>
      </c>
      <c r="F569" s="8">
        <v>375</v>
      </c>
      <c r="G569" s="8">
        <v>123.62</v>
      </c>
      <c r="H569" s="10">
        <v>18.670000000000002</v>
      </c>
      <c r="I569" s="21">
        <f>Table1[[#This Row],[BRUTTO_monthly_bill_eur]]/1.19</f>
        <v>103.88235294117648</v>
      </c>
      <c r="J569" s="21">
        <f>Table1[[#This Row],[monthly_consumption_kwh]]*Table1[[#This Row],[NETTO_procurement_cost_ct_per_kwh]]/100</f>
        <v>70.012500000000003</v>
      </c>
      <c r="K569" s="21">
        <f>Table1[[#This Row],[NETTO_monthly_revenue(€)]]-Table1[[#This Row],[procurement_cost_(€)]]</f>
        <v>33.869852941176475</v>
      </c>
      <c r="L569" s="21">
        <f t="shared" si="24"/>
        <v>9.0319607843137266</v>
      </c>
      <c r="M569" s="21" t="str">
        <f t="shared" si="25"/>
        <v>15.11.2024</v>
      </c>
      <c r="N569" s="21">
        <f t="shared" si="26"/>
        <v>103.88235294117648</v>
      </c>
    </row>
    <row r="570" spans="1:14">
      <c r="A570" s="9" t="s">
        <v>978</v>
      </c>
      <c r="B570" s="8">
        <v>24</v>
      </c>
      <c r="C570" s="8" t="s">
        <v>39</v>
      </c>
      <c r="D570" s="8" t="s">
        <v>56</v>
      </c>
      <c r="E570" s="8" t="s">
        <v>979</v>
      </c>
      <c r="F570" s="8">
        <v>140</v>
      </c>
      <c r="G570" s="8">
        <v>60.46</v>
      </c>
      <c r="H570" s="10">
        <v>28.66</v>
      </c>
      <c r="I570" s="21">
        <f>Table1[[#This Row],[BRUTTO_monthly_bill_eur]]/1.19</f>
        <v>50.806722689075634</v>
      </c>
      <c r="J570" s="21">
        <f>Table1[[#This Row],[monthly_consumption_kwh]]*Table1[[#This Row],[NETTO_procurement_cost_ct_per_kwh]]/100</f>
        <v>40.124000000000002</v>
      </c>
      <c r="K570" s="21">
        <f>Table1[[#This Row],[NETTO_monthly_revenue(€)]]-Table1[[#This Row],[procurement_cost_(€)]]</f>
        <v>10.682722689075632</v>
      </c>
      <c r="L570" s="21">
        <f t="shared" si="24"/>
        <v>7.6305162064825947</v>
      </c>
      <c r="M570" s="21" t="str">
        <f t="shared" si="25"/>
        <v>19.01.2025</v>
      </c>
      <c r="N570" s="21">
        <f t="shared" si="26"/>
        <v>50.806722689075634</v>
      </c>
    </row>
    <row r="571" spans="1:14">
      <c r="A571" s="9" t="s">
        <v>980</v>
      </c>
      <c r="B571" s="8">
        <v>12</v>
      </c>
      <c r="C571" s="8" t="s">
        <v>39</v>
      </c>
      <c r="D571" s="8" t="s">
        <v>36</v>
      </c>
      <c r="E571" s="8" t="s">
        <v>981</v>
      </c>
      <c r="F571" s="8">
        <v>110</v>
      </c>
      <c r="G571" s="8">
        <v>50.47</v>
      </c>
      <c r="H571" s="10">
        <v>28.47</v>
      </c>
      <c r="I571" s="21">
        <f>Table1[[#This Row],[BRUTTO_monthly_bill_eur]]/1.19</f>
        <v>42.411764705882355</v>
      </c>
      <c r="J571" s="21">
        <f>Table1[[#This Row],[monthly_consumption_kwh]]*Table1[[#This Row],[NETTO_procurement_cost_ct_per_kwh]]/100</f>
        <v>31.316999999999997</v>
      </c>
      <c r="K571" s="21">
        <f>Table1[[#This Row],[NETTO_monthly_revenue(€)]]-Table1[[#This Row],[procurement_cost_(€)]]</f>
        <v>11.094764705882358</v>
      </c>
      <c r="L571" s="21">
        <f t="shared" si="24"/>
        <v>10.086149732620326</v>
      </c>
      <c r="M571" s="21" t="str">
        <f t="shared" si="25"/>
        <v>10.02.2025</v>
      </c>
      <c r="N571" s="21">
        <f t="shared" si="26"/>
        <v>42.411764705882355</v>
      </c>
    </row>
    <row r="572" spans="1:14">
      <c r="A572" s="9" t="s">
        <v>982</v>
      </c>
      <c r="B572" s="8">
        <v>12</v>
      </c>
      <c r="C572" s="8" t="s">
        <v>51</v>
      </c>
      <c r="D572" s="8" t="s">
        <v>36</v>
      </c>
      <c r="E572" s="8" t="s">
        <v>267</v>
      </c>
      <c r="F572" s="8">
        <v>562</v>
      </c>
      <c r="G572" s="8">
        <v>185.3</v>
      </c>
      <c r="H572" s="10">
        <v>19.23</v>
      </c>
      <c r="I572" s="21">
        <f>Table1[[#This Row],[BRUTTO_monthly_bill_eur]]/1.19</f>
        <v>155.71428571428572</v>
      </c>
      <c r="J572" s="21">
        <f>Table1[[#This Row],[monthly_consumption_kwh]]*Table1[[#This Row],[NETTO_procurement_cost_ct_per_kwh]]/100</f>
        <v>108.07260000000001</v>
      </c>
      <c r="K572" s="21">
        <f>Table1[[#This Row],[NETTO_monthly_revenue(€)]]-Table1[[#This Row],[procurement_cost_(€)]]</f>
        <v>47.641685714285714</v>
      </c>
      <c r="L572" s="21">
        <f t="shared" si="24"/>
        <v>8.4771682765632939</v>
      </c>
      <c r="M572" s="21" t="str">
        <f t="shared" si="25"/>
        <v>22.07.2024</v>
      </c>
      <c r="N572" s="21">
        <f t="shared" si="26"/>
        <v>155.71428571428572</v>
      </c>
    </row>
    <row r="573" spans="1:14">
      <c r="A573" s="9" t="s">
        <v>983</v>
      </c>
      <c r="B573" s="8">
        <v>24</v>
      </c>
      <c r="C573" s="8" t="s">
        <v>39</v>
      </c>
      <c r="D573" s="8" t="s">
        <v>36</v>
      </c>
      <c r="E573" s="8" t="s">
        <v>418</v>
      </c>
      <c r="F573" s="8">
        <v>89</v>
      </c>
      <c r="G573" s="8">
        <v>42.9</v>
      </c>
      <c r="H573" s="10">
        <v>31.61</v>
      </c>
      <c r="I573" s="21">
        <f>Table1[[#This Row],[BRUTTO_monthly_bill_eur]]/1.19</f>
        <v>36.050420168067227</v>
      </c>
      <c r="J573" s="21">
        <f>Table1[[#This Row],[monthly_consumption_kwh]]*Table1[[#This Row],[NETTO_procurement_cost_ct_per_kwh]]/100</f>
        <v>28.132899999999999</v>
      </c>
      <c r="K573" s="21">
        <f>Table1[[#This Row],[NETTO_monthly_revenue(€)]]-Table1[[#This Row],[procurement_cost_(€)]]</f>
        <v>7.9175201680672274</v>
      </c>
      <c r="L573" s="21">
        <f t="shared" si="24"/>
        <v>8.8960900764800304</v>
      </c>
      <c r="M573" s="21" t="str">
        <f t="shared" si="25"/>
        <v>18.03.2024</v>
      </c>
      <c r="N573" s="21">
        <f t="shared" si="26"/>
        <v>36.050420168067227</v>
      </c>
    </row>
    <row r="574" spans="1:14">
      <c r="A574" s="9" t="s">
        <v>984</v>
      </c>
      <c r="B574" s="8">
        <v>12</v>
      </c>
      <c r="C574" s="8" t="s">
        <v>51</v>
      </c>
      <c r="D574" s="8" t="s">
        <v>46</v>
      </c>
      <c r="E574" s="8" t="s">
        <v>371</v>
      </c>
      <c r="F574" s="8">
        <v>391</v>
      </c>
      <c r="G574" s="8">
        <v>129.04</v>
      </c>
      <c r="H574" s="10">
        <v>18.22</v>
      </c>
      <c r="I574" s="21">
        <f>Table1[[#This Row],[BRUTTO_monthly_bill_eur]]/1.19</f>
        <v>108.43697478991596</v>
      </c>
      <c r="J574" s="21">
        <f>Table1[[#This Row],[monthly_consumption_kwh]]*Table1[[#This Row],[NETTO_procurement_cost_ct_per_kwh]]/100</f>
        <v>71.240200000000002</v>
      </c>
      <c r="K574" s="21">
        <f>Table1[[#This Row],[NETTO_monthly_revenue(€)]]-Table1[[#This Row],[procurement_cost_(€)]]</f>
        <v>37.196774789915963</v>
      </c>
      <c r="L574" s="21">
        <f t="shared" si="24"/>
        <v>9.5132416342496064</v>
      </c>
      <c r="M574" s="21" t="str">
        <f t="shared" si="25"/>
        <v>05.09.2024</v>
      </c>
      <c r="N574" s="21">
        <f t="shared" si="26"/>
        <v>108.43697478991596</v>
      </c>
    </row>
    <row r="575" spans="1:14">
      <c r="A575" s="9" t="s">
        <v>985</v>
      </c>
      <c r="B575" s="8">
        <v>24</v>
      </c>
      <c r="C575" s="8" t="s">
        <v>35</v>
      </c>
      <c r="D575" s="8" t="s">
        <v>46</v>
      </c>
      <c r="E575" s="8" t="s">
        <v>52</v>
      </c>
      <c r="F575" s="8">
        <v>309</v>
      </c>
      <c r="G575" s="8">
        <v>120.91</v>
      </c>
      <c r="H575" s="10">
        <v>24.93</v>
      </c>
      <c r="I575" s="21">
        <f>Table1[[#This Row],[BRUTTO_monthly_bill_eur]]/1.19</f>
        <v>101.60504201680672</v>
      </c>
      <c r="J575" s="21">
        <f>Table1[[#This Row],[monthly_consumption_kwh]]*Table1[[#This Row],[NETTO_procurement_cost_ct_per_kwh]]/100</f>
        <v>77.033699999999996</v>
      </c>
      <c r="K575" s="21">
        <f>Table1[[#This Row],[NETTO_monthly_revenue(€)]]-Table1[[#This Row],[procurement_cost_(€)]]</f>
        <v>24.571342016806724</v>
      </c>
      <c r="L575" s="21">
        <f t="shared" si="24"/>
        <v>7.9518906203258011</v>
      </c>
      <c r="M575" s="21" t="str">
        <f t="shared" si="25"/>
        <v>14.04.2024</v>
      </c>
      <c r="N575" s="21">
        <f t="shared" si="26"/>
        <v>101.60504201680672</v>
      </c>
    </row>
    <row r="576" spans="1:14">
      <c r="A576" s="9" t="s">
        <v>986</v>
      </c>
      <c r="B576" s="8">
        <v>24</v>
      </c>
      <c r="C576" s="8" t="s">
        <v>39</v>
      </c>
      <c r="D576" s="8" t="s">
        <v>36</v>
      </c>
      <c r="E576" s="8" t="s">
        <v>735</v>
      </c>
      <c r="F576" s="8">
        <v>102</v>
      </c>
      <c r="G576" s="8">
        <v>48.62</v>
      </c>
      <c r="H576" s="10">
        <v>30.63</v>
      </c>
      <c r="I576" s="21">
        <f>Table1[[#This Row],[BRUTTO_monthly_bill_eur]]/1.19</f>
        <v>40.857142857142854</v>
      </c>
      <c r="J576" s="21">
        <f>Table1[[#This Row],[monthly_consumption_kwh]]*Table1[[#This Row],[NETTO_procurement_cost_ct_per_kwh]]/100</f>
        <v>31.242599999999996</v>
      </c>
      <c r="K576" s="21">
        <f>Table1[[#This Row],[NETTO_monthly_revenue(€)]]-Table1[[#This Row],[procurement_cost_(€)]]</f>
        <v>9.6145428571428582</v>
      </c>
      <c r="L576" s="21">
        <f t="shared" si="24"/>
        <v>9.4260224089635862</v>
      </c>
      <c r="M576" s="21" t="str">
        <f t="shared" si="25"/>
        <v>04.11.2024</v>
      </c>
      <c r="N576" s="21">
        <f t="shared" si="26"/>
        <v>40.857142857142854</v>
      </c>
    </row>
    <row r="577" spans="1:14">
      <c r="A577" s="9" t="s">
        <v>987</v>
      </c>
      <c r="B577" s="8">
        <v>24</v>
      </c>
      <c r="C577" s="8" t="s">
        <v>51</v>
      </c>
      <c r="D577" s="8" t="s">
        <v>36</v>
      </c>
      <c r="E577" s="8" t="s">
        <v>331</v>
      </c>
      <c r="F577" s="8">
        <v>613</v>
      </c>
      <c r="G577" s="8">
        <v>202.41</v>
      </c>
      <c r="H577" s="10">
        <v>21.16</v>
      </c>
      <c r="I577" s="21">
        <f>Table1[[#This Row],[BRUTTO_monthly_bill_eur]]/1.19</f>
        <v>170.09243697478993</v>
      </c>
      <c r="J577" s="21">
        <f>Table1[[#This Row],[monthly_consumption_kwh]]*Table1[[#This Row],[NETTO_procurement_cost_ct_per_kwh]]/100</f>
        <v>129.71080000000001</v>
      </c>
      <c r="K577" s="21">
        <f>Table1[[#This Row],[NETTO_monthly_revenue(€)]]-Table1[[#This Row],[procurement_cost_(€)]]</f>
        <v>40.381636974789927</v>
      </c>
      <c r="L577" s="21">
        <f t="shared" si="24"/>
        <v>6.5875427365073289</v>
      </c>
      <c r="M577" s="21" t="str">
        <f t="shared" si="25"/>
        <v>03.05.2024</v>
      </c>
      <c r="N577" s="21">
        <f t="shared" si="26"/>
        <v>170.09243697478993</v>
      </c>
    </row>
    <row r="578" spans="1:14">
      <c r="A578" s="9" t="s">
        <v>988</v>
      </c>
      <c r="B578" s="8">
        <v>12</v>
      </c>
      <c r="C578" s="8" t="s">
        <v>35</v>
      </c>
      <c r="D578" s="8" t="s">
        <v>56</v>
      </c>
      <c r="E578" s="8" t="s">
        <v>609</v>
      </c>
      <c r="F578" s="8">
        <v>213</v>
      </c>
      <c r="G578" s="8">
        <v>82.69</v>
      </c>
      <c r="H578" s="10">
        <v>25.28</v>
      </c>
      <c r="I578" s="21">
        <f>Table1[[#This Row],[BRUTTO_monthly_bill_eur]]/1.19</f>
        <v>69.487394957983199</v>
      </c>
      <c r="J578" s="21">
        <f>Table1[[#This Row],[monthly_consumption_kwh]]*Table1[[#This Row],[NETTO_procurement_cost_ct_per_kwh]]/100</f>
        <v>53.846400000000003</v>
      </c>
      <c r="K578" s="21">
        <f>Table1[[#This Row],[NETTO_monthly_revenue(€)]]-Table1[[#This Row],[procurement_cost_(€)]]</f>
        <v>15.640994957983196</v>
      </c>
      <c r="L578" s="21">
        <f t="shared" ref="L578:L641" si="27">IF(F578=0,"",K578/F578*100)</f>
        <v>7.3431901211188713</v>
      </c>
      <c r="M578" s="21" t="str">
        <f t="shared" ref="M578:M641" si="28">TEXT(E578,"yyyy-mm")</f>
        <v>12.02.2024</v>
      </c>
      <c r="N578" s="21">
        <f t="shared" ref="N578:N641" si="29">G578/1.19</f>
        <v>69.487394957983199</v>
      </c>
    </row>
    <row r="579" spans="1:14">
      <c r="A579" s="9" t="s">
        <v>989</v>
      </c>
      <c r="B579" s="8">
        <v>24</v>
      </c>
      <c r="C579" s="8" t="s">
        <v>35</v>
      </c>
      <c r="D579" s="8" t="s">
        <v>36</v>
      </c>
      <c r="E579" s="8" t="s">
        <v>990</v>
      </c>
      <c r="F579" s="8">
        <v>274</v>
      </c>
      <c r="G579" s="8">
        <v>101.14</v>
      </c>
      <c r="H579" s="10">
        <v>24.27</v>
      </c>
      <c r="I579" s="21">
        <f>Table1[[#This Row],[BRUTTO_monthly_bill_eur]]/1.19</f>
        <v>84.991596638655466</v>
      </c>
      <c r="J579" s="21">
        <f>Table1[[#This Row],[monthly_consumption_kwh]]*Table1[[#This Row],[NETTO_procurement_cost_ct_per_kwh]]/100</f>
        <v>66.499799999999993</v>
      </c>
      <c r="K579" s="21">
        <f>Table1[[#This Row],[NETTO_monthly_revenue(€)]]-Table1[[#This Row],[procurement_cost_(€)]]</f>
        <v>18.491796638655472</v>
      </c>
      <c r="L579" s="21">
        <f t="shared" si="27"/>
        <v>6.7488308900202449</v>
      </c>
      <c r="M579" s="21" t="str">
        <f t="shared" si="28"/>
        <v>21.12.2024</v>
      </c>
      <c r="N579" s="21">
        <f t="shared" si="29"/>
        <v>84.991596638655466</v>
      </c>
    </row>
    <row r="580" spans="1:14">
      <c r="A580" s="9" t="s">
        <v>991</v>
      </c>
      <c r="B580" s="8">
        <v>12</v>
      </c>
      <c r="C580" s="8" t="s">
        <v>35</v>
      </c>
      <c r="D580" s="8" t="s">
        <v>46</v>
      </c>
      <c r="E580" s="8" t="s">
        <v>302</v>
      </c>
      <c r="F580" s="8">
        <v>282</v>
      </c>
      <c r="G580" s="8">
        <v>112.21</v>
      </c>
      <c r="H580" s="10">
        <v>24.63</v>
      </c>
      <c r="I580" s="21">
        <f>Table1[[#This Row],[BRUTTO_monthly_bill_eur]]/1.19</f>
        <v>94.294117647058826</v>
      </c>
      <c r="J580" s="21">
        <f>Table1[[#This Row],[monthly_consumption_kwh]]*Table1[[#This Row],[NETTO_procurement_cost_ct_per_kwh]]/100</f>
        <v>69.456599999999995</v>
      </c>
      <c r="K580" s="21">
        <f>Table1[[#This Row],[NETTO_monthly_revenue(€)]]-Table1[[#This Row],[procurement_cost_(€)]]</f>
        <v>24.837517647058831</v>
      </c>
      <c r="L580" s="21">
        <f t="shared" si="27"/>
        <v>8.8076303712974582</v>
      </c>
      <c r="M580" s="21" t="str">
        <f t="shared" si="28"/>
        <v>29.06.2025</v>
      </c>
      <c r="N580" s="21">
        <f t="shared" si="29"/>
        <v>94.294117647058826</v>
      </c>
    </row>
    <row r="581" spans="1:14">
      <c r="A581" s="9" t="s">
        <v>992</v>
      </c>
      <c r="B581" s="8">
        <v>12</v>
      </c>
      <c r="C581" s="8" t="s">
        <v>35</v>
      </c>
      <c r="D581" s="8" t="s">
        <v>56</v>
      </c>
      <c r="E581" s="8" t="s">
        <v>206</v>
      </c>
      <c r="F581" s="8">
        <v>252</v>
      </c>
      <c r="G581" s="8">
        <v>95.97</v>
      </c>
      <c r="H581" s="10">
        <v>25.59</v>
      </c>
      <c r="I581" s="21">
        <f>Table1[[#This Row],[BRUTTO_monthly_bill_eur]]/1.19</f>
        <v>80.64705882352942</v>
      </c>
      <c r="J581" s="21">
        <f>Table1[[#This Row],[monthly_consumption_kwh]]*Table1[[#This Row],[NETTO_procurement_cost_ct_per_kwh]]/100</f>
        <v>64.486800000000002</v>
      </c>
      <c r="K581" s="21">
        <f>Table1[[#This Row],[NETTO_monthly_revenue(€)]]-Table1[[#This Row],[procurement_cost_(€)]]</f>
        <v>16.160258823529418</v>
      </c>
      <c r="L581" s="21">
        <f t="shared" si="27"/>
        <v>6.4128011204481821</v>
      </c>
      <c r="M581" s="21" t="str">
        <f t="shared" si="28"/>
        <v>14.03.2025</v>
      </c>
      <c r="N581" s="21">
        <f t="shared" si="29"/>
        <v>80.64705882352942</v>
      </c>
    </row>
    <row r="582" spans="1:14">
      <c r="A582" s="9" t="s">
        <v>993</v>
      </c>
      <c r="B582" s="8">
        <v>12</v>
      </c>
      <c r="C582" s="8" t="s">
        <v>39</v>
      </c>
      <c r="D582" s="8" t="s">
        <v>36</v>
      </c>
      <c r="E582" s="8" t="s">
        <v>147</v>
      </c>
      <c r="F582" s="8">
        <v>109</v>
      </c>
      <c r="G582" s="8">
        <v>50.4</v>
      </c>
      <c r="H582" s="10">
        <v>29.6</v>
      </c>
      <c r="I582" s="21">
        <f>Table1[[#This Row],[BRUTTO_monthly_bill_eur]]/1.19</f>
        <v>42.352941176470587</v>
      </c>
      <c r="J582" s="21">
        <f>Table1[[#This Row],[monthly_consumption_kwh]]*Table1[[#This Row],[NETTO_procurement_cost_ct_per_kwh]]/100</f>
        <v>32.264000000000003</v>
      </c>
      <c r="K582" s="21">
        <f>Table1[[#This Row],[NETTO_monthly_revenue(€)]]-Table1[[#This Row],[procurement_cost_(€)]]</f>
        <v>10.088941176470584</v>
      </c>
      <c r="L582" s="21">
        <f t="shared" si="27"/>
        <v>9.2559093362115448</v>
      </c>
      <c r="M582" s="21" t="str">
        <f t="shared" si="28"/>
        <v>14.01.2025</v>
      </c>
      <c r="N582" s="21">
        <f t="shared" si="29"/>
        <v>42.352941176470587</v>
      </c>
    </row>
    <row r="583" spans="1:14">
      <c r="A583" s="9" t="s">
        <v>994</v>
      </c>
      <c r="B583" s="8">
        <v>24</v>
      </c>
      <c r="C583" s="8" t="s">
        <v>35</v>
      </c>
      <c r="D583" s="8" t="s">
        <v>36</v>
      </c>
      <c r="E583" s="8" t="s">
        <v>300</v>
      </c>
      <c r="F583" s="8">
        <v>202</v>
      </c>
      <c r="G583" s="8">
        <v>79.11</v>
      </c>
      <c r="H583" s="10">
        <v>23.31</v>
      </c>
      <c r="I583" s="21">
        <f>Table1[[#This Row],[BRUTTO_monthly_bill_eur]]/1.19</f>
        <v>66.478991596638664</v>
      </c>
      <c r="J583" s="21">
        <f>Table1[[#This Row],[monthly_consumption_kwh]]*Table1[[#This Row],[NETTO_procurement_cost_ct_per_kwh]]/100</f>
        <v>47.086199999999998</v>
      </c>
      <c r="K583" s="21">
        <f>Table1[[#This Row],[NETTO_monthly_revenue(€)]]-Table1[[#This Row],[procurement_cost_(€)]]</f>
        <v>19.392791596638666</v>
      </c>
      <c r="L583" s="21">
        <f t="shared" si="27"/>
        <v>9.6003918795240928</v>
      </c>
      <c r="M583" s="21" t="str">
        <f t="shared" si="28"/>
        <v>11.03.2024</v>
      </c>
      <c r="N583" s="21">
        <f t="shared" si="29"/>
        <v>66.478991596638664</v>
      </c>
    </row>
    <row r="584" spans="1:14">
      <c r="A584" s="9" t="s">
        <v>995</v>
      </c>
      <c r="B584" s="8">
        <v>12</v>
      </c>
      <c r="C584" s="8" t="s">
        <v>51</v>
      </c>
      <c r="D584" s="8" t="s">
        <v>46</v>
      </c>
      <c r="E584" s="8" t="s">
        <v>525</v>
      </c>
      <c r="F584" s="8">
        <v>344</v>
      </c>
      <c r="G584" s="8">
        <v>0</v>
      </c>
      <c r="H584" s="10">
        <v>18.05</v>
      </c>
      <c r="I584" s="21">
        <f>Table1[[#This Row],[BRUTTO_monthly_bill_eur]]/1.19</f>
        <v>0</v>
      </c>
      <c r="J584" s="21">
        <f>Table1[[#This Row],[monthly_consumption_kwh]]*Table1[[#This Row],[NETTO_procurement_cost_ct_per_kwh]]/100</f>
        <v>62.091999999999999</v>
      </c>
      <c r="K584" s="21">
        <f>Table1[[#This Row],[NETTO_monthly_revenue(€)]]-Table1[[#This Row],[procurement_cost_(€)]]</f>
        <v>-62.091999999999999</v>
      </c>
      <c r="L584" s="21">
        <f t="shared" si="27"/>
        <v>-18.05</v>
      </c>
      <c r="M584" s="21" t="str">
        <f t="shared" si="28"/>
        <v>02.06.2025</v>
      </c>
      <c r="N584" s="21">
        <f t="shared" si="29"/>
        <v>0</v>
      </c>
    </row>
    <row r="585" spans="1:14">
      <c r="A585" s="9" t="s">
        <v>996</v>
      </c>
      <c r="B585" s="8">
        <v>12</v>
      </c>
      <c r="C585" s="8" t="s">
        <v>39</v>
      </c>
      <c r="D585" s="8" t="s">
        <v>56</v>
      </c>
      <c r="E585" s="8" t="s">
        <v>997</v>
      </c>
      <c r="F585" s="8">
        <v>108</v>
      </c>
      <c r="G585" s="8">
        <v>48.69</v>
      </c>
      <c r="H585" s="10">
        <v>31.31</v>
      </c>
      <c r="I585" s="21">
        <f>Table1[[#This Row],[BRUTTO_monthly_bill_eur]]/1.19</f>
        <v>40.915966386554622</v>
      </c>
      <c r="J585" s="21">
        <f>Table1[[#This Row],[monthly_consumption_kwh]]*Table1[[#This Row],[NETTO_procurement_cost_ct_per_kwh]]/100</f>
        <v>33.814799999999998</v>
      </c>
      <c r="K585" s="21">
        <f>Table1[[#This Row],[NETTO_monthly_revenue(€)]]-Table1[[#This Row],[procurement_cost_(€)]]</f>
        <v>7.101166386554624</v>
      </c>
      <c r="L585" s="21">
        <f t="shared" si="27"/>
        <v>6.5751540616246524</v>
      </c>
      <c r="M585" s="21" t="str">
        <f t="shared" si="28"/>
        <v>15.12.2024</v>
      </c>
      <c r="N585" s="21">
        <f t="shared" si="29"/>
        <v>40.915966386554622</v>
      </c>
    </row>
    <row r="586" spans="1:14">
      <c r="A586" s="9" t="s">
        <v>998</v>
      </c>
      <c r="B586" s="8">
        <v>24</v>
      </c>
      <c r="C586" s="8" t="s">
        <v>35</v>
      </c>
      <c r="D586" s="8" t="s">
        <v>36</v>
      </c>
      <c r="E586" s="8" t="s">
        <v>999</v>
      </c>
      <c r="F586" s="8">
        <v>275</v>
      </c>
      <c r="G586" s="8">
        <v>107.87</v>
      </c>
      <c r="H586" s="10">
        <v>25.2</v>
      </c>
      <c r="I586" s="21">
        <f>Table1[[#This Row],[BRUTTO_monthly_bill_eur]]/1.19</f>
        <v>90.64705882352942</v>
      </c>
      <c r="J586" s="21">
        <f>Table1[[#This Row],[monthly_consumption_kwh]]*Table1[[#This Row],[NETTO_procurement_cost_ct_per_kwh]]/100</f>
        <v>69.3</v>
      </c>
      <c r="K586" s="21">
        <f>Table1[[#This Row],[NETTO_monthly_revenue(€)]]-Table1[[#This Row],[procurement_cost_(€)]]</f>
        <v>21.347058823529423</v>
      </c>
      <c r="L586" s="21">
        <f t="shared" si="27"/>
        <v>7.7625668449197898</v>
      </c>
      <c r="M586" s="21" t="str">
        <f t="shared" si="28"/>
        <v>2024-01</v>
      </c>
      <c r="N586" s="21">
        <f t="shared" si="29"/>
        <v>90.64705882352942</v>
      </c>
    </row>
    <row r="587" spans="1:14">
      <c r="A587" s="9" t="s">
        <v>1000</v>
      </c>
      <c r="B587" s="8">
        <v>12</v>
      </c>
      <c r="C587" s="8" t="s">
        <v>39</v>
      </c>
      <c r="D587" s="8" t="s">
        <v>56</v>
      </c>
      <c r="E587" s="8" t="s">
        <v>730</v>
      </c>
      <c r="F587" s="8">
        <v>162</v>
      </c>
      <c r="G587" s="8">
        <v>71.44</v>
      </c>
      <c r="H587" s="10">
        <v>28.42</v>
      </c>
      <c r="I587" s="21">
        <f>Table1[[#This Row],[BRUTTO_monthly_bill_eur]]/1.19</f>
        <v>60.033613445378151</v>
      </c>
      <c r="J587" s="21">
        <f>Table1[[#This Row],[monthly_consumption_kwh]]*Table1[[#This Row],[NETTO_procurement_cost_ct_per_kwh]]/100</f>
        <v>46.040399999999998</v>
      </c>
      <c r="K587" s="21">
        <f>Table1[[#This Row],[NETTO_monthly_revenue(€)]]-Table1[[#This Row],[procurement_cost_(€)]]</f>
        <v>13.993213445378153</v>
      </c>
      <c r="L587" s="21">
        <f t="shared" si="27"/>
        <v>8.6377860773939226</v>
      </c>
      <c r="M587" s="21" t="str">
        <f t="shared" si="28"/>
        <v>06.03.2025</v>
      </c>
      <c r="N587" s="21">
        <f t="shared" si="29"/>
        <v>60.033613445378151</v>
      </c>
    </row>
    <row r="588" spans="1:14">
      <c r="A588" s="9" t="s">
        <v>1001</v>
      </c>
      <c r="B588" s="8">
        <v>12</v>
      </c>
      <c r="C588" s="8" t="s">
        <v>51</v>
      </c>
      <c r="D588" s="8" t="s">
        <v>36</v>
      </c>
      <c r="E588" s="8" t="s">
        <v>1002</v>
      </c>
      <c r="F588" s="8">
        <v>624</v>
      </c>
      <c r="G588" s="8">
        <v>202.33</v>
      </c>
      <c r="H588" s="10">
        <v>21.38</v>
      </c>
      <c r="I588" s="21">
        <f>Table1[[#This Row],[BRUTTO_monthly_bill_eur]]/1.19</f>
        <v>170.02521008403363</v>
      </c>
      <c r="J588" s="21">
        <f>Table1[[#This Row],[monthly_consumption_kwh]]*Table1[[#This Row],[NETTO_procurement_cost_ct_per_kwh]]/100</f>
        <v>133.41119999999998</v>
      </c>
      <c r="K588" s="21">
        <f>Table1[[#This Row],[NETTO_monthly_revenue(€)]]-Table1[[#This Row],[procurement_cost_(€)]]</f>
        <v>36.614010084033652</v>
      </c>
      <c r="L588" s="21">
        <f t="shared" si="27"/>
        <v>5.8676298211592393</v>
      </c>
      <c r="M588" s="21" t="str">
        <f t="shared" si="28"/>
        <v>16.05.2025</v>
      </c>
      <c r="N588" s="21">
        <f t="shared" si="29"/>
        <v>170.02521008403363</v>
      </c>
    </row>
    <row r="589" spans="1:14">
      <c r="A589" s="9" t="s">
        <v>1003</v>
      </c>
      <c r="B589" s="8">
        <v>12</v>
      </c>
      <c r="C589" s="8" t="s">
        <v>39</v>
      </c>
      <c r="D589" s="8" t="s">
        <v>36</v>
      </c>
      <c r="E589" s="8" t="s">
        <v>262</v>
      </c>
      <c r="F589" s="8">
        <v>147</v>
      </c>
      <c r="G589" s="8">
        <v>63.89</v>
      </c>
      <c r="H589" s="10">
        <v>29.86</v>
      </c>
      <c r="I589" s="21">
        <f>Table1[[#This Row],[BRUTTO_monthly_bill_eur]]/1.19</f>
        <v>53.689075630252105</v>
      </c>
      <c r="J589" s="21">
        <f>Table1[[#This Row],[monthly_consumption_kwh]]*Table1[[#This Row],[NETTO_procurement_cost_ct_per_kwh]]/100</f>
        <v>43.894199999999998</v>
      </c>
      <c r="K589" s="21">
        <f>Table1[[#This Row],[NETTO_monthly_revenue(€)]]-Table1[[#This Row],[procurement_cost_(€)]]</f>
        <v>9.7948756302521076</v>
      </c>
      <c r="L589" s="21">
        <f t="shared" si="27"/>
        <v>6.6631807008517745</v>
      </c>
      <c r="M589" s="21" t="str">
        <f t="shared" si="28"/>
        <v>18.04.2024</v>
      </c>
      <c r="N589" s="21">
        <f t="shared" si="29"/>
        <v>53.689075630252105</v>
      </c>
    </row>
    <row r="590" spans="1:14">
      <c r="A590" s="9" t="s">
        <v>1004</v>
      </c>
      <c r="B590" s="8">
        <v>12</v>
      </c>
      <c r="C590" s="8" t="s">
        <v>51</v>
      </c>
      <c r="D590" s="8" t="s">
        <v>46</v>
      </c>
      <c r="E590" s="8" t="s">
        <v>1005</v>
      </c>
      <c r="F590" s="8">
        <v>596</v>
      </c>
      <c r="G590" s="8">
        <v>200.42</v>
      </c>
      <c r="H590" s="10">
        <v>17.09</v>
      </c>
      <c r="I590" s="21">
        <f>Table1[[#This Row],[BRUTTO_monthly_bill_eur]]/1.19</f>
        <v>168.42016806722688</v>
      </c>
      <c r="J590" s="21">
        <f>Table1[[#This Row],[monthly_consumption_kwh]]*Table1[[#This Row],[NETTO_procurement_cost_ct_per_kwh]]/100</f>
        <v>101.85639999999999</v>
      </c>
      <c r="K590" s="21">
        <f>Table1[[#This Row],[NETTO_monthly_revenue(€)]]-Table1[[#This Row],[procurement_cost_(€)]]</f>
        <v>66.563768067226889</v>
      </c>
      <c r="L590" s="21">
        <f t="shared" si="27"/>
        <v>11.168417460944109</v>
      </c>
      <c r="M590" s="21" t="str">
        <f t="shared" si="28"/>
        <v>19.03.2025</v>
      </c>
      <c r="N590" s="21">
        <f t="shared" si="29"/>
        <v>168.42016806722688</v>
      </c>
    </row>
    <row r="591" spans="1:14">
      <c r="A591" s="9" t="s">
        <v>1006</v>
      </c>
      <c r="B591" s="8">
        <v>12</v>
      </c>
      <c r="C591" s="8" t="s">
        <v>35</v>
      </c>
      <c r="D591" s="8" t="s">
        <v>56</v>
      </c>
      <c r="E591" s="8" t="s">
        <v>210</v>
      </c>
      <c r="F591" s="8">
        <v>277</v>
      </c>
      <c r="G591" s="8">
        <v>108.33</v>
      </c>
      <c r="H591" s="10">
        <v>25.92</v>
      </c>
      <c r="I591" s="21">
        <f>Table1[[#This Row],[BRUTTO_monthly_bill_eur]]/1.19</f>
        <v>91.033613445378151</v>
      </c>
      <c r="J591" s="21">
        <f>Table1[[#This Row],[monthly_consumption_kwh]]*Table1[[#This Row],[NETTO_procurement_cost_ct_per_kwh]]/100</f>
        <v>71.798400000000001</v>
      </c>
      <c r="K591" s="21">
        <f>Table1[[#This Row],[NETTO_monthly_revenue(€)]]-Table1[[#This Row],[procurement_cost_(€)]]</f>
        <v>19.23521344537815</v>
      </c>
      <c r="L591" s="21">
        <f t="shared" si="27"/>
        <v>6.9441203773928342</v>
      </c>
      <c r="M591" s="21" t="str">
        <f t="shared" si="28"/>
        <v>05.01.2025</v>
      </c>
      <c r="N591" s="21">
        <f t="shared" si="29"/>
        <v>91.033613445378151</v>
      </c>
    </row>
    <row r="592" spans="1:14">
      <c r="A592" s="9" t="s">
        <v>1007</v>
      </c>
      <c r="B592" s="8">
        <v>12</v>
      </c>
      <c r="C592" s="8" t="s">
        <v>39</v>
      </c>
      <c r="D592" s="8" t="s">
        <v>36</v>
      </c>
      <c r="E592" s="8" t="s">
        <v>112</v>
      </c>
      <c r="F592" s="8">
        <v>105</v>
      </c>
      <c r="G592" s="8">
        <v>47.3</v>
      </c>
      <c r="H592" s="10">
        <v>28.86</v>
      </c>
      <c r="I592" s="21">
        <f>Table1[[#This Row],[BRUTTO_monthly_bill_eur]]/1.19</f>
        <v>39.747899159663866</v>
      </c>
      <c r="J592" s="21">
        <f>Table1[[#This Row],[monthly_consumption_kwh]]*Table1[[#This Row],[NETTO_procurement_cost_ct_per_kwh]]/100</f>
        <v>30.302999999999997</v>
      </c>
      <c r="K592" s="21">
        <f>Table1[[#This Row],[NETTO_monthly_revenue(€)]]-Table1[[#This Row],[procurement_cost_(€)]]</f>
        <v>9.4448991596638692</v>
      </c>
      <c r="L592" s="21">
        <f t="shared" si="27"/>
        <v>8.9951420568227327</v>
      </c>
      <c r="M592" s="21" t="str">
        <f t="shared" si="28"/>
        <v>15.04.2025</v>
      </c>
      <c r="N592" s="21">
        <f t="shared" si="29"/>
        <v>39.747899159663866</v>
      </c>
    </row>
    <row r="593" spans="1:14">
      <c r="A593" s="9" t="s">
        <v>1008</v>
      </c>
      <c r="B593" s="8">
        <v>24</v>
      </c>
      <c r="C593" s="8" t="s">
        <v>39</v>
      </c>
      <c r="D593" s="8" t="s">
        <v>56</v>
      </c>
      <c r="E593" s="8" t="s">
        <v>269</v>
      </c>
      <c r="F593" s="8">
        <v>159</v>
      </c>
      <c r="G593" s="8">
        <v>66.45</v>
      </c>
      <c r="H593" s="10">
        <v>30.27</v>
      </c>
      <c r="I593" s="21">
        <f>Table1[[#This Row],[BRUTTO_monthly_bill_eur]]/1.19</f>
        <v>55.840336134453786</v>
      </c>
      <c r="J593" s="21">
        <f>Table1[[#This Row],[monthly_consumption_kwh]]*Table1[[#This Row],[NETTO_procurement_cost_ct_per_kwh]]/100</f>
        <v>48.129300000000001</v>
      </c>
      <c r="K593" s="21">
        <f>Table1[[#This Row],[NETTO_monthly_revenue(€)]]-Table1[[#This Row],[procurement_cost_(€)]]</f>
        <v>7.711036134453785</v>
      </c>
      <c r="L593" s="21">
        <f t="shared" si="27"/>
        <v>4.8497082606627577</v>
      </c>
      <c r="M593" s="21" t="str">
        <f t="shared" si="28"/>
        <v>05.06.2024</v>
      </c>
      <c r="N593" s="21">
        <f t="shared" si="29"/>
        <v>55.840336134453786</v>
      </c>
    </row>
    <row r="594" spans="1:14">
      <c r="A594" s="9" t="s">
        <v>1009</v>
      </c>
      <c r="B594" s="8">
        <v>12</v>
      </c>
      <c r="C594" s="8" t="s">
        <v>39</v>
      </c>
      <c r="D594" s="8" t="s">
        <v>46</v>
      </c>
      <c r="E594" s="8" t="s">
        <v>248</v>
      </c>
      <c r="F594" s="8">
        <v>139</v>
      </c>
      <c r="G594" s="8">
        <v>62.57</v>
      </c>
      <c r="H594" s="10">
        <v>30.38</v>
      </c>
      <c r="I594" s="21">
        <f>Table1[[#This Row],[BRUTTO_monthly_bill_eur]]/1.19</f>
        <v>52.579831932773111</v>
      </c>
      <c r="J594" s="21">
        <f>Table1[[#This Row],[monthly_consumption_kwh]]*Table1[[#This Row],[NETTO_procurement_cost_ct_per_kwh]]/100</f>
        <v>42.228199999999994</v>
      </c>
      <c r="K594" s="21">
        <f>Table1[[#This Row],[NETTO_monthly_revenue(€)]]-Table1[[#This Row],[procurement_cost_(€)]]</f>
        <v>10.351631932773117</v>
      </c>
      <c r="L594" s="21">
        <f t="shared" si="27"/>
        <v>7.4472172178223852</v>
      </c>
      <c r="M594" s="21" t="str">
        <f t="shared" si="28"/>
        <v>21.03.2025</v>
      </c>
      <c r="N594" s="21">
        <f t="shared" si="29"/>
        <v>52.579831932773111</v>
      </c>
    </row>
    <row r="595" spans="1:14">
      <c r="A595" s="9" t="s">
        <v>1010</v>
      </c>
      <c r="B595" s="8">
        <v>12</v>
      </c>
      <c r="C595" s="8" t="s">
        <v>35</v>
      </c>
      <c r="D595" s="8" t="s">
        <v>36</v>
      </c>
      <c r="E595" s="8" t="s">
        <v>801</v>
      </c>
      <c r="F595" s="8">
        <v>260</v>
      </c>
      <c r="G595" s="8">
        <v>97.19</v>
      </c>
      <c r="H595" s="10">
        <v>26.96</v>
      </c>
      <c r="I595" s="21">
        <f>Table1[[#This Row],[BRUTTO_monthly_bill_eur]]/1.19</f>
        <v>81.672268907563023</v>
      </c>
      <c r="J595" s="21">
        <f>Table1[[#This Row],[monthly_consumption_kwh]]*Table1[[#This Row],[NETTO_procurement_cost_ct_per_kwh]]/100</f>
        <v>70.096000000000004</v>
      </c>
      <c r="K595" s="21">
        <f>Table1[[#This Row],[NETTO_monthly_revenue(€)]]-Table1[[#This Row],[procurement_cost_(€)]]</f>
        <v>11.576268907563019</v>
      </c>
      <c r="L595" s="21">
        <f t="shared" si="27"/>
        <v>4.4524111182934689</v>
      </c>
      <c r="M595" s="21" t="str">
        <f t="shared" si="28"/>
        <v>29.06.2024</v>
      </c>
      <c r="N595" s="21">
        <f t="shared" si="29"/>
        <v>81.672268907563023</v>
      </c>
    </row>
    <row r="596" spans="1:14">
      <c r="A596" s="9" t="s">
        <v>1011</v>
      </c>
      <c r="B596" s="8">
        <v>24</v>
      </c>
      <c r="C596" s="8" t="s">
        <v>39</v>
      </c>
      <c r="D596" s="8" t="s">
        <v>36</v>
      </c>
      <c r="E596" s="8" t="s">
        <v>1012</v>
      </c>
      <c r="F596" s="8">
        <v>92</v>
      </c>
      <c r="G596" s="8">
        <v>45.1</v>
      </c>
      <c r="H596" s="10">
        <v>28.13</v>
      </c>
      <c r="I596" s="21">
        <f>Table1[[#This Row],[BRUTTO_monthly_bill_eur]]/1.19</f>
        <v>37.899159663865547</v>
      </c>
      <c r="J596" s="21">
        <f>Table1[[#This Row],[monthly_consumption_kwh]]*Table1[[#This Row],[NETTO_procurement_cost_ct_per_kwh]]/100</f>
        <v>25.8796</v>
      </c>
      <c r="K596" s="21">
        <f>Table1[[#This Row],[NETTO_monthly_revenue(€)]]-Table1[[#This Row],[procurement_cost_(€)]]</f>
        <v>12.019559663865547</v>
      </c>
      <c r="L596" s="21">
        <f t="shared" si="27"/>
        <v>13.064738765071246</v>
      </c>
      <c r="M596" s="21" t="str">
        <f t="shared" si="28"/>
        <v>18.06.2025</v>
      </c>
      <c r="N596" s="21">
        <f t="shared" si="29"/>
        <v>37.899159663865547</v>
      </c>
    </row>
    <row r="597" spans="1:14">
      <c r="A597" s="9" t="s">
        <v>1013</v>
      </c>
      <c r="B597" s="8">
        <v>12</v>
      </c>
      <c r="C597" s="8" t="s">
        <v>51</v>
      </c>
      <c r="D597" s="8" t="s">
        <v>56</v>
      </c>
      <c r="E597" s="8" t="s">
        <v>166</v>
      </c>
      <c r="F597" s="8">
        <v>482</v>
      </c>
      <c r="G597" s="8">
        <v>163.04</v>
      </c>
      <c r="H597" s="10">
        <v>19.79</v>
      </c>
      <c r="I597" s="21">
        <f>Table1[[#This Row],[BRUTTO_monthly_bill_eur]]/1.19</f>
        <v>137.00840336134453</v>
      </c>
      <c r="J597" s="21">
        <f>Table1[[#This Row],[monthly_consumption_kwh]]*Table1[[#This Row],[NETTO_procurement_cost_ct_per_kwh]]/100</f>
        <v>95.387799999999984</v>
      </c>
      <c r="K597" s="21">
        <f>Table1[[#This Row],[NETTO_monthly_revenue(€)]]-Table1[[#This Row],[procurement_cost_(€)]]</f>
        <v>41.62060336134455</v>
      </c>
      <c r="L597" s="21">
        <f t="shared" si="27"/>
        <v>8.6349799504864215</v>
      </c>
      <c r="M597" s="21" t="str">
        <f t="shared" si="28"/>
        <v>03.10.2024</v>
      </c>
      <c r="N597" s="21">
        <f t="shared" si="29"/>
        <v>137.00840336134453</v>
      </c>
    </row>
    <row r="598" spans="1:14">
      <c r="A598" s="9" t="s">
        <v>1014</v>
      </c>
      <c r="B598" s="8">
        <v>24</v>
      </c>
      <c r="C598" s="8" t="s">
        <v>35</v>
      </c>
      <c r="D598" s="8" t="s">
        <v>36</v>
      </c>
      <c r="E598" s="8" t="s">
        <v>1015</v>
      </c>
      <c r="F598" s="8">
        <v>243</v>
      </c>
      <c r="G598" s="8">
        <v>94.65</v>
      </c>
      <c r="H598" s="10">
        <v>26.13</v>
      </c>
      <c r="I598" s="21">
        <f>Table1[[#This Row],[BRUTTO_monthly_bill_eur]]/1.19</f>
        <v>79.537815126050432</v>
      </c>
      <c r="J598" s="21">
        <f>Table1[[#This Row],[monthly_consumption_kwh]]*Table1[[#This Row],[NETTO_procurement_cost_ct_per_kwh]]/100</f>
        <v>63.495899999999999</v>
      </c>
      <c r="K598" s="21">
        <f>Table1[[#This Row],[NETTO_monthly_revenue(€)]]-Table1[[#This Row],[procurement_cost_(€)]]</f>
        <v>16.041915126050434</v>
      </c>
      <c r="L598" s="21">
        <f t="shared" si="27"/>
        <v>6.6016111629837173</v>
      </c>
      <c r="M598" s="21" t="str">
        <f t="shared" si="28"/>
        <v>10.05.2025</v>
      </c>
      <c r="N598" s="21">
        <f t="shared" si="29"/>
        <v>79.537815126050432</v>
      </c>
    </row>
    <row r="599" spans="1:14">
      <c r="A599" s="9" t="s">
        <v>1016</v>
      </c>
      <c r="B599" s="8">
        <v>12</v>
      </c>
      <c r="C599" s="8" t="s">
        <v>39</v>
      </c>
      <c r="D599" s="8" t="s">
        <v>36</v>
      </c>
      <c r="E599" s="8" t="s">
        <v>748</v>
      </c>
      <c r="F599" s="8">
        <v>156</v>
      </c>
      <c r="G599" s="8">
        <v>64.84</v>
      </c>
      <c r="H599" s="10">
        <v>28.41</v>
      </c>
      <c r="I599" s="21">
        <f>Table1[[#This Row],[BRUTTO_monthly_bill_eur]]/1.19</f>
        <v>54.487394957983199</v>
      </c>
      <c r="J599" s="21">
        <f>Table1[[#This Row],[monthly_consumption_kwh]]*Table1[[#This Row],[NETTO_procurement_cost_ct_per_kwh]]/100</f>
        <v>44.319600000000001</v>
      </c>
      <c r="K599" s="21">
        <f>Table1[[#This Row],[NETTO_monthly_revenue(€)]]-Table1[[#This Row],[procurement_cost_(€)]]</f>
        <v>10.167794957983197</v>
      </c>
      <c r="L599" s="21">
        <f t="shared" si="27"/>
        <v>6.51781728075846</v>
      </c>
      <c r="M599" s="21" t="str">
        <f t="shared" si="28"/>
        <v>21.04.2025</v>
      </c>
      <c r="N599" s="21">
        <f t="shared" si="29"/>
        <v>54.487394957983199</v>
      </c>
    </row>
    <row r="600" spans="1:14">
      <c r="A600" s="9" t="s">
        <v>1017</v>
      </c>
      <c r="B600" s="8">
        <v>12</v>
      </c>
      <c r="C600" s="8" t="s">
        <v>35</v>
      </c>
      <c r="D600" s="8" t="s">
        <v>36</v>
      </c>
      <c r="E600" s="8" t="s">
        <v>691</v>
      </c>
      <c r="F600" s="8">
        <v>258</v>
      </c>
      <c r="G600" s="8">
        <v>96.41</v>
      </c>
      <c r="H600" s="10">
        <v>22.69</v>
      </c>
      <c r="I600" s="21">
        <f>Table1[[#This Row],[BRUTTO_monthly_bill_eur]]/1.19</f>
        <v>81.016806722689083</v>
      </c>
      <c r="J600" s="21">
        <f>Table1[[#This Row],[monthly_consumption_kwh]]*Table1[[#This Row],[NETTO_procurement_cost_ct_per_kwh]]/100</f>
        <v>58.540200000000006</v>
      </c>
      <c r="K600" s="21">
        <f>Table1[[#This Row],[NETTO_monthly_revenue(€)]]-Table1[[#This Row],[procurement_cost_(€)]]</f>
        <v>22.476606722689077</v>
      </c>
      <c r="L600" s="21">
        <f t="shared" si="27"/>
        <v>8.71186307080972</v>
      </c>
      <c r="M600" s="21" t="str">
        <f t="shared" si="28"/>
        <v>22.03.2025</v>
      </c>
      <c r="N600" s="21">
        <f t="shared" si="29"/>
        <v>81.016806722689083</v>
      </c>
    </row>
    <row r="601" spans="1:14">
      <c r="A601" s="9" t="s">
        <v>1018</v>
      </c>
      <c r="B601" s="8">
        <v>12</v>
      </c>
      <c r="C601" s="8" t="s">
        <v>35</v>
      </c>
      <c r="D601" s="8" t="s">
        <v>56</v>
      </c>
      <c r="E601" s="8" t="s">
        <v>181</v>
      </c>
      <c r="F601" s="8">
        <v>230</v>
      </c>
      <c r="G601" s="8">
        <v>88.43</v>
      </c>
      <c r="H601" s="10">
        <v>24.27</v>
      </c>
      <c r="I601" s="21">
        <f>Table1[[#This Row],[BRUTTO_monthly_bill_eur]]/1.19</f>
        <v>74.310924369747909</v>
      </c>
      <c r="J601" s="21">
        <f>Table1[[#This Row],[monthly_consumption_kwh]]*Table1[[#This Row],[NETTO_procurement_cost_ct_per_kwh]]/100</f>
        <v>55.820999999999998</v>
      </c>
      <c r="K601" s="21">
        <f>Table1[[#This Row],[NETTO_monthly_revenue(€)]]-Table1[[#This Row],[procurement_cost_(€)]]</f>
        <v>18.489924369747911</v>
      </c>
      <c r="L601" s="21">
        <f t="shared" si="27"/>
        <v>8.0390975520643089</v>
      </c>
      <c r="M601" s="21" t="str">
        <f t="shared" si="28"/>
        <v>01.10.2024</v>
      </c>
      <c r="N601" s="21">
        <f t="shared" si="29"/>
        <v>74.310924369747909</v>
      </c>
    </row>
    <row r="602" spans="1:14">
      <c r="A602" s="9" t="s">
        <v>1019</v>
      </c>
      <c r="B602" s="8">
        <v>12</v>
      </c>
      <c r="C602" s="8" t="s">
        <v>39</v>
      </c>
      <c r="D602" s="8" t="s">
        <v>46</v>
      </c>
      <c r="E602" s="8" t="s">
        <v>1020</v>
      </c>
      <c r="F602" s="8">
        <v>165</v>
      </c>
      <c r="G602" s="8">
        <v>66.88</v>
      </c>
      <c r="H602" s="10">
        <v>29.19</v>
      </c>
      <c r="I602" s="21">
        <f>Table1[[#This Row],[BRUTTO_monthly_bill_eur]]/1.19</f>
        <v>56.201680672268907</v>
      </c>
      <c r="J602" s="21">
        <f>Table1[[#This Row],[monthly_consumption_kwh]]*Table1[[#This Row],[NETTO_procurement_cost_ct_per_kwh]]/100</f>
        <v>48.163500000000006</v>
      </c>
      <c r="K602" s="21">
        <f>Table1[[#This Row],[NETTO_monthly_revenue(€)]]-Table1[[#This Row],[procurement_cost_(€)]]</f>
        <v>8.0381806722689007</v>
      </c>
      <c r="L602" s="21">
        <f t="shared" si="27"/>
        <v>4.8716246498599398</v>
      </c>
      <c r="M602" s="21" t="str">
        <f t="shared" si="28"/>
        <v>26.11.2024</v>
      </c>
      <c r="N602" s="21">
        <f t="shared" si="29"/>
        <v>56.201680672268907</v>
      </c>
    </row>
    <row r="603" spans="1:14">
      <c r="A603" s="9" t="s">
        <v>1021</v>
      </c>
      <c r="B603" s="8">
        <v>12</v>
      </c>
      <c r="C603" s="8" t="s">
        <v>39</v>
      </c>
      <c r="D603" s="8" t="s">
        <v>46</v>
      </c>
      <c r="E603" s="8" t="s">
        <v>1022</v>
      </c>
      <c r="F603" s="8">
        <v>92</v>
      </c>
      <c r="G603" s="8">
        <v>47.46</v>
      </c>
      <c r="H603" s="10">
        <v>31.75</v>
      </c>
      <c r="I603" s="21">
        <f>Table1[[#This Row],[BRUTTO_monthly_bill_eur]]/1.19</f>
        <v>39.882352941176471</v>
      </c>
      <c r="J603" s="21">
        <f>Table1[[#This Row],[monthly_consumption_kwh]]*Table1[[#This Row],[NETTO_procurement_cost_ct_per_kwh]]/100</f>
        <v>29.21</v>
      </c>
      <c r="K603" s="21">
        <f>Table1[[#This Row],[NETTO_monthly_revenue(€)]]-Table1[[#This Row],[procurement_cost_(€)]]</f>
        <v>10.67235294117647</v>
      </c>
      <c r="L603" s="21">
        <f t="shared" si="27"/>
        <v>11.600383631713553</v>
      </c>
      <c r="M603" s="21" t="str">
        <f t="shared" si="28"/>
        <v>08.09.2024</v>
      </c>
      <c r="N603" s="21">
        <f t="shared" si="29"/>
        <v>39.882352941176471</v>
      </c>
    </row>
    <row r="604" spans="1:14">
      <c r="A604" s="9" t="s">
        <v>1023</v>
      </c>
      <c r="B604" s="8">
        <v>12</v>
      </c>
      <c r="C604" s="8" t="s">
        <v>39</v>
      </c>
      <c r="D604" s="8" t="s">
        <v>36</v>
      </c>
      <c r="E604" s="8" t="s">
        <v>1024</v>
      </c>
      <c r="F604" s="8">
        <v>118</v>
      </c>
      <c r="G604" s="8">
        <v>57.41</v>
      </c>
      <c r="H604" s="10">
        <v>31.27</v>
      </c>
      <c r="I604" s="21">
        <f>Table1[[#This Row],[BRUTTO_monthly_bill_eur]]/1.19</f>
        <v>48.243697478991599</v>
      </c>
      <c r="J604" s="21">
        <f>Table1[[#This Row],[monthly_consumption_kwh]]*Table1[[#This Row],[NETTO_procurement_cost_ct_per_kwh]]/100</f>
        <v>36.898600000000002</v>
      </c>
      <c r="K604" s="21">
        <f>Table1[[#This Row],[NETTO_monthly_revenue(€)]]-Table1[[#This Row],[procurement_cost_(€)]]</f>
        <v>11.345097478991597</v>
      </c>
      <c r="L604" s="21">
        <f t="shared" si="27"/>
        <v>9.6144893889759295</v>
      </c>
      <c r="M604" s="21" t="str">
        <f t="shared" si="28"/>
        <v>2024-03</v>
      </c>
      <c r="N604" s="21">
        <f t="shared" si="29"/>
        <v>48.243697478991599</v>
      </c>
    </row>
    <row r="605" spans="1:14">
      <c r="A605" s="9" t="s">
        <v>1025</v>
      </c>
      <c r="B605" s="8">
        <v>12</v>
      </c>
      <c r="C605" s="8" t="s">
        <v>35</v>
      </c>
      <c r="D605" s="8" t="s">
        <v>46</v>
      </c>
      <c r="E605" s="8" t="s">
        <v>1026</v>
      </c>
      <c r="F605" s="8">
        <v>45363</v>
      </c>
      <c r="G605" s="8">
        <v>67.87</v>
      </c>
      <c r="H605" s="10">
        <v>25.93</v>
      </c>
      <c r="I605" s="21">
        <f>Table1[[#This Row],[BRUTTO_monthly_bill_eur]]/1.19</f>
        <v>57.033613445378158</v>
      </c>
      <c r="J605" s="21">
        <f>Table1[[#This Row],[monthly_consumption_kwh]]*Table1[[#This Row],[NETTO_procurement_cost_ct_per_kwh]]/100</f>
        <v>11762.625900000001</v>
      </c>
      <c r="K605" s="21">
        <f>Table1[[#This Row],[NETTO_monthly_revenue(€)]]-Table1[[#This Row],[procurement_cost_(€)]]</f>
        <v>-11705.592286554624</v>
      </c>
      <c r="L605" s="21">
        <f t="shared" si="27"/>
        <v>-25.804272835911696</v>
      </c>
      <c r="M605" s="21" t="str">
        <f t="shared" si="28"/>
        <v>2024-10</v>
      </c>
      <c r="N605" s="21">
        <f t="shared" si="29"/>
        <v>57.033613445378158</v>
      </c>
    </row>
    <row r="606" spans="1:14">
      <c r="A606" s="9" t="s">
        <v>1027</v>
      </c>
      <c r="B606" s="8">
        <v>12</v>
      </c>
      <c r="C606" s="8" t="s">
        <v>35</v>
      </c>
      <c r="D606" s="8" t="s">
        <v>46</v>
      </c>
      <c r="E606" s="8" t="s">
        <v>1028</v>
      </c>
      <c r="F606" s="8">
        <v>290</v>
      </c>
      <c r="G606" s="8">
        <v>110.32</v>
      </c>
      <c r="H606" s="10">
        <v>23.04</v>
      </c>
      <c r="I606" s="21">
        <f>Table1[[#This Row],[BRUTTO_monthly_bill_eur]]/1.19</f>
        <v>92.705882352941174</v>
      </c>
      <c r="J606" s="21">
        <f>Table1[[#This Row],[monthly_consumption_kwh]]*Table1[[#This Row],[NETTO_procurement_cost_ct_per_kwh]]/100</f>
        <v>66.815999999999988</v>
      </c>
      <c r="K606" s="21">
        <f>Table1[[#This Row],[NETTO_monthly_revenue(€)]]-Table1[[#This Row],[procurement_cost_(€)]]</f>
        <v>25.889882352941186</v>
      </c>
      <c r="L606" s="21">
        <f t="shared" si="27"/>
        <v>8.9275456389452366</v>
      </c>
      <c r="M606" s="21" t="str">
        <f t="shared" si="28"/>
        <v>06.04.2025</v>
      </c>
      <c r="N606" s="21">
        <f t="shared" si="29"/>
        <v>92.705882352941174</v>
      </c>
    </row>
    <row r="607" spans="1:14">
      <c r="A607" s="9" t="s">
        <v>1029</v>
      </c>
      <c r="B607" s="8">
        <v>12</v>
      </c>
      <c r="C607" s="8" t="s">
        <v>35</v>
      </c>
      <c r="D607" s="8" t="s">
        <v>56</v>
      </c>
      <c r="E607" s="8" t="s">
        <v>792</v>
      </c>
      <c r="F607" s="8">
        <v>319</v>
      </c>
      <c r="G607" s="8">
        <v>124.73</v>
      </c>
      <c r="H607" s="10">
        <v>25.88</v>
      </c>
      <c r="I607" s="21">
        <f>Table1[[#This Row],[BRUTTO_monthly_bill_eur]]/1.19</f>
        <v>104.81512605042018</v>
      </c>
      <c r="J607" s="21">
        <f>Table1[[#This Row],[monthly_consumption_kwh]]*Table1[[#This Row],[NETTO_procurement_cost_ct_per_kwh]]/100</f>
        <v>82.557199999999995</v>
      </c>
      <c r="K607" s="21">
        <f>Table1[[#This Row],[NETTO_monthly_revenue(€)]]-Table1[[#This Row],[procurement_cost_(€)]]</f>
        <v>22.257926050420181</v>
      </c>
      <c r="L607" s="21">
        <f t="shared" si="27"/>
        <v>6.9774062853981755</v>
      </c>
      <c r="M607" s="21" t="str">
        <f t="shared" si="28"/>
        <v>06.09.2024</v>
      </c>
      <c r="N607" s="21">
        <f t="shared" si="29"/>
        <v>104.81512605042018</v>
      </c>
    </row>
    <row r="608" spans="1:14">
      <c r="A608" s="9" t="s">
        <v>1030</v>
      </c>
      <c r="B608" s="8">
        <v>12</v>
      </c>
      <c r="C608" s="8" t="s">
        <v>51</v>
      </c>
      <c r="D608" s="8" t="s">
        <v>56</v>
      </c>
      <c r="E608" s="8" t="s">
        <v>805</v>
      </c>
      <c r="F608" s="8">
        <v>426</v>
      </c>
      <c r="G608" s="8">
        <v>151.36000000000001</v>
      </c>
      <c r="H608" s="10">
        <v>18.66</v>
      </c>
      <c r="I608" s="21">
        <f>Table1[[#This Row],[BRUTTO_monthly_bill_eur]]/1.19</f>
        <v>127.19327731092439</v>
      </c>
      <c r="J608" s="21">
        <f>Table1[[#This Row],[monthly_consumption_kwh]]*Table1[[#This Row],[NETTO_procurement_cost_ct_per_kwh]]/100</f>
        <v>79.491600000000005</v>
      </c>
      <c r="K608" s="21">
        <f>Table1[[#This Row],[NETTO_monthly_revenue(€)]]-Table1[[#This Row],[procurement_cost_(€)]]</f>
        <v>47.701677310924381</v>
      </c>
      <c r="L608" s="21">
        <f t="shared" si="27"/>
        <v>11.197576833550324</v>
      </c>
      <c r="M608" s="21" t="str">
        <f t="shared" si="28"/>
        <v>20.04.2025</v>
      </c>
      <c r="N608" s="21">
        <f t="shared" si="29"/>
        <v>127.19327731092439</v>
      </c>
    </row>
    <row r="609" spans="1:14">
      <c r="A609" s="9" t="s">
        <v>1031</v>
      </c>
      <c r="B609" s="8">
        <v>12</v>
      </c>
      <c r="C609" s="8" t="s">
        <v>51</v>
      </c>
      <c r="D609" s="8" t="s">
        <v>36</v>
      </c>
      <c r="E609" s="8" t="s">
        <v>164</v>
      </c>
      <c r="F609" s="8">
        <v>620</v>
      </c>
      <c r="G609" s="8">
        <v>196.36</v>
      </c>
      <c r="H609" s="10">
        <v>18.239999999999998</v>
      </c>
      <c r="I609" s="21">
        <f>Table1[[#This Row],[BRUTTO_monthly_bill_eur]]/1.19</f>
        <v>165.00840336134456</v>
      </c>
      <c r="J609" s="21">
        <f>Table1[[#This Row],[monthly_consumption_kwh]]*Table1[[#This Row],[NETTO_procurement_cost_ct_per_kwh]]/100</f>
        <v>113.08799999999999</v>
      </c>
      <c r="K609" s="21">
        <f>Table1[[#This Row],[NETTO_monthly_revenue(€)]]-Table1[[#This Row],[procurement_cost_(€)]]</f>
        <v>51.920403361344569</v>
      </c>
      <c r="L609" s="21">
        <f t="shared" si="27"/>
        <v>8.3742586066684783</v>
      </c>
      <c r="M609" s="21" t="str">
        <f t="shared" si="28"/>
        <v>23.01.2025</v>
      </c>
      <c r="N609" s="21">
        <f t="shared" si="29"/>
        <v>165.00840336134456</v>
      </c>
    </row>
    <row r="610" spans="1:14">
      <c r="A610" s="9" t="s">
        <v>1032</v>
      </c>
      <c r="B610" s="8">
        <v>12</v>
      </c>
      <c r="C610" s="8" t="s">
        <v>35</v>
      </c>
      <c r="D610" s="8" t="s">
        <v>46</v>
      </c>
      <c r="E610" s="8" t="s">
        <v>95</v>
      </c>
      <c r="F610" s="8">
        <v>216</v>
      </c>
      <c r="G610" s="8">
        <v>86.36</v>
      </c>
      <c r="H610" s="10">
        <v>22.2</v>
      </c>
      <c r="I610" s="21">
        <f>Table1[[#This Row],[BRUTTO_monthly_bill_eur]]/1.19</f>
        <v>72.571428571428569</v>
      </c>
      <c r="J610" s="21">
        <f>Table1[[#This Row],[monthly_consumption_kwh]]*Table1[[#This Row],[NETTO_procurement_cost_ct_per_kwh]]/100</f>
        <v>47.951999999999998</v>
      </c>
      <c r="K610" s="21">
        <f>Table1[[#This Row],[NETTO_monthly_revenue(€)]]-Table1[[#This Row],[procurement_cost_(€)]]</f>
        <v>24.619428571428571</v>
      </c>
      <c r="L610" s="21">
        <f t="shared" si="27"/>
        <v>11.397883597883597</v>
      </c>
      <c r="M610" s="21" t="str">
        <f t="shared" si="28"/>
        <v>10.12.2024</v>
      </c>
      <c r="N610" s="21">
        <f t="shared" si="29"/>
        <v>72.571428571428569</v>
      </c>
    </row>
    <row r="611" spans="1:14">
      <c r="A611" s="9" t="s">
        <v>1033</v>
      </c>
      <c r="B611" s="8">
        <v>24</v>
      </c>
      <c r="C611" s="8" t="s">
        <v>51</v>
      </c>
      <c r="D611" s="8" t="s">
        <v>36</v>
      </c>
      <c r="E611" s="8" t="s">
        <v>898</v>
      </c>
      <c r="F611" s="8">
        <v>637</v>
      </c>
      <c r="G611" s="8">
        <v>210.15</v>
      </c>
      <c r="H611" s="10">
        <v>16.760000000000002</v>
      </c>
      <c r="I611" s="21">
        <f>Table1[[#This Row],[BRUTTO_monthly_bill_eur]]/1.19</f>
        <v>176.59663865546219</v>
      </c>
      <c r="J611" s="21">
        <f>Table1[[#This Row],[monthly_consumption_kwh]]*Table1[[#This Row],[NETTO_procurement_cost_ct_per_kwh]]/100</f>
        <v>106.7612</v>
      </c>
      <c r="K611" s="21">
        <f>Table1[[#This Row],[NETTO_monthly_revenue(€)]]-Table1[[#This Row],[procurement_cost_(€)]]</f>
        <v>69.835438655462184</v>
      </c>
      <c r="L611" s="21">
        <f t="shared" si="27"/>
        <v>10.963177182961097</v>
      </c>
      <c r="M611" s="21" t="str">
        <f t="shared" si="28"/>
        <v>30.01.2024</v>
      </c>
      <c r="N611" s="21">
        <f t="shared" si="29"/>
        <v>176.59663865546219</v>
      </c>
    </row>
    <row r="612" spans="1:14">
      <c r="A612" s="9" t="s">
        <v>1034</v>
      </c>
      <c r="B612" s="8">
        <v>12</v>
      </c>
      <c r="C612" s="8" t="s">
        <v>39</v>
      </c>
      <c r="D612" s="8" t="s">
        <v>36</v>
      </c>
      <c r="E612" s="8" t="s">
        <v>789</v>
      </c>
      <c r="F612" s="8">
        <v>146</v>
      </c>
      <c r="G612" s="8">
        <v>63.32</v>
      </c>
      <c r="H612" s="10">
        <v>32.770000000000003</v>
      </c>
      <c r="I612" s="21">
        <f>Table1[[#This Row],[BRUTTO_monthly_bill_eur]]/1.19</f>
        <v>53.210084033613448</v>
      </c>
      <c r="J612" s="21">
        <f>Table1[[#This Row],[monthly_consumption_kwh]]*Table1[[#This Row],[NETTO_procurement_cost_ct_per_kwh]]/100</f>
        <v>47.844200000000001</v>
      </c>
      <c r="K612" s="21">
        <f>Table1[[#This Row],[NETTO_monthly_revenue(€)]]-Table1[[#This Row],[procurement_cost_(€)]]</f>
        <v>5.3658840336134475</v>
      </c>
      <c r="L612" s="21">
        <f t="shared" si="27"/>
        <v>3.6752630367215393</v>
      </c>
      <c r="M612" s="21" t="str">
        <f t="shared" si="28"/>
        <v>21.05.2025</v>
      </c>
      <c r="N612" s="21">
        <f t="shared" si="29"/>
        <v>53.210084033613448</v>
      </c>
    </row>
    <row r="613" spans="1:14">
      <c r="A613" s="9" t="s">
        <v>1035</v>
      </c>
      <c r="B613" s="8">
        <v>24</v>
      </c>
      <c r="C613" s="8" t="s">
        <v>39</v>
      </c>
      <c r="D613" s="8" t="s">
        <v>36</v>
      </c>
      <c r="E613" s="8" t="s">
        <v>170</v>
      </c>
      <c r="F613" s="8">
        <v>151</v>
      </c>
      <c r="G613" s="8">
        <v>61.34</v>
      </c>
      <c r="H613" s="10">
        <v>29.83</v>
      </c>
      <c r="I613" s="21">
        <f>Table1[[#This Row],[BRUTTO_monthly_bill_eur]]/1.19</f>
        <v>51.546218487394967</v>
      </c>
      <c r="J613" s="21">
        <f>Table1[[#This Row],[monthly_consumption_kwh]]*Table1[[#This Row],[NETTO_procurement_cost_ct_per_kwh]]/100</f>
        <v>45.043300000000002</v>
      </c>
      <c r="K613" s="21">
        <f>Table1[[#This Row],[NETTO_monthly_revenue(€)]]-Table1[[#This Row],[procurement_cost_(€)]]</f>
        <v>6.5029184873949646</v>
      </c>
      <c r="L613" s="21">
        <f t="shared" si="27"/>
        <v>4.306568534698652</v>
      </c>
      <c r="M613" s="21" t="str">
        <f t="shared" si="28"/>
        <v>28.11.2024</v>
      </c>
      <c r="N613" s="21">
        <f t="shared" si="29"/>
        <v>51.546218487394967</v>
      </c>
    </row>
    <row r="614" spans="1:14">
      <c r="A614" s="9" t="s">
        <v>1036</v>
      </c>
      <c r="B614" s="8">
        <v>24</v>
      </c>
      <c r="C614" s="8" t="s">
        <v>39</v>
      </c>
      <c r="D614" s="8" t="s">
        <v>36</v>
      </c>
      <c r="E614" s="8" t="s">
        <v>918</v>
      </c>
      <c r="F614" s="8">
        <v>84</v>
      </c>
      <c r="G614" s="8">
        <v>42.65</v>
      </c>
      <c r="H614" s="10">
        <v>28.91</v>
      </c>
      <c r="I614" s="21">
        <f>Table1[[#This Row],[BRUTTO_monthly_bill_eur]]/1.19</f>
        <v>35.840336134453779</v>
      </c>
      <c r="J614" s="21">
        <f>Table1[[#This Row],[monthly_consumption_kwh]]*Table1[[#This Row],[NETTO_procurement_cost_ct_per_kwh]]/100</f>
        <v>24.284400000000002</v>
      </c>
      <c r="K614" s="21">
        <f>Table1[[#This Row],[NETTO_monthly_revenue(€)]]-Table1[[#This Row],[procurement_cost_(€)]]</f>
        <v>11.555936134453777</v>
      </c>
      <c r="L614" s="21">
        <f t="shared" si="27"/>
        <v>13.757066826730687</v>
      </c>
      <c r="M614" s="21" t="str">
        <f t="shared" si="28"/>
        <v>05.07.2024</v>
      </c>
      <c r="N614" s="21">
        <f t="shared" si="29"/>
        <v>35.840336134453779</v>
      </c>
    </row>
    <row r="615" spans="1:14">
      <c r="A615" s="9" t="s">
        <v>1037</v>
      </c>
      <c r="B615" s="8">
        <v>12</v>
      </c>
      <c r="C615" s="8" t="s">
        <v>39</v>
      </c>
      <c r="D615" s="8" t="s">
        <v>36</v>
      </c>
      <c r="E615" s="8" t="s">
        <v>1038</v>
      </c>
      <c r="F615" s="8">
        <v>164</v>
      </c>
      <c r="G615" s="8">
        <v>65.03</v>
      </c>
      <c r="H615" s="10">
        <v>32.46</v>
      </c>
      <c r="I615" s="21">
        <f>Table1[[#This Row],[BRUTTO_monthly_bill_eur]]/1.19</f>
        <v>54.647058823529413</v>
      </c>
      <c r="J615" s="21">
        <f>Table1[[#This Row],[monthly_consumption_kwh]]*Table1[[#This Row],[NETTO_procurement_cost_ct_per_kwh]]/100</f>
        <v>53.234400000000008</v>
      </c>
      <c r="K615" s="21">
        <f>Table1[[#This Row],[NETTO_monthly_revenue(€)]]-Table1[[#This Row],[procurement_cost_(€)]]</f>
        <v>1.4126588235294051</v>
      </c>
      <c r="L615" s="21">
        <f t="shared" si="27"/>
        <v>0.86137733142036887</v>
      </c>
      <c r="M615" s="21" t="str">
        <f t="shared" si="28"/>
        <v>14.05.2025</v>
      </c>
      <c r="N615" s="21">
        <f t="shared" si="29"/>
        <v>54.647058823529413</v>
      </c>
    </row>
    <row r="616" spans="1:14">
      <c r="A616" s="9" t="s">
        <v>1039</v>
      </c>
      <c r="B616" s="8">
        <v>24</v>
      </c>
      <c r="C616" s="8" t="s">
        <v>35</v>
      </c>
      <c r="D616" s="8" t="s">
        <v>46</v>
      </c>
      <c r="E616" s="8" t="s">
        <v>189</v>
      </c>
      <c r="F616" s="8">
        <v>288</v>
      </c>
      <c r="G616" s="8">
        <v>104.73</v>
      </c>
      <c r="H616" s="10">
        <v>23.01</v>
      </c>
      <c r="I616" s="21">
        <f>Table1[[#This Row],[BRUTTO_monthly_bill_eur]]/1.19</f>
        <v>88.008403361344548</v>
      </c>
      <c r="J616" s="21">
        <f>Table1[[#This Row],[monthly_consumption_kwh]]*Table1[[#This Row],[NETTO_procurement_cost_ct_per_kwh]]/100</f>
        <v>66.268799999999999</v>
      </c>
      <c r="K616" s="21">
        <f>Table1[[#This Row],[NETTO_monthly_revenue(€)]]-Table1[[#This Row],[procurement_cost_(€)]]</f>
        <v>21.73960336134455</v>
      </c>
      <c r="L616" s="21">
        <f t="shared" si="27"/>
        <v>7.5484733893557463</v>
      </c>
      <c r="M616" s="21" t="str">
        <f t="shared" si="28"/>
        <v>05.08.2024</v>
      </c>
      <c r="N616" s="21">
        <f t="shared" si="29"/>
        <v>88.008403361344548</v>
      </c>
    </row>
    <row r="617" spans="1:14">
      <c r="A617" s="9" t="s">
        <v>1040</v>
      </c>
      <c r="B617" s="8">
        <v>24</v>
      </c>
      <c r="C617" s="8" t="s">
        <v>51</v>
      </c>
      <c r="D617" s="8" t="s">
        <v>36</v>
      </c>
      <c r="E617" s="8" t="s">
        <v>149</v>
      </c>
      <c r="F617" s="8">
        <v>435</v>
      </c>
      <c r="G617" s="8">
        <v>145.63</v>
      </c>
      <c r="H617" s="10">
        <v>19.39</v>
      </c>
      <c r="I617" s="21">
        <f>Table1[[#This Row],[BRUTTO_monthly_bill_eur]]/1.19</f>
        <v>122.3781512605042</v>
      </c>
      <c r="J617" s="21">
        <f>Table1[[#This Row],[monthly_consumption_kwh]]*Table1[[#This Row],[NETTO_procurement_cost_ct_per_kwh]]/100</f>
        <v>84.346499999999992</v>
      </c>
      <c r="K617" s="21">
        <f>Table1[[#This Row],[NETTO_monthly_revenue(€)]]-Table1[[#This Row],[procurement_cost_(€)]]</f>
        <v>38.031651260504205</v>
      </c>
      <c r="L617" s="21">
        <f t="shared" si="27"/>
        <v>8.7429083357480923</v>
      </c>
      <c r="M617" s="21" t="str">
        <f t="shared" si="28"/>
        <v>29.12.2024</v>
      </c>
      <c r="N617" s="21">
        <f t="shared" si="29"/>
        <v>122.3781512605042</v>
      </c>
    </row>
    <row r="618" spans="1:14">
      <c r="A618" s="9" t="s">
        <v>1041</v>
      </c>
      <c r="B618" s="8">
        <v>12</v>
      </c>
      <c r="C618" s="8" t="s">
        <v>39</v>
      </c>
      <c r="D618" s="8" t="s">
        <v>46</v>
      </c>
      <c r="E618" s="8" t="s">
        <v>1042</v>
      </c>
      <c r="F618" s="8">
        <v>153</v>
      </c>
      <c r="G618" s="8">
        <v>66.489999999999995</v>
      </c>
      <c r="H618" s="10">
        <v>29.44</v>
      </c>
      <c r="I618" s="21">
        <f>Table1[[#This Row],[BRUTTO_monthly_bill_eur]]/1.19</f>
        <v>55.87394957983193</v>
      </c>
      <c r="J618" s="21">
        <f>Table1[[#This Row],[monthly_consumption_kwh]]*Table1[[#This Row],[NETTO_procurement_cost_ct_per_kwh]]/100</f>
        <v>45.043200000000006</v>
      </c>
      <c r="K618" s="21">
        <f>Table1[[#This Row],[NETTO_monthly_revenue(€)]]-Table1[[#This Row],[procurement_cost_(€)]]</f>
        <v>10.830749579831924</v>
      </c>
      <c r="L618" s="21">
        <f t="shared" si="27"/>
        <v>7.0789212940077935</v>
      </c>
      <c r="M618" s="21" t="str">
        <f t="shared" si="28"/>
        <v>21.09.2024</v>
      </c>
      <c r="N618" s="21">
        <f t="shared" si="29"/>
        <v>55.87394957983193</v>
      </c>
    </row>
    <row r="619" spans="1:14">
      <c r="A619" s="9" t="s">
        <v>1043</v>
      </c>
      <c r="B619" s="8">
        <v>12</v>
      </c>
      <c r="C619" s="8" t="s">
        <v>39</v>
      </c>
      <c r="D619" s="8" t="s">
        <v>36</v>
      </c>
      <c r="E619" s="8" t="s">
        <v>88</v>
      </c>
      <c r="F619" s="8">
        <v>107</v>
      </c>
      <c r="G619" s="8">
        <v>49.87</v>
      </c>
      <c r="H619" s="10">
        <v>31.29</v>
      </c>
      <c r="I619" s="21">
        <f>Table1[[#This Row],[BRUTTO_monthly_bill_eur]]/1.19</f>
        <v>41.907563025210081</v>
      </c>
      <c r="J619" s="21">
        <f>Table1[[#This Row],[monthly_consumption_kwh]]*Table1[[#This Row],[NETTO_procurement_cost_ct_per_kwh]]/100</f>
        <v>33.4803</v>
      </c>
      <c r="K619" s="21">
        <f>Table1[[#This Row],[NETTO_monthly_revenue(€)]]-Table1[[#This Row],[procurement_cost_(€)]]</f>
        <v>8.4272630252100811</v>
      </c>
      <c r="L619" s="21">
        <f t="shared" si="27"/>
        <v>7.8759467525327862</v>
      </c>
      <c r="M619" s="21" t="str">
        <f t="shared" si="28"/>
        <v>14.12.2024</v>
      </c>
      <c r="N619" s="21">
        <f t="shared" si="29"/>
        <v>41.907563025210081</v>
      </c>
    </row>
    <row r="620" spans="1:14">
      <c r="A620" s="9" t="s">
        <v>1044</v>
      </c>
      <c r="B620" s="8">
        <v>24</v>
      </c>
      <c r="C620" s="8" t="s">
        <v>35</v>
      </c>
      <c r="D620" s="8" t="s">
        <v>36</v>
      </c>
      <c r="E620" s="8" t="s">
        <v>1045</v>
      </c>
      <c r="F620" s="8">
        <v>312</v>
      </c>
      <c r="G620" s="8">
        <v>115.44</v>
      </c>
      <c r="H620" s="10">
        <v>25.28</v>
      </c>
      <c r="I620" s="21">
        <f>Table1[[#This Row],[BRUTTO_monthly_bill_eur]]/1.19</f>
        <v>97.008403361344534</v>
      </c>
      <c r="J620" s="21">
        <f>Table1[[#This Row],[monthly_consumption_kwh]]*Table1[[#This Row],[NETTO_procurement_cost_ct_per_kwh]]/100</f>
        <v>78.87360000000001</v>
      </c>
      <c r="K620" s="21">
        <f>Table1[[#This Row],[NETTO_monthly_revenue(€)]]-Table1[[#This Row],[procurement_cost_(€)]]</f>
        <v>18.134803361344524</v>
      </c>
      <c r="L620" s="21">
        <f t="shared" si="27"/>
        <v>5.8124369747899109</v>
      </c>
      <c r="M620" s="21" t="str">
        <f t="shared" si="28"/>
        <v>13.10.2024</v>
      </c>
      <c r="N620" s="21">
        <f t="shared" si="29"/>
        <v>97.008403361344534</v>
      </c>
    </row>
    <row r="621" spans="1:14">
      <c r="A621" s="9" t="s">
        <v>1046</v>
      </c>
      <c r="B621" s="8">
        <v>24</v>
      </c>
      <c r="C621" s="8" t="s">
        <v>51</v>
      </c>
      <c r="D621" s="8" t="s">
        <v>46</v>
      </c>
      <c r="E621" s="8" t="s">
        <v>1047</v>
      </c>
      <c r="F621" s="8">
        <v>371</v>
      </c>
      <c r="G621" s="8">
        <v>132.66999999999999</v>
      </c>
      <c r="H621" s="10">
        <v>18.89</v>
      </c>
      <c r="I621" s="21">
        <f>Table1[[#This Row],[BRUTTO_monthly_bill_eur]]/1.19</f>
        <v>111.48739495798318</v>
      </c>
      <c r="J621" s="21">
        <f>Table1[[#This Row],[monthly_consumption_kwh]]*Table1[[#This Row],[NETTO_procurement_cost_ct_per_kwh]]/100</f>
        <v>70.081900000000005</v>
      </c>
      <c r="K621" s="21">
        <f>Table1[[#This Row],[NETTO_monthly_revenue(€)]]-Table1[[#This Row],[procurement_cost_(€)]]</f>
        <v>41.40549495798318</v>
      </c>
      <c r="L621" s="21">
        <f t="shared" si="27"/>
        <v>11.160510770345871</v>
      </c>
      <c r="M621" s="21" t="str">
        <f t="shared" si="28"/>
        <v>09.10.2024</v>
      </c>
      <c r="N621" s="21">
        <f t="shared" si="29"/>
        <v>111.48739495798318</v>
      </c>
    </row>
    <row r="622" spans="1:14">
      <c r="A622" s="9" t="s">
        <v>1048</v>
      </c>
      <c r="B622" s="8">
        <v>12</v>
      </c>
      <c r="C622" s="8" t="s">
        <v>39</v>
      </c>
      <c r="D622" s="8" t="s">
        <v>36</v>
      </c>
      <c r="E622" s="8" t="s">
        <v>1049</v>
      </c>
      <c r="F622" s="8">
        <v>142</v>
      </c>
      <c r="G622" s="8">
        <v>62.13</v>
      </c>
      <c r="H622" s="10">
        <v>29.4</v>
      </c>
      <c r="I622" s="21">
        <f>Table1[[#This Row],[BRUTTO_monthly_bill_eur]]/1.19</f>
        <v>52.210084033613448</v>
      </c>
      <c r="J622" s="21">
        <f>Table1[[#This Row],[monthly_consumption_kwh]]*Table1[[#This Row],[NETTO_procurement_cost_ct_per_kwh]]/100</f>
        <v>41.748000000000005</v>
      </c>
      <c r="K622" s="21">
        <f>Table1[[#This Row],[NETTO_monthly_revenue(€)]]-Table1[[#This Row],[procurement_cost_(€)]]</f>
        <v>10.462084033613444</v>
      </c>
      <c r="L622" s="21">
        <f t="shared" si="27"/>
        <v>7.3676648124038335</v>
      </c>
      <c r="M622" s="21" t="str">
        <f t="shared" si="28"/>
        <v>11.01.2024</v>
      </c>
      <c r="N622" s="21">
        <f t="shared" si="29"/>
        <v>52.210084033613448</v>
      </c>
    </row>
    <row r="623" spans="1:14">
      <c r="A623" s="9" t="s">
        <v>1050</v>
      </c>
      <c r="B623" s="8">
        <v>12</v>
      </c>
      <c r="C623" s="8" t="s">
        <v>35</v>
      </c>
      <c r="D623" s="8" t="s">
        <v>36</v>
      </c>
      <c r="E623" s="8" t="s">
        <v>327</v>
      </c>
      <c r="F623" s="8">
        <v>257</v>
      </c>
      <c r="G623" s="8">
        <v>98.98</v>
      </c>
      <c r="H623" s="10">
        <v>23.45</v>
      </c>
      <c r="I623" s="21">
        <f>Table1[[#This Row],[BRUTTO_monthly_bill_eur]]/1.19</f>
        <v>83.176470588235304</v>
      </c>
      <c r="J623" s="21">
        <f>Table1[[#This Row],[monthly_consumption_kwh]]*Table1[[#This Row],[NETTO_procurement_cost_ct_per_kwh]]/100</f>
        <v>60.266499999999994</v>
      </c>
      <c r="K623" s="21">
        <f>Table1[[#This Row],[NETTO_monthly_revenue(€)]]-Table1[[#This Row],[procurement_cost_(€)]]</f>
        <v>22.909970588235311</v>
      </c>
      <c r="L623" s="21">
        <f t="shared" si="27"/>
        <v>8.9143854428931171</v>
      </c>
      <c r="M623" s="21" t="str">
        <f t="shared" si="28"/>
        <v>13.06.2025</v>
      </c>
      <c r="N623" s="21">
        <f t="shared" si="29"/>
        <v>83.176470588235304</v>
      </c>
    </row>
    <row r="624" spans="1:14">
      <c r="A624" s="9" t="s">
        <v>1051</v>
      </c>
      <c r="B624" s="8">
        <v>12</v>
      </c>
      <c r="C624" s="8" t="s">
        <v>39</v>
      </c>
      <c r="D624" s="8" t="s">
        <v>46</v>
      </c>
      <c r="E624" s="8" t="s">
        <v>1052</v>
      </c>
      <c r="F624" s="8">
        <v>91</v>
      </c>
      <c r="G624" s="8">
        <v>44.99</v>
      </c>
      <c r="H624" s="10">
        <v>31.22</v>
      </c>
      <c r="I624" s="21">
        <f>Table1[[#This Row],[BRUTTO_monthly_bill_eur]]/1.19</f>
        <v>37.806722689075634</v>
      </c>
      <c r="J624" s="21">
        <f>Table1[[#This Row],[monthly_consumption_kwh]]*Table1[[#This Row],[NETTO_procurement_cost_ct_per_kwh]]/100</f>
        <v>28.4102</v>
      </c>
      <c r="K624" s="21">
        <f>Table1[[#This Row],[NETTO_monthly_revenue(€)]]-Table1[[#This Row],[procurement_cost_(€)]]</f>
        <v>9.3965226890756348</v>
      </c>
      <c r="L624" s="21">
        <f t="shared" si="27"/>
        <v>10.325849108874325</v>
      </c>
      <c r="M624" s="21" t="str">
        <f t="shared" si="28"/>
        <v>14.07.2024</v>
      </c>
      <c r="N624" s="21">
        <f t="shared" si="29"/>
        <v>37.806722689075634</v>
      </c>
    </row>
    <row r="625" spans="1:14">
      <c r="A625" s="9" t="s">
        <v>1053</v>
      </c>
      <c r="B625" s="8">
        <v>12</v>
      </c>
      <c r="C625" s="8" t="s">
        <v>39</v>
      </c>
      <c r="D625" s="8" t="s">
        <v>36</v>
      </c>
      <c r="E625" s="8" t="s">
        <v>296</v>
      </c>
      <c r="F625" s="8">
        <v>103</v>
      </c>
      <c r="G625" s="8">
        <v>48.44</v>
      </c>
      <c r="H625" s="10">
        <v>29.31</v>
      </c>
      <c r="I625" s="21">
        <f>Table1[[#This Row],[BRUTTO_monthly_bill_eur]]/1.19</f>
        <v>40.705882352941174</v>
      </c>
      <c r="J625" s="21">
        <f>Table1[[#This Row],[monthly_consumption_kwh]]*Table1[[#This Row],[NETTO_procurement_cost_ct_per_kwh]]/100</f>
        <v>30.189299999999999</v>
      </c>
      <c r="K625" s="21">
        <f>Table1[[#This Row],[NETTO_monthly_revenue(€)]]-Table1[[#This Row],[procurement_cost_(€)]]</f>
        <v>10.516582352941175</v>
      </c>
      <c r="L625" s="21">
        <f t="shared" si="27"/>
        <v>10.2102741290691</v>
      </c>
      <c r="M625" s="21" t="str">
        <f t="shared" si="28"/>
        <v>28.03.2024</v>
      </c>
      <c r="N625" s="21">
        <f t="shared" si="29"/>
        <v>40.705882352941174</v>
      </c>
    </row>
    <row r="626" spans="1:14">
      <c r="A626" s="9" t="s">
        <v>1054</v>
      </c>
      <c r="B626" s="8">
        <v>24</v>
      </c>
      <c r="C626" s="8" t="s">
        <v>51</v>
      </c>
      <c r="D626" s="8" t="s">
        <v>36</v>
      </c>
      <c r="E626" s="8" t="s">
        <v>1055</v>
      </c>
      <c r="F626" s="8">
        <v>337</v>
      </c>
      <c r="G626" s="8">
        <v>123.32</v>
      </c>
      <c r="H626" s="10">
        <v>17.55</v>
      </c>
      <c r="I626" s="21">
        <f>Table1[[#This Row],[BRUTTO_monthly_bill_eur]]/1.19</f>
        <v>103.63025210084034</v>
      </c>
      <c r="J626" s="21">
        <f>Table1[[#This Row],[monthly_consumption_kwh]]*Table1[[#This Row],[NETTO_procurement_cost_ct_per_kwh]]/100</f>
        <v>59.143500000000003</v>
      </c>
      <c r="K626" s="21">
        <f>Table1[[#This Row],[NETTO_monthly_revenue(€)]]-Table1[[#This Row],[procurement_cost_(€)]]</f>
        <v>44.486752100840334</v>
      </c>
      <c r="L626" s="21">
        <f t="shared" si="27"/>
        <v>13.200816647133632</v>
      </c>
      <c r="M626" s="21" t="str">
        <f t="shared" si="28"/>
        <v>04.09.2024</v>
      </c>
      <c r="N626" s="21">
        <f t="shared" si="29"/>
        <v>103.63025210084034</v>
      </c>
    </row>
    <row r="627" spans="1:14">
      <c r="A627" s="9" t="s">
        <v>1056</v>
      </c>
      <c r="B627" s="8">
        <v>12</v>
      </c>
      <c r="C627" s="8" t="s">
        <v>51</v>
      </c>
      <c r="D627" s="8" t="s">
        <v>36</v>
      </c>
      <c r="E627" s="8" t="s">
        <v>374</v>
      </c>
      <c r="F627" s="8">
        <v>490</v>
      </c>
      <c r="G627" s="8">
        <v>166.96</v>
      </c>
      <c r="H627" s="10">
        <v>16.920000000000002</v>
      </c>
      <c r="I627" s="21">
        <f>Table1[[#This Row],[BRUTTO_monthly_bill_eur]]/1.19</f>
        <v>140.30252100840337</v>
      </c>
      <c r="J627" s="21">
        <f>Table1[[#This Row],[monthly_consumption_kwh]]*Table1[[#This Row],[NETTO_procurement_cost_ct_per_kwh]]/100</f>
        <v>82.908000000000015</v>
      </c>
      <c r="K627" s="21">
        <f>Table1[[#This Row],[NETTO_monthly_revenue(€)]]-Table1[[#This Row],[procurement_cost_(€)]]</f>
        <v>57.394521008403359</v>
      </c>
      <c r="L627" s="21">
        <f t="shared" si="27"/>
        <v>11.71316755273538</v>
      </c>
      <c r="M627" s="21" t="str">
        <f t="shared" si="28"/>
        <v>20.02.2025</v>
      </c>
      <c r="N627" s="21">
        <f t="shared" si="29"/>
        <v>140.30252100840337</v>
      </c>
    </row>
    <row r="628" spans="1:14">
      <c r="A628" s="9" t="s">
        <v>1057</v>
      </c>
      <c r="B628" s="8">
        <v>12</v>
      </c>
      <c r="C628" s="8" t="s">
        <v>39</v>
      </c>
      <c r="D628" s="8" t="s">
        <v>56</v>
      </c>
      <c r="E628" s="8" t="s">
        <v>281</v>
      </c>
      <c r="F628" s="8">
        <v>108</v>
      </c>
      <c r="G628" s="8">
        <v>51.56</v>
      </c>
      <c r="H628" s="10">
        <v>31.87</v>
      </c>
      <c r="I628" s="21">
        <f>Table1[[#This Row],[BRUTTO_monthly_bill_eur]]/1.19</f>
        <v>43.327731092436977</v>
      </c>
      <c r="J628" s="21">
        <f>Table1[[#This Row],[monthly_consumption_kwh]]*Table1[[#This Row],[NETTO_procurement_cost_ct_per_kwh]]/100</f>
        <v>34.419600000000003</v>
      </c>
      <c r="K628" s="21">
        <f>Table1[[#This Row],[NETTO_monthly_revenue(€)]]-Table1[[#This Row],[procurement_cost_(€)]]</f>
        <v>8.9081310924369745</v>
      </c>
      <c r="L628" s="21">
        <f t="shared" si="27"/>
        <v>8.2482695300342357</v>
      </c>
      <c r="M628" s="21" t="str">
        <f t="shared" si="28"/>
        <v>15.05.2025</v>
      </c>
      <c r="N628" s="21">
        <f t="shared" si="29"/>
        <v>43.327731092436977</v>
      </c>
    </row>
    <row r="629" spans="1:14">
      <c r="A629" s="9" t="s">
        <v>1058</v>
      </c>
      <c r="B629" s="8">
        <v>24</v>
      </c>
      <c r="C629" s="8" t="s">
        <v>51</v>
      </c>
      <c r="D629" s="8" t="s">
        <v>46</v>
      </c>
      <c r="E629" s="8" t="s">
        <v>1059</v>
      </c>
      <c r="F629" s="8">
        <v>533</v>
      </c>
      <c r="G629" s="8">
        <v>178.72</v>
      </c>
      <c r="H629" s="10">
        <v>18.91</v>
      </c>
      <c r="I629" s="21">
        <f>Table1[[#This Row],[BRUTTO_monthly_bill_eur]]/1.19</f>
        <v>150.18487394957984</v>
      </c>
      <c r="J629" s="21">
        <f>Table1[[#This Row],[monthly_consumption_kwh]]*Table1[[#This Row],[NETTO_procurement_cost_ct_per_kwh]]/100</f>
        <v>100.7903</v>
      </c>
      <c r="K629" s="21">
        <f>Table1[[#This Row],[NETTO_monthly_revenue(€)]]-Table1[[#This Row],[procurement_cost_(€)]]</f>
        <v>49.394573949579836</v>
      </c>
      <c r="L629" s="21">
        <f t="shared" si="27"/>
        <v>9.2672746622101005</v>
      </c>
      <c r="M629" s="21" t="str">
        <f t="shared" si="28"/>
        <v>03.09.2024</v>
      </c>
      <c r="N629" s="21">
        <f t="shared" si="29"/>
        <v>150.18487394957984</v>
      </c>
    </row>
    <row r="630" spans="1:14">
      <c r="A630" s="9" t="s">
        <v>1060</v>
      </c>
      <c r="B630" s="8">
        <v>12</v>
      </c>
      <c r="C630" s="8" t="s">
        <v>35</v>
      </c>
      <c r="D630" s="8" t="s">
        <v>46</v>
      </c>
      <c r="E630" s="8" t="s">
        <v>1061</v>
      </c>
      <c r="F630" s="8">
        <v>216</v>
      </c>
      <c r="G630" s="8">
        <v>85.97</v>
      </c>
      <c r="H630" s="10">
        <v>27.36</v>
      </c>
      <c r="I630" s="21">
        <f>Table1[[#This Row],[BRUTTO_monthly_bill_eur]]/1.19</f>
        <v>72.243697478991592</v>
      </c>
      <c r="J630" s="21">
        <f>Table1[[#This Row],[monthly_consumption_kwh]]*Table1[[#This Row],[NETTO_procurement_cost_ct_per_kwh]]/100</f>
        <v>59.0976</v>
      </c>
      <c r="K630" s="21">
        <f>Table1[[#This Row],[NETTO_monthly_revenue(€)]]-Table1[[#This Row],[procurement_cost_(€)]]</f>
        <v>13.146097478991592</v>
      </c>
      <c r="L630" s="21">
        <f t="shared" si="27"/>
        <v>6.0861562402738851</v>
      </c>
      <c r="M630" s="21" t="str">
        <f t="shared" si="28"/>
        <v>02.05.2025</v>
      </c>
      <c r="N630" s="21">
        <f t="shared" si="29"/>
        <v>72.243697478991592</v>
      </c>
    </row>
    <row r="631" spans="1:14">
      <c r="A631" s="9" t="s">
        <v>1062</v>
      </c>
      <c r="B631" s="8">
        <v>12</v>
      </c>
      <c r="C631" s="8" t="s">
        <v>51</v>
      </c>
      <c r="D631" s="8" t="s">
        <v>46</v>
      </c>
      <c r="E631" s="8" t="s">
        <v>1063</v>
      </c>
      <c r="F631" s="8">
        <v>433</v>
      </c>
      <c r="G631" s="8">
        <v>147.11000000000001</v>
      </c>
      <c r="H631" s="10">
        <v>19.61</v>
      </c>
      <c r="I631" s="21">
        <f>Table1[[#This Row],[BRUTTO_monthly_bill_eur]]/1.19</f>
        <v>123.62184873949582</v>
      </c>
      <c r="J631" s="21">
        <f>Table1[[#This Row],[monthly_consumption_kwh]]*Table1[[#This Row],[NETTO_procurement_cost_ct_per_kwh]]/100</f>
        <v>84.911299999999997</v>
      </c>
      <c r="K631" s="21">
        <f>Table1[[#This Row],[NETTO_monthly_revenue(€)]]-Table1[[#This Row],[procurement_cost_(€)]]</f>
        <v>38.71054873949582</v>
      </c>
      <c r="L631" s="21">
        <f t="shared" si="27"/>
        <v>8.9400805402992649</v>
      </c>
      <c r="M631" s="21" t="str">
        <f t="shared" si="28"/>
        <v>2025-05</v>
      </c>
      <c r="N631" s="21">
        <f t="shared" si="29"/>
        <v>123.62184873949582</v>
      </c>
    </row>
    <row r="632" spans="1:14">
      <c r="A632" s="9" t="s">
        <v>1064</v>
      </c>
      <c r="B632" s="8">
        <v>24</v>
      </c>
      <c r="C632" s="8" t="s">
        <v>35</v>
      </c>
      <c r="D632" s="8" t="s">
        <v>36</v>
      </c>
      <c r="E632" s="8" t="s">
        <v>1065</v>
      </c>
      <c r="F632" s="8">
        <v>290</v>
      </c>
      <c r="G632" s="8">
        <v>106.96</v>
      </c>
      <c r="H632" s="10">
        <v>23.52</v>
      </c>
      <c r="I632" s="21">
        <f>Table1[[#This Row],[BRUTTO_monthly_bill_eur]]/1.19</f>
        <v>89.882352941176464</v>
      </c>
      <c r="J632" s="21">
        <f>Table1[[#This Row],[monthly_consumption_kwh]]*Table1[[#This Row],[NETTO_procurement_cost_ct_per_kwh]]/100</f>
        <v>68.207999999999998</v>
      </c>
      <c r="K632" s="21">
        <f>Table1[[#This Row],[NETTO_monthly_revenue(€)]]-Table1[[#This Row],[procurement_cost_(€)]]</f>
        <v>21.674352941176465</v>
      </c>
      <c r="L632" s="21">
        <f t="shared" si="27"/>
        <v>7.4739148073022292</v>
      </c>
      <c r="M632" s="21" t="str">
        <f t="shared" si="28"/>
        <v>03.04.2025</v>
      </c>
      <c r="N632" s="21">
        <f t="shared" si="29"/>
        <v>89.882352941176464</v>
      </c>
    </row>
    <row r="633" spans="1:14">
      <c r="A633" s="9" t="s">
        <v>1066</v>
      </c>
      <c r="B633" s="8">
        <v>24</v>
      </c>
      <c r="C633" s="8" t="s">
        <v>35</v>
      </c>
      <c r="D633" s="8" t="s">
        <v>36</v>
      </c>
      <c r="E633" s="8" t="s">
        <v>1067</v>
      </c>
      <c r="F633" s="8">
        <v>175</v>
      </c>
      <c r="G633" s="8">
        <v>68.12</v>
      </c>
      <c r="H633" s="10">
        <v>25.23</v>
      </c>
      <c r="I633" s="21">
        <f>Table1[[#This Row],[BRUTTO_monthly_bill_eur]]/1.19</f>
        <v>57.243697478991606</v>
      </c>
      <c r="J633" s="21">
        <f>Table1[[#This Row],[monthly_consumption_kwh]]*Table1[[#This Row],[NETTO_procurement_cost_ct_per_kwh]]/100</f>
        <v>44.152500000000003</v>
      </c>
      <c r="K633" s="21">
        <f>Table1[[#This Row],[NETTO_monthly_revenue(€)]]-Table1[[#This Row],[procurement_cost_(€)]]</f>
        <v>13.091197478991603</v>
      </c>
      <c r="L633" s="21">
        <f t="shared" si="27"/>
        <v>7.4806842737094872</v>
      </c>
      <c r="M633" s="21" t="str">
        <f t="shared" si="28"/>
        <v>18.01.2024</v>
      </c>
      <c r="N633" s="21">
        <f t="shared" si="29"/>
        <v>57.243697478991606</v>
      </c>
    </row>
    <row r="634" spans="1:14">
      <c r="A634" s="9" t="s">
        <v>1068</v>
      </c>
      <c r="B634" s="8">
        <v>12</v>
      </c>
      <c r="C634" s="8" t="s">
        <v>35</v>
      </c>
      <c r="D634" s="8" t="s">
        <v>46</v>
      </c>
      <c r="E634" s="8" t="s">
        <v>63</v>
      </c>
      <c r="F634" s="8">
        <v>317</v>
      </c>
      <c r="G634" s="8">
        <v>121.77</v>
      </c>
      <c r="H634" s="10">
        <v>25.29</v>
      </c>
      <c r="I634" s="21">
        <f>Table1[[#This Row],[BRUTTO_monthly_bill_eur]]/1.19</f>
        <v>102.32773109243698</v>
      </c>
      <c r="J634" s="21">
        <f>Table1[[#This Row],[monthly_consumption_kwh]]*Table1[[#This Row],[NETTO_procurement_cost_ct_per_kwh]]/100</f>
        <v>80.169299999999993</v>
      </c>
      <c r="K634" s="21">
        <f>Table1[[#This Row],[NETTO_monthly_revenue(€)]]-Table1[[#This Row],[procurement_cost_(€)]]</f>
        <v>22.158431092436984</v>
      </c>
      <c r="L634" s="21">
        <f t="shared" si="27"/>
        <v>6.9900413540810682</v>
      </c>
      <c r="M634" s="21" t="str">
        <f t="shared" si="28"/>
        <v>05.04.2024</v>
      </c>
      <c r="N634" s="21">
        <f t="shared" si="29"/>
        <v>102.32773109243698</v>
      </c>
    </row>
    <row r="635" spans="1:14">
      <c r="A635" s="9" t="s">
        <v>1069</v>
      </c>
      <c r="B635" s="8">
        <v>12</v>
      </c>
      <c r="C635" s="8" t="s">
        <v>35</v>
      </c>
      <c r="D635" s="8" t="s">
        <v>36</v>
      </c>
      <c r="E635" s="8" t="s">
        <v>1070</v>
      </c>
      <c r="F635" s="8">
        <v>308</v>
      </c>
      <c r="G635" s="8">
        <v>116.59</v>
      </c>
      <c r="H635" s="10">
        <v>23.54</v>
      </c>
      <c r="I635" s="21">
        <f>Table1[[#This Row],[BRUTTO_monthly_bill_eur]]/1.19</f>
        <v>97.974789915966397</v>
      </c>
      <c r="J635" s="21">
        <f>Table1[[#This Row],[monthly_consumption_kwh]]*Table1[[#This Row],[NETTO_procurement_cost_ct_per_kwh]]/100</f>
        <v>72.503199999999993</v>
      </c>
      <c r="K635" s="21">
        <f>Table1[[#This Row],[NETTO_monthly_revenue(€)]]-Table1[[#This Row],[procurement_cost_(€)]]</f>
        <v>25.471589915966405</v>
      </c>
      <c r="L635" s="21">
        <f t="shared" si="27"/>
        <v>8.2699967259631197</v>
      </c>
      <c r="M635" s="21" t="str">
        <f t="shared" si="28"/>
        <v>28.10.2024</v>
      </c>
      <c r="N635" s="21">
        <f t="shared" si="29"/>
        <v>97.974789915966397</v>
      </c>
    </row>
    <row r="636" spans="1:14">
      <c r="A636" s="9" t="s">
        <v>1071</v>
      </c>
      <c r="B636" s="8">
        <v>12</v>
      </c>
      <c r="C636" s="8" t="s">
        <v>39</v>
      </c>
      <c r="D636" s="8" t="s">
        <v>36</v>
      </c>
      <c r="E636" s="8" t="s">
        <v>1072</v>
      </c>
      <c r="F636" s="8">
        <v>139</v>
      </c>
      <c r="G636" s="8">
        <v>59.38</v>
      </c>
      <c r="H636" s="10">
        <v>29.84</v>
      </c>
      <c r="I636" s="21">
        <f>Table1[[#This Row],[BRUTTO_monthly_bill_eur]]/1.19</f>
        <v>49.899159663865554</v>
      </c>
      <c r="J636" s="21">
        <f>Table1[[#This Row],[monthly_consumption_kwh]]*Table1[[#This Row],[NETTO_procurement_cost_ct_per_kwh]]/100</f>
        <v>41.477600000000002</v>
      </c>
      <c r="K636" s="21">
        <f>Table1[[#This Row],[NETTO_monthly_revenue(€)]]-Table1[[#This Row],[procurement_cost_(€)]]</f>
        <v>8.4215596638655512</v>
      </c>
      <c r="L636" s="21">
        <f t="shared" si="27"/>
        <v>6.0586760171694616</v>
      </c>
      <c r="M636" s="21" t="str">
        <f t="shared" si="28"/>
        <v>14.08.2024</v>
      </c>
      <c r="N636" s="21">
        <f t="shared" si="29"/>
        <v>49.899159663865554</v>
      </c>
    </row>
    <row r="637" spans="1:14">
      <c r="A637" s="9" t="s">
        <v>1073</v>
      </c>
      <c r="B637" s="8">
        <v>12</v>
      </c>
      <c r="C637" s="8" t="s">
        <v>39</v>
      </c>
      <c r="D637" s="8" t="s">
        <v>36</v>
      </c>
      <c r="E637" s="8" t="s">
        <v>1074</v>
      </c>
      <c r="F637" s="8">
        <v>133</v>
      </c>
      <c r="G637" s="8">
        <v>61.81</v>
      </c>
      <c r="H637" s="10">
        <v>29.21</v>
      </c>
      <c r="I637" s="21">
        <f>Table1[[#This Row],[BRUTTO_monthly_bill_eur]]/1.19</f>
        <v>51.941176470588239</v>
      </c>
      <c r="J637" s="21">
        <f>Table1[[#This Row],[monthly_consumption_kwh]]*Table1[[#This Row],[NETTO_procurement_cost_ct_per_kwh]]/100</f>
        <v>38.849299999999999</v>
      </c>
      <c r="K637" s="21">
        <f>Table1[[#This Row],[NETTO_monthly_revenue(€)]]-Table1[[#This Row],[procurement_cost_(€)]]</f>
        <v>13.09187647058824</v>
      </c>
      <c r="L637" s="21">
        <f t="shared" si="27"/>
        <v>9.8435161432994285</v>
      </c>
      <c r="M637" s="21" t="str">
        <f t="shared" si="28"/>
        <v>18.02.2025</v>
      </c>
      <c r="N637" s="21">
        <f t="shared" si="29"/>
        <v>51.941176470588239</v>
      </c>
    </row>
    <row r="638" spans="1:14">
      <c r="A638" s="9" t="s">
        <v>1075</v>
      </c>
      <c r="B638" s="8">
        <v>12</v>
      </c>
      <c r="C638" s="8" t="s">
        <v>39</v>
      </c>
      <c r="D638" s="8" t="s">
        <v>36</v>
      </c>
      <c r="E638" s="8" t="s">
        <v>792</v>
      </c>
      <c r="F638" s="8">
        <v>158</v>
      </c>
      <c r="G638" s="8">
        <v>65.03</v>
      </c>
      <c r="H638" s="10">
        <v>31.73</v>
      </c>
      <c r="I638" s="21">
        <f>Table1[[#This Row],[BRUTTO_monthly_bill_eur]]/1.19</f>
        <v>54.647058823529413</v>
      </c>
      <c r="J638" s="21">
        <f>Table1[[#This Row],[monthly_consumption_kwh]]*Table1[[#This Row],[NETTO_procurement_cost_ct_per_kwh]]/100</f>
        <v>50.133400000000002</v>
      </c>
      <c r="K638" s="21">
        <f>Table1[[#This Row],[NETTO_monthly_revenue(€)]]-Table1[[#This Row],[procurement_cost_(€)]]</f>
        <v>4.5136588235294113</v>
      </c>
      <c r="L638" s="21">
        <f t="shared" si="27"/>
        <v>2.8567460908413995</v>
      </c>
      <c r="M638" s="21" t="str">
        <f t="shared" si="28"/>
        <v>06.09.2024</v>
      </c>
      <c r="N638" s="21">
        <f t="shared" si="29"/>
        <v>54.647058823529413</v>
      </c>
    </row>
    <row r="639" spans="1:14">
      <c r="A639" s="9" t="s">
        <v>1076</v>
      </c>
      <c r="B639" s="8">
        <v>12</v>
      </c>
      <c r="C639" s="8" t="s">
        <v>35</v>
      </c>
      <c r="D639" s="8" t="s">
        <v>56</v>
      </c>
      <c r="E639" s="8" t="s">
        <v>1077</v>
      </c>
      <c r="F639" s="8">
        <v>198</v>
      </c>
      <c r="G639" s="8">
        <v>80.59</v>
      </c>
      <c r="H639" s="10">
        <v>22.47</v>
      </c>
      <c r="I639" s="21">
        <f>Table1[[#This Row],[BRUTTO_monthly_bill_eur]]/1.19</f>
        <v>67.722689075630257</v>
      </c>
      <c r="J639" s="21">
        <f>Table1[[#This Row],[monthly_consumption_kwh]]*Table1[[#This Row],[NETTO_procurement_cost_ct_per_kwh]]/100</f>
        <v>44.490599999999993</v>
      </c>
      <c r="K639" s="21">
        <f>Table1[[#This Row],[NETTO_monthly_revenue(€)]]-Table1[[#This Row],[procurement_cost_(€)]]</f>
        <v>23.232089075630263</v>
      </c>
      <c r="L639" s="21">
        <f t="shared" si="27"/>
        <v>11.733378321025386</v>
      </c>
      <c r="M639" s="21" t="str">
        <f t="shared" si="28"/>
        <v>09.11.2024</v>
      </c>
      <c r="N639" s="21">
        <f t="shared" si="29"/>
        <v>67.722689075630257</v>
      </c>
    </row>
    <row r="640" spans="1:14">
      <c r="A640" s="9" t="s">
        <v>1078</v>
      </c>
      <c r="B640" s="8">
        <v>12</v>
      </c>
      <c r="C640" s="8" t="s">
        <v>39</v>
      </c>
      <c r="D640" s="8" t="s">
        <v>36</v>
      </c>
      <c r="E640" s="8" t="s">
        <v>1079</v>
      </c>
      <c r="F640" s="8">
        <v>90</v>
      </c>
      <c r="G640" s="8">
        <v>41.93</v>
      </c>
      <c r="H640" s="10">
        <v>31.73</v>
      </c>
      <c r="I640" s="21">
        <f>Table1[[#This Row],[BRUTTO_monthly_bill_eur]]/1.19</f>
        <v>35.235294117647058</v>
      </c>
      <c r="J640" s="21">
        <f>Table1[[#This Row],[monthly_consumption_kwh]]*Table1[[#This Row],[NETTO_procurement_cost_ct_per_kwh]]/100</f>
        <v>28.556999999999999</v>
      </c>
      <c r="K640" s="21">
        <f>Table1[[#This Row],[NETTO_monthly_revenue(€)]]-Table1[[#This Row],[procurement_cost_(€)]]</f>
        <v>6.6782941176470594</v>
      </c>
      <c r="L640" s="21">
        <f t="shared" si="27"/>
        <v>7.4203267973856217</v>
      </c>
      <c r="M640" s="21" t="str">
        <f t="shared" si="28"/>
        <v>12.01.2025</v>
      </c>
      <c r="N640" s="21">
        <f t="shared" si="29"/>
        <v>35.235294117647058</v>
      </c>
    </row>
    <row r="641" spans="1:14">
      <c r="A641" s="9" t="s">
        <v>1080</v>
      </c>
      <c r="B641" s="8">
        <v>12</v>
      </c>
      <c r="C641" s="8" t="s">
        <v>35</v>
      </c>
      <c r="D641" s="8" t="s">
        <v>36</v>
      </c>
      <c r="E641" s="8" t="s">
        <v>369</v>
      </c>
      <c r="F641" s="8">
        <v>207</v>
      </c>
      <c r="G641" s="8">
        <v>84.76</v>
      </c>
      <c r="H641" s="10">
        <v>24.74</v>
      </c>
      <c r="I641" s="21">
        <f>Table1[[#This Row],[BRUTTO_monthly_bill_eur]]/1.19</f>
        <v>71.226890756302524</v>
      </c>
      <c r="J641" s="21">
        <f>Table1[[#This Row],[monthly_consumption_kwh]]*Table1[[#This Row],[NETTO_procurement_cost_ct_per_kwh]]/100</f>
        <v>51.211799999999997</v>
      </c>
      <c r="K641" s="21">
        <f>Table1[[#This Row],[NETTO_monthly_revenue(€)]]-Table1[[#This Row],[procurement_cost_(€)]]</f>
        <v>20.015090756302527</v>
      </c>
      <c r="L641" s="21">
        <f t="shared" si="27"/>
        <v>9.6691259692282738</v>
      </c>
      <c r="M641" s="21" t="str">
        <f t="shared" si="28"/>
        <v>29.04.2025</v>
      </c>
      <c r="N641" s="21">
        <f t="shared" si="29"/>
        <v>71.226890756302524</v>
      </c>
    </row>
    <row r="642" spans="1:14">
      <c r="A642" s="9" t="s">
        <v>1081</v>
      </c>
      <c r="B642" s="8">
        <v>12</v>
      </c>
      <c r="C642" s="8" t="s">
        <v>51</v>
      </c>
      <c r="D642" s="8" t="s">
        <v>36</v>
      </c>
      <c r="E642" s="8" t="s">
        <v>275</v>
      </c>
      <c r="F642" s="8">
        <v>598</v>
      </c>
      <c r="G642" s="8">
        <v>206.4</v>
      </c>
      <c r="H642" s="10">
        <v>19.16</v>
      </c>
      <c r="I642" s="21">
        <f>Table1[[#This Row],[BRUTTO_monthly_bill_eur]]/1.19</f>
        <v>173.44537815126051</v>
      </c>
      <c r="J642" s="21">
        <f>Table1[[#This Row],[monthly_consumption_kwh]]*Table1[[#This Row],[NETTO_procurement_cost_ct_per_kwh]]/100</f>
        <v>114.57680000000001</v>
      </c>
      <c r="K642" s="21">
        <f>Table1[[#This Row],[NETTO_monthly_revenue(€)]]-Table1[[#This Row],[procurement_cost_(€)]]</f>
        <v>58.868578151260508</v>
      </c>
      <c r="L642" s="21">
        <f t="shared" ref="L642:L705" si="30">IF(F642=0,"",K642/F642*100)</f>
        <v>9.8442438380034289</v>
      </c>
      <c r="M642" s="21" t="str">
        <f t="shared" ref="M642:M705" si="31">TEXT(E642,"yyyy-mm")</f>
        <v>27.06.2025</v>
      </c>
      <c r="N642" s="21">
        <f t="shared" ref="N642:N705" si="32">G642/1.19</f>
        <v>173.44537815126051</v>
      </c>
    </row>
    <row r="643" spans="1:14">
      <c r="A643" s="9" t="s">
        <v>1082</v>
      </c>
      <c r="B643" s="8">
        <v>12</v>
      </c>
      <c r="C643" s="8" t="s">
        <v>39</v>
      </c>
      <c r="D643" s="8" t="s">
        <v>56</v>
      </c>
      <c r="E643" s="8" t="s">
        <v>106</v>
      </c>
      <c r="F643" s="8">
        <v>86</v>
      </c>
      <c r="G643" s="8">
        <v>40.14</v>
      </c>
      <c r="H643" s="10">
        <v>28.13</v>
      </c>
      <c r="I643" s="21">
        <f>Table1[[#This Row],[BRUTTO_monthly_bill_eur]]/1.19</f>
        <v>33.731092436974791</v>
      </c>
      <c r="J643" s="21">
        <f>Table1[[#This Row],[monthly_consumption_kwh]]*Table1[[#This Row],[NETTO_procurement_cost_ct_per_kwh]]/100</f>
        <v>24.191799999999997</v>
      </c>
      <c r="K643" s="21">
        <f>Table1[[#This Row],[NETTO_monthly_revenue(€)]]-Table1[[#This Row],[procurement_cost_(€)]]</f>
        <v>9.5392924369747938</v>
      </c>
      <c r="L643" s="21">
        <f t="shared" si="30"/>
        <v>11.092200508110226</v>
      </c>
      <c r="M643" s="21" t="str">
        <f t="shared" si="31"/>
        <v>18.12.2024</v>
      </c>
      <c r="N643" s="21">
        <f t="shared" si="32"/>
        <v>33.731092436974791</v>
      </c>
    </row>
    <row r="644" spans="1:14">
      <c r="A644" s="9" t="s">
        <v>1083</v>
      </c>
      <c r="B644" s="8">
        <v>12</v>
      </c>
      <c r="C644" s="8" t="s">
        <v>35</v>
      </c>
      <c r="D644" s="8" t="s">
        <v>36</v>
      </c>
      <c r="E644" s="8" t="s">
        <v>798</v>
      </c>
      <c r="F644" s="8">
        <v>264</v>
      </c>
      <c r="G644" s="8">
        <v>101.42</v>
      </c>
      <c r="H644" s="10">
        <v>23.9</v>
      </c>
      <c r="I644" s="21">
        <f>Table1[[#This Row],[BRUTTO_monthly_bill_eur]]/1.19</f>
        <v>85.226890756302524</v>
      </c>
      <c r="J644" s="21">
        <f>Table1[[#This Row],[monthly_consumption_kwh]]*Table1[[#This Row],[NETTO_procurement_cost_ct_per_kwh]]/100</f>
        <v>63.095999999999997</v>
      </c>
      <c r="K644" s="21">
        <f>Table1[[#This Row],[NETTO_monthly_revenue(€)]]-Table1[[#This Row],[procurement_cost_(€)]]</f>
        <v>22.130890756302527</v>
      </c>
      <c r="L644" s="21">
        <f t="shared" si="30"/>
        <v>8.3829131652661086</v>
      </c>
      <c r="M644" s="21" t="str">
        <f t="shared" si="31"/>
        <v>11.03.2025</v>
      </c>
      <c r="N644" s="21">
        <f t="shared" si="32"/>
        <v>85.226890756302524</v>
      </c>
    </row>
    <row r="645" spans="1:14">
      <c r="A645" s="9" t="s">
        <v>1084</v>
      </c>
      <c r="B645" s="8">
        <v>12</v>
      </c>
      <c r="C645" s="8" t="s">
        <v>35</v>
      </c>
      <c r="D645" s="8" t="s">
        <v>36</v>
      </c>
      <c r="E645" s="8" t="s">
        <v>354</v>
      </c>
      <c r="F645" s="8">
        <v>332</v>
      </c>
      <c r="G645" s="8">
        <v>120.39</v>
      </c>
      <c r="H645" s="10">
        <v>23.63</v>
      </c>
      <c r="I645" s="21">
        <f>Table1[[#This Row],[BRUTTO_monthly_bill_eur]]/1.19</f>
        <v>101.16806722689076</v>
      </c>
      <c r="J645" s="21">
        <f>Table1[[#This Row],[monthly_consumption_kwh]]*Table1[[#This Row],[NETTO_procurement_cost_ct_per_kwh]]/100</f>
        <v>78.451599999999999</v>
      </c>
      <c r="K645" s="21">
        <f>Table1[[#This Row],[NETTO_monthly_revenue(€)]]-Table1[[#This Row],[procurement_cost_(€)]]</f>
        <v>22.716467226890757</v>
      </c>
      <c r="L645" s="21">
        <f t="shared" si="30"/>
        <v>6.8423094056899867</v>
      </c>
      <c r="M645" s="21" t="str">
        <f t="shared" si="31"/>
        <v>04.12.2024</v>
      </c>
      <c r="N645" s="21">
        <f t="shared" si="32"/>
        <v>101.16806722689076</v>
      </c>
    </row>
    <row r="646" spans="1:14">
      <c r="A646" s="9" t="s">
        <v>1085</v>
      </c>
      <c r="B646" s="8">
        <v>12</v>
      </c>
      <c r="C646" s="8" t="s">
        <v>51</v>
      </c>
      <c r="D646" s="8" t="s">
        <v>46</v>
      </c>
      <c r="E646" s="8" t="s">
        <v>884</v>
      </c>
      <c r="F646" s="8">
        <v>619</v>
      </c>
      <c r="G646" s="8">
        <v>205.89</v>
      </c>
      <c r="H646" s="10">
        <v>17.309999999999999</v>
      </c>
      <c r="I646" s="21">
        <f>Table1[[#This Row],[BRUTTO_monthly_bill_eur]]/1.19</f>
        <v>173.01680672268907</v>
      </c>
      <c r="J646" s="21">
        <f>Table1[[#This Row],[monthly_consumption_kwh]]*Table1[[#This Row],[NETTO_procurement_cost_ct_per_kwh]]/100</f>
        <v>107.1489</v>
      </c>
      <c r="K646" s="21">
        <f>Table1[[#This Row],[NETTO_monthly_revenue(€)]]-Table1[[#This Row],[procurement_cost_(€)]]</f>
        <v>65.867906722689071</v>
      </c>
      <c r="L646" s="21">
        <f t="shared" si="30"/>
        <v>10.641018856654131</v>
      </c>
      <c r="M646" s="21" t="str">
        <f t="shared" si="31"/>
        <v>26.12.2024</v>
      </c>
      <c r="N646" s="21">
        <f t="shared" si="32"/>
        <v>173.01680672268907</v>
      </c>
    </row>
    <row r="647" spans="1:14">
      <c r="A647" s="9" t="s">
        <v>1086</v>
      </c>
      <c r="B647" s="8">
        <v>24</v>
      </c>
      <c r="C647" s="8" t="s">
        <v>39</v>
      </c>
      <c r="D647" s="8" t="s">
        <v>46</v>
      </c>
      <c r="E647" s="8" t="s">
        <v>141</v>
      </c>
      <c r="F647" s="8">
        <v>127</v>
      </c>
      <c r="G647" s="8">
        <v>56.09</v>
      </c>
      <c r="H647" s="10">
        <v>30.63</v>
      </c>
      <c r="I647" s="21">
        <f>Table1[[#This Row],[BRUTTO_monthly_bill_eur]]/1.19</f>
        <v>47.134453781512612</v>
      </c>
      <c r="J647" s="21">
        <f>Table1[[#This Row],[monthly_consumption_kwh]]*Table1[[#This Row],[NETTO_procurement_cost_ct_per_kwh]]/100</f>
        <v>38.900099999999995</v>
      </c>
      <c r="K647" s="21">
        <f>Table1[[#This Row],[NETTO_monthly_revenue(€)]]-Table1[[#This Row],[procurement_cost_(€)]]</f>
        <v>8.2343537815126169</v>
      </c>
      <c r="L647" s="21">
        <f t="shared" si="30"/>
        <v>6.4837431350493056</v>
      </c>
      <c r="M647" s="21" t="str">
        <f t="shared" si="31"/>
        <v>09.04.2025</v>
      </c>
      <c r="N647" s="21">
        <f t="shared" si="32"/>
        <v>47.134453781512612</v>
      </c>
    </row>
    <row r="648" spans="1:14">
      <c r="A648" s="9" t="s">
        <v>1087</v>
      </c>
      <c r="B648" s="8">
        <v>24</v>
      </c>
      <c r="C648" s="8" t="s">
        <v>35</v>
      </c>
      <c r="D648" s="8" t="s">
        <v>36</v>
      </c>
      <c r="E648" s="8" t="s">
        <v>1088</v>
      </c>
      <c r="F648" s="8">
        <v>178</v>
      </c>
      <c r="G648" s="8">
        <v>72.53</v>
      </c>
      <c r="H648" s="10">
        <v>25.88</v>
      </c>
      <c r="I648" s="21">
        <f>Table1[[#This Row],[BRUTTO_monthly_bill_eur]]/1.19</f>
        <v>60.949579831932773</v>
      </c>
      <c r="J648" s="21">
        <f>Table1[[#This Row],[monthly_consumption_kwh]]*Table1[[#This Row],[NETTO_procurement_cost_ct_per_kwh]]/100</f>
        <v>46.066399999999994</v>
      </c>
      <c r="K648" s="21">
        <f>Table1[[#This Row],[NETTO_monthly_revenue(€)]]-Table1[[#This Row],[procurement_cost_(€)]]</f>
        <v>14.883179831932779</v>
      </c>
      <c r="L648" s="21">
        <f t="shared" si="30"/>
        <v>8.3613369842318992</v>
      </c>
      <c r="M648" s="21" t="str">
        <f t="shared" si="31"/>
        <v>04.10.2024</v>
      </c>
      <c r="N648" s="21">
        <f t="shared" si="32"/>
        <v>60.949579831932773</v>
      </c>
    </row>
    <row r="649" spans="1:14">
      <c r="A649" s="9" t="s">
        <v>1089</v>
      </c>
      <c r="B649" s="8">
        <v>24</v>
      </c>
      <c r="C649" s="8" t="s">
        <v>51</v>
      </c>
      <c r="D649" s="8" t="s">
        <v>36</v>
      </c>
      <c r="E649" s="8" t="s">
        <v>1077</v>
      </c>
      <c r="F649" s="8">
        <v>611</v>
      </c>
      <c r="G649" s="8">
        <v>199.68</v>
      </c>
      <c r="H649" s="10">
        <v>19.309999999999999</v>
      </c>
      <c r="I649" s="21">
        <f>Table1[[#This Row],[BRUTTO_monthly_bill_eur]]/1.19</f>
        <v>167.79831932773109</v>
      </c>
      <c r="J649" s="21">
        <f>Table1[[#This Row],[monthly_consumption_kwh]]*Table1[[#This Row],[NETTO_procurement_cost_ct_per_kwh]]/100</f>
        <v>117.9841</v>
      </c>
      <c r="K649" s="21">
        <f>Table1[[#This Row],[NETTO_monthly_revenue(€)]]-Table1[[#This Row],[procurement_cost_(€)]]</f>
        <v>49.814219327731095</v>
      </c>
      <c r="L649" s="21">
        <f t="shared" si="30"/>
        <v>8.1529000536384775</v>
      </c>
      <c r="M649" s="21" t="str">
        <f t="shared" si="31"/>
        <v>09.11.2024</v>
      </c>
      <c r="N649" s="21">
        <f t="shared" si="32"/>
        <v>167.79831932773109</v>
      </c>
    </row>
    <row r="650" spans="1:14">
      <c r="A650" s="9" t="s">
        <v>1090</v>
      </c>
      <c r="B650" s="8">
        <v>24</v>
      </c>
      <c r="C650" s="8" t="s">
        <v>51</v>
      </c>
      <c r="D650" s="8" t="s">
        <v>36</v>
      </c>
      <c r="E650" s="8" t="s">
        <v>238</v>
      </c>
      <c r="F650" s="8">
        <v>533</v>
      </c>
      <c r="G650" s="8">
        <v>187.33</v>
      </c>
      <c r="H650" s="10">
        <v>20.07</v>
      </c>
      <c r="I650" s="21">
        <f>Table1[[#This Row],[BRUTTO_monthly_bill_eur]]/1.19</f>
        <v>157.42016806722691</v>
      </c>
      <c r="J650" s="21">
        <f>Table1[[#This Row],[monthly_consumption_kwh]]*Table1[[#This Row],[NETTO_procurement_cost_ct_per_kwh]]/100</f>
        <v>106.97309999999999</v>
      </c>
      <c r="K650" s="21">
        <f>Table1[[#This Row],[NETTO_monthly_revenue(€)]]-Table1[[#This Row],[procurement_cost_(€)]]</f>
        <v>50.447068067226922</v>
      </c>
      <c r="L650" s="21">
        <f t="shared" si="30"/>
        <v>9.4647407255585225</v>
      </c>
      <c r="M650" s="21" t="str">
        <f t="shared" si="31"/>
        <v>14.09.2024</v>
      </c>
      <c r="N650" s="21">
        <f t="shared" si="32"/>
        <v>157.42016806722691</v>
      </c>
    </row>
    <row r="651" spans="1:14">
      <c r="A651" s="9" t="s">
        <v>1091</v>
      </c>
      <c r="B651" s="8">
        <v>12</v>
      </c>
      <c r="C651" s="8" t="s">
        <v>35</v>
      </c>
      <c r="D651" s="8" t="s">
        <v>36</v>
      </c>
      <c r="E651" s="8" t="s">
        <v>857</v>
      </c>
      <c r="F651" s="8">
        <v>186</v>
      </c>
      <c r="G651" s="8">
        <v>69.930000000000007</v>
      </c>
      <c r="H651" s="10">
        <v>22.27</v>
      </c>
      <c r="I651" s="21">
        <f>Table1[[#This Row],[BRUTTO_monthly_bill_eur]]/1.19</f>
        <v>58.764705882352949</v>
      </c>
      <c r="J651" s="21">
        <f>Table1[[#This Row],[monthly_consumption_kwh]]*Table1[[#This Row],[NETTO_procurement_cost_ct_per_kwh]]/100</f>
        <v>41.422200000000004</v>
      </c>
      <c r="K651" s="21">
        <f>Table1[[#This Row],[NETTO_monthly_revenue(€)]]-Table1[[#This Row],[procurement_cost_(€)]]</f>
        <v>17.342505882352945</v>
      </c>
      <c r="L651" s="21">
        <f t="shared" si="30"/>
        <v>9.3239278937381425</v>
      </c>
      <c r="M651" s="21" t="str">
        <f t="shared" si="31"/>
        <v>24.08.2024</v>
      </c>
      <c r="N651" s="21">
        <f t="shared" si="32"/>
        <v>58.764705882352949</v>
      </c>
    </row>
    <row r="652" spans="1:14">
      <c r="A652" s="9" t="s">
        <v>1092</v>
      </c>
      <c r="B652" s="8">
        <v>12</v>
      </c>
      <c r="C652" s="8" t="s">
        <v>35</v>
      </c>
      <c r="D652" s="8" t="s">
        <v>36</v>
      </c>
      <c r="E652" s="8" t="s">
        <v>331</v>
      </c>
      <c r="F652" s="8">
        <v>183</v>
      </c>
      <c r="G652" s="8">
        <v>68.83</v>
      </c>
      <c r="H652" s="10">
        <v>23.67</v>
      </c>
      <c r="I652" s="21">
        <f>Table1[[#This Row],[BRUTTO_monthly_bill_eur]]/1.19</f>
        <v>57.840336134453786</v>
      </c>
      <c r="J652" s="21">
        <f>Table1[[#This Row],[monthly_consumption_kwh]]*Table1[[#This Row],[NETTO_procurement_cost_ct_per_kwh]]/100</f>
        <v>43.316100000000006</v>
      </c>
      <c r="K652" s="21">
        <f>Table1[[#This Row],[NETTO_monthly_revenue(€)]]-Table1[[#This Row],[procurement_cost_(€)]]</f>
        <v>14.52423613445378</v>
      </c>
      <c r="L652" s="21">
        <f t="shared" si="30"/>
        <v>7.9367410570785681</v>
      </c>
      <c r="M652" s="21" t="str">
        <f t="shared" si="31"/>
        <v>03.05.2024</v>
      </c>
      <c r="N652" s="21">
        <f t="shared" si="32"/>
        <v>57.840336134453786</v>
      </c>
    </row>
    <row r="653" spans="1:14">
      <c r="A653" s="9" t="s">
        <v>1093</v>
      </c>
      <c r="B653" s="8">
        <v>12</v>
      </c>
      <c r="C653" s="8" t="s">
        <v>35</v>
      </c>
      <c r="D653" s="8" t="s">
        <v>36</v>
      </c>
      <c r="E653" s="8" t="s">
        <v>662</v>
      </c>
      <c r="F653" s="8">
        <v>318</v>
      </c>
      <c r="G653" s="8">
        <v>119.08</v>
      </c>
      <c r="H653" s="10">
        <v>22.47</v>
      </c>
      <c r="I653" s="21">
        <f>Table1[[#This Row],[BRUTTO_monthly_bill_eur]]/1.19</f>
        <v>100.0672268907563</v>
      </c>
      <c r="J653" s="21">
        <f>Table1[[#This Row],[monthly_consumption_kwh]]*Table1[[#This Row],[NETTO_procurement_cost_ct_per_kwh]]/100</f>
        <v>71.454599999999999</v>
      </c>
      <c r="K653" s="21">
        <f>Table1[[#This Row],[NETTO_monthly_revenue(€)]]-Table1[[#This Row],[procurement_cost_(€)]]</f>
        <v>28.612626890756303</v>
      </c>
      <c r="L653" s="21">
        <f t="shared" si="30"/>
        <v>8.9976814121875162</v>
      </c>
      <c r="M653" s="21" t="str">
        <f t="shared" si="31"/>
        <v>16.07.2024</v>
      </c>
      <c r="N653" s="21">
        <f t="shared" si="32"/>
        <v>100.0672268907563</v>
      </c>
    </row>
    <row r="654" spans="1:14">
      <c r="A654" s="9" t="s">
        <v>1094</v>
      </c>
      <c r="B654" s="8">
        <v>24</v>
      </c>
      <c r="C654" s="8" t="s">
        <v>51</v>
      </c>
      <c r="D654" s="8" t="s">
        <v>36</v>
      </c>
      <c r="E654" s="8" t="s">
        <v>177</v>
      </c>
      <c r="F654" s="8">
        <v>556</v>
      </c>
      <c r="G654" s="8">
        <v>185.56</v>
      </c>
      <c r="H654" s="10">
        <v>19.559999999999999</v>
      </c>
      <c r="I654" s="21">
        <f>Table1[[#This Row],[BRUTTO_monthly_bill_eur]]/1.19</f>
        <v>155.9327731092437</v>
      </c>
      <c r="J654" s="21">
        <f>Table1[[#This Row],[monthly_consumption_kwh]]*Table1[[#This Row],[NETTO_procurement_cost_ct_per_kwh]]/100</f>
        <v>108.75359999999999</v>
      </c>
      <c r="K654" s="21">
        <f>Table1[[#This Row],[NETTO_monthly_revenue(€)]]-Table1[[#This Row],[procurement_cost_(€)]]</f>
        <v>47.179173109243706</v>
      </c>
      <c r="L654" s="21">
        <f t="shared" si="30"/>
        <v>8.4854627894323222</v>
      </c>
      <c r="M654" s="21" t="str">
        <f t="shared" si="31"/>
        <v>19.11.2024</v>
      </c>
      <c r="N654" s="21">
        <f t="shared" si="32"/>
        <v>155.9327731092437</v>
      </c>
    </row>
    <row r="655" spans="1:14">
      <c r="A655" s="9" t="s">
        <v>1095</v>
      </c>
      <c r="B655" s="8">
        <v>24</v>
      </c>
      <c r="C655" s="8" t="s">
        <v>35</v>
      </c>
      <c r="D655" s="8" t="s">
        <v>36</v>
      </c>
      <c r="E655" s="8" t="s">
        <v>1096</v>
      </c>
      <c r="F655" s="8">
        <v>305</v>
      </c>
      <c r="G655" s="8">
        <v>118.62</v>
      </c>
      <c r="H655" s="10">
        <v>25.75</v>
      </c>
      <c r="I655" s="21">
        <f>Table1[[#This Row],[BRUTTO_monthly_bill_eur]]/1.19</f>
        <v>99.680672268907571</v>
      </c>
      <c r="J655" s="21">
        <f>Table1[[#This Row],[monthly_consumption_kwh]]*Table1[[#This Row],[NETTO_procurement_cost_ct_per_kwh]]/100</f>
        <v>78.537499999999994</v>
      </c>
      <c r="K655" s="21">
        <f>Table1[[#This Row],[NETTO_monthly_revenue(€)]]-Table1[[#This Row],[procurement_cost_(€)]]</f>
        <v>21.143172268907577</v>
      </c>
      <c r="L655" s="21">
        <f t="shared" si="30"/>
        <v>6.9321876291500262</v>
      </c>
      <c r="M655" s="21" t="str">
        <f t="shared" si="31"/>
        <v>2024-05</v>
      </c>
      <c r="N655" s="21">
        <f t="shared" si="32"/>
        <v>99.680672268907571</v>
      </c>
    </row>
    <row r="656" spans="1:14">
      <c r="A656" s="9" t="s">
        <v>1097</v>
      </c>
      <c r="B656" s="8">
        <v>12</v>
      </c>
      <c r="C656" s="8" t="s">
        <v>39</v>
      </c>
      <c r="D656" s="8" t="s">
        <v>46</v>
      </c>
      <c r="E656" s="8" t="s">
        <v>1098</v>
      </c>
      <c r="F656" s="8">
        <v>157</v>
      </c>
      <c r="G656" s="8">
        <v>67.27</v>
      </c>
      <c r="H656" s="10">
        <v>30.65</v>
      </c>
      <c r="I656" s="21">
        <f>Table1[[#This Row],[BRUTTO_monthly_bill_eur]]/1.19</f>
        <v>56.529411764705884</v>
      </c>
      <c r="J656" s="21">
        <f>Table1[[#This Row],[monthly_consumption_kwh]]*Table1[[#This Row],[NETTO_procurement_cost_ct_per_kwh]]/100</f>
        <v>48.1205</v>
      </c>
      <c r="K656" s="21">
        <f>Table1[[#This Row],[NETTO_monthly_revenue(€)]]-Table1[[#This Row],[procurement_cost_(€)]]</f>
        <v>8.4089117647058842</v>
      </c>
      <c r="L656" s="21">
        <f t="shared" si="30"/>
        <v>5.3559947545897355</v>
      </c>
      <c r="M656" s="21" t="str">
        <f t="shared" si="31"/>
        <v>08.07.2024</v>
      </c>
      <c r="N656" s="21">
        <f t="shared" si="32"/>
        <v>56.529411764705884</v>
      </c>
    </row>
    <row r="657" spans="1:14">
      <c r="A657" s="9" t="s">
        <v>1099</v>
      </c>
      <c r="B657" s="8">
        <v>12</v>
      </c>
      <c r="C657" s="8" t="s">
        <v>51</v>
      </c>
      <c r="D657" s="8" t="s">
        <v>56</v>
      </c>
      <c r="E657" s="8" t="s">
        <v>124</v>
      </c>
      <c r="F657" s="8">
        <v>524</v>
      </c>
      <c r="G657" s="8">
        <v>166.45</v>
      </c>
      <c r="H657" s="10">
        <v>0.18</v>
      </c>
      <c r="I657" s="21">
        <f>Table1[[#This Row],[BRUTTO_monthly_bill_eur]]/1.19</f>
        <v>139.87394957983193</v>
      </c>
      <c r="J657" s="21">
        <f>Table1[[#This Row],[monthly_consumption_kwh]]*Table1[[#This Row],[NETTO_procurement_cost_ct_per_kwh]]/100</f>
        <v>0.94319999999999993</v>
      </c>
      <c r="K657" s="21">
        <f>Table1[[#This Row],[NETTO_monthly_revenue(€)]]-Table1[[#This Row],[procurement_cost_(€)]]</f>
        <v>138.93074957983194</v>
      </c>
      <c r="L657" s="21">
        <f t="shared" si="30"/>
        <v>26.513501828212206</v>
      </c>
      <c r="M657" s="21" t="str">
        <f t="shared" si="31"/>
        <v>15.07.2024</v>
      </c>
      <c r="N657" s="21">
        <f t="shared" si="32"/>
        <v>139.87394957983193</v>
      </c>
    </row>
    <row r="658" spans="1:14">
      <c r="A658" s="9" t="s">
        <v>1100</v>
      </c>
      <c r="B658" s="8">
        <v>12</v>
      </c>
      <c r="C658" s="8" t="s">
        <v>35</v>
      </c>
      <c r="D658" s="8" t="s">
        <v>46</v>
      </c>
      <c r="E658" s="8" t="s">
        <v>1101</v>
      </c>
      <c r="F658" s="8">
        <v>253</v>
      </c>
      <c r="G658" s="8">
        <v>98.58</v>
      </c>
      <c r="H658" s="10">
        <v>23.42</v>
      </c>
      <c r="I658" s="21">
        <f>Table1[[#This Row],[BRUTTO_monthly_bill_eur]]/1.19</f>
        <v>82.840336134453779</v>
      </c>
      <c r="J658" s="21">
        <f>Table1[[#This Row],[monthly_consumption_kwh]]*Table1[[#This Row],[NETTO_procurement_cost_ct_per_kwh]]/100</f>
        <v>59.252600000000001</v>
      </c>
      <c r="K658" s="21">
        <f>Table1[[#This Row],[NETTO_monthly_revenue(€)]]-Table1[[#This Row],[procurement_cost_(€)]]</f>
        <v>23.587736134453777</v>
      </c>
      <c r="L658" s="21">
        <f t="shared" si="30"/>
        <v>9.3232158634204652</v>
      </c>
      <c r="M658" s="21" t="str">
        <f t="shared" si="31"/>
        <v>09.08.2024</v>
      </c>
      <c r="N658" s="21">
        <f t="shared" si="32"/>
        <v>82.840336134453779</v>
      </c>
    </row>
    <row r="659" spans="1:14">
      <c r="A659" s="9" t="s">
        <v>1102</v>
      </c>
      <c r="B659" s="8">
        <v>12</v>
      </c>
      <c r="C659" s="8" t="s">
        <v>35</v>
      </c>
      <c r="D659" s="8" t="s">
        <v>36</v>
      </c>
      <c r="E659" s="8" t="s">
        <v>1015</v>
      </c>
      <c r="F659" s="8">
        <v>238</v>
      </c>
      <c r="G659" s="8">
        <v>91.27</v>
      </c>
      <c r="H659" s="10">
        <v>26.2</v>
      </c>
      <c r="I659" s="21">
        <f>Table1[[#This Row],[BRUTTO_monthly_bill_eur]]/1.19</f>
        <v>76.69747899159664</v>
      </c>
      <c r="J659" s="21">
        <f>Table1[[#This Row],[monthly_consumption_kwh]]*Table1[[#This Row],[NETTO_procurement_cost_ct_per_kwh]]/100</f>
        <v>62.355999999999995</v>
      </c>
      <c r="K659" s="21">
        <f>Table1[[#This Row],[NETTO_monthly_revenue(€)]]-Table1[[#This Row],[procurement_cost_(€)]]</f>
        <v>14.341478991596645</v>
      </c>
      <c r="L659" s="21">
        <f t="shared" si="30"/>
        <v>6.0258315090742203</v>
      </c>
      <c r="M659" s="21" t="str">
        <f t="shared" si="31"/>
        <v>10.05.2025</v>
      </c>
      <c r="N659" s="21">
        <f t="shared" si="32"/>
        <v>76.69747899159664</v>
      </c>
    </row>
    <row r="660" spans="1:14">
      <c r="A660" s="9" t="s">
        <v>1103</v>
      </c>
      <c r="B660" s="8">
        <v>24</v>
      </c>
      <c r="C660" s="8" t="s">
        <v>39</v>
      </c>
      <c r="D660" s="8" t="s">
        <v>36</v>
      </c>
      <c r="E660" s="8" t="s">
        <v>577</v>
      </c>
      <c r="F660" s="8">
        <v>110</v>
      </c>
      <c r="G660" s="8">
        <v>51.44</v>
      </c>
      <c r="H660" s="10">
        <v>29.61</v>
      </c>
      <c r="I660" s="21">
        <f>Table1[[#This Row],[BRUTTO_monthly_bill_eur]]/1.19</f>
        <v>43.226890756302524</v>
      </c>
      <c r="J660" s="21">
        <f>Table1[[#This Row],[monthly_consumption_kwh]]*Table1[[#This Row],[NETTO_procurement_cost_ct_per_kwh]]/100</f>
        <v>32.570999999999998</v>
      </c>
      <c r="K660" s="21">
        <f>Table1[[#This Row],[NETTO_monthly_revenue(€)]]-Table1[[#This Row],[procurement_cost_(€)]]</f>
        <v>10.655890756302526</v>
      </c>
      <c r="L660" s="21">
        <f t="shared" si="30"/>
        <v>9.687173414820478</v>
      </c>
      <c r="M660" s="21" t="str">
        <f t="shared" si="31"/>
        <v>10.10.2024</v>
      </c>
      <c r="N660" s="21">
        <f t="shared" si="32"/>
        <v>43.226890756302524</v>
      </c>
    </row>
    <row r="661" spans="1:14">
      <c r="A661" s="9" t="s">
        <v>1104</v>
      </c>
      <c r="B661" s="8">
        <v>24</v>
      </c>
      <c r="C661" s="8" t="s">
        <v>35</v>
      </c>
      <c r="D661" s="8" t="s">
        <v>56</v>
      </c>
      <c r="E661" s="8" t="s">
        <v>1105</v>
      </c>
      <c r="F661" s="8">
        <v>239</v>
      </c>
      <c r="G661" s="8">
        <v>97.03</v>
      </c>
      <c r="H661" s="10">
        <v>25.33</v>
      </c>
      <c r="I661" s="21">
        <f>Table1[[#This Row],[BRUTTO_monthly_bill_eur]]/1.19</f>
        <v>81.537815126050418</v>
      </c>
      <c r="J661" s="21">
        <f>Table1[[#This Row],[monthly_consumption_kwh]]*Table1[[#This Row],[NETTO_procurement_cost_ct_per_kwh]]/100</f>
        <v>60.538699999999999</v>
      </c>
      <c r="K661" s="21">
        <f>Table1[[#This Row],[NETTO_monthly_revenue(€)]]-Table1[[#This Row],[procurement_cost_(€)]]</f>
        <v>20.99911512605042</v>
      </c>
      <c r="L661" s="21">
        <f t="shared" si="30"/>
        <v>8.7862406385148191</v>
      </c>
      <c r="M661" s="21" t="str">
        <f t="shared" si="31"/>
        <v>21.06.2025</v>
      </c>
      <c r="N661" s="21">
        <f t="shared" si="32"/>
        <v>81.537815126050418</v>
      </c>
    </row>
    <row r="662" spans="1:14">
      <c r="A662" s="9" t="s">
        <v>1106</v>
      </c>
      <c r="B662" s="8">
        <v>12</v>
      </c>
      <c r="C662" s="8" t="s">
        <v>35</v>
      </c>
      <c r="D662" s="8" t="s">
        <v>36</v>
      </c>
      <c r="E662" s="8" t="s">
        <v>1107</v>
      </c>
      <c r="F662" s="8">
        <v>296</v>
      </c>
      <c r="G662" s="8">
        <v>111.89</v>
      </c>
      <c r="H662" s="10">
        <v>25.26</v>
      </c>
      <c r="I662" s="21">
        <f>Table1[[#This Row],[BRUTTO_monthly_bill_eur]]/1.19</f>
        <v>94.025210084033617</v>
      </c>
      <c r="J662" s="21">
        <f>Table1[[#This Row],[monthly_consumption_kwh]]*Table1[[#This Row],[NETTO_procurement_cost_ct_per_kwh]]/100</f>
        <v>74.769599999999997</v>
      </c>
      <c r="K662" s="21">
        <f>Table1[[#This Row],[NETTO_monthly_revenue(€)]]-Table1[[#This Row],[procurement_cost_(€)]]</f>
        <v>19.25561008403362</v>
      </c>
      <c r="L662" s="21">
        <f t="shared" si="30"/>
        <v>6.5052736770383852</v>
      </c>
      <c r="M662" s="21" t="str">
        <f t="shared" si="31"/>
        <v>16.10.2024</v>
      </c>
      <c r="N662" s="21">
        <f t="shared" si="32"/>
        <v>94.025210084033617</v>
      </c>
    </row>
    <row r="663" spans="1:14">
      <c r="A663" s="9" t="s">
        <v>1108</v>
      </c>
      <c r="B663" s="8">
        <v>24</v>
      </c>
      <c r="C663" s="8" t="s">
        <v>35</v>
      </c>
      <c r="D663" s="8" t="s">
        <v>36</v>
      </c>
      <c r="E663" s="8" t="s">
        <v>1109</v>
      </c>
      <c r="F663" s="8">
        <v>267</v>
      </c>
      <c r="G663" s="8">
        <v>102.18</v>
      </c>
      <c r="H663" s="10">
        <v>0.24</v>
      </c>
      <c r="I663" s="21">
        <f>Table1[[#This Row],[BRUTTO_monthly_bill_eur]]/1.19</f>
        <v>85.86554621848741</v>
      </c>
      <c r="J663" s="21">
        <f>Table1[[#This Row],[monthly_consumption_kwh]]*Table1[[#This Row],[NETTO_procurement_cost_ct_per_kwh]]/100</f>
        <v>0.64080000000000004</v>
      </c>
      <c r="K663" s="21">
        <f>Table1[[#This Row],[NETTO_monthly_revenue(€)]]-Table1[[#This Row],[procurement_cost_(€)]]</f>
        <v>85.224746218487411</v>
      </c>
      <c r="L663" s="21">
        <f t="shared" si="30"/>
        <v>31.919380606175064</v>
      </c>
      <c r="M663" s="21" t="str">
        <f t="shared" si="31"/>
        <v>2024-04</v>
      </c>
      <c r="N663" s="21">
        <f t="shared" si="32"/>
        <v>85.86554621848741</v>
      </c>
    </row>
    <row r="664" spans="1:14">
      <c r="A664" s="9" t="s">
        <v>1110</v>
      </c>
      <c r="B664" s="8">
        <v>24</v>
      </c>
      <c r="C664" s="8" t="s">
        <v>39</v>
      </c>
      <c r="D664" s="8" t="s">
        <v>46</v>
      </c>
      <c r="E664" s="8" t="s">
        <v>1111</v>
      </c>
      <c r="F664" s="8">
        <v>158</v>
      </c>
      <c r="G664" s="8">
        <v>65.08</v>
      </c>
      <c r="H664" s="10">
        <v>29.49</v>
      </c>
      <c r="I664" s="21">
        <f>Table1[[#This Row],[BRUTTO_monthly_bill_eur]]/1.19</f>
        <v>54.689075630252098</v>
      </c>
      <c r="J664" s="21">
        <f>Table1[[#This Row],[monthly_consumption_kwh]]*Table1[[#This Row],[NETTO_procurement_cost_ct_per_kwh]]/100</f>
        <v>46.594200000000001</v>
      </c>
      <c r="K664" s="21">
        <f>Table1[[#This Row],[NETTO_monthly_revenue(€)]]-Table1[[#This Row],[procurement_cost_(€)]]</f>
        <v>8.0948756302520977</v>
      </c>
      <c r="L664" s="21">
        <f t="shared" si="30"/>
        <v>5.1233390064886697</v>
      </c>
      <c r="M664" s="21" t="str">
        <f t="shared" si="31"/>
        <v>17.07.2024</v>
      </c>
      <c r="N664" s="21">
        <f t="shared" si="32"/>
        <v>54.689075630252098</v>
      </c>
    </row>
    <row r="665" spans="1:14">
      <c r="A665" s="9" t="s">
        <v>1112</v>
      </c>
      <c r="B665" s="8">
        <v>12</v>
      </c>
      <c r="C665" s="8" t="s">
        <v>35</v>
      </c>
      <c r="D665" s="8" t="s">
        <v>46</v>
      </c>
      <c r="E665" s="8" t="s">
        <v>458</v>
      </c>
      <c r="F665" s="8">
        <v>241</v>
      </c>
      <c r="G665" s="8">
        <v>94.03</v>
      </c>
      <c r="H665" s="10">
        <v>23.02</v>
      </c>
      <c r="I665" s="21">
        <f>Table1[[#This Row],[BRUTTO_monthly_bill_eur]]/1.19</f>
        <v>79.016806722689083</v>
      </c>
      <c r="J665" s="21">
        <f>Table1[[#This Row],[monthly_consumption_kwh]]*Table1[[#This Row],[NETTO_procurement_cost_ct_per_kwh]]/100</f>
        <v>55.478199999999994</v>
      </c>
      <c r="K665" s="21">
        <f>Table1[[#This Row],[NETTO_monthly_revenue(€)]]-Table1[[#This Row],[procurement_cost_(€)]]</f>
        <v>23.538606722689089</v>
      </c>
      <c r="L665" s="21">
        <f t="shared" si="30"/>
        <v>9.7670567314062602</v>
      </c>
      <c r="M665" s="21" t="str">
        <f t="shared" si="31"/>
        <v>30.10.2024</v>
      </c>
      <c r="N665" s="21">
        <f t="shared" si="32"/>
        <v>79.016806722689083</v>
      </c>
    </row>
    <row r="666" spans="1:14">
      <c r="A666" s="9" t="s">
        <v>1113</v>
      </c>
      <c r="B666" s="8">
        <v>12</v>
      </c>
      <c r="C666" s="8" t="s">
        <v>51</v>
      </c>
      <c r="D666" s="8" t="s">
        <v>46</v>
      </c>
      <c r="E666" s="8" t="s">
        <v>1114</v>
      </c>
      <c r="F666" s="8">
        <v>536</v>
      </c>
      <c r="G666" s="8">
        <v>182.88</v>
      </c>
      <c r="H666" s="10">
        <v>17.03</v>
      </c>
      <c r="I666" s="21">
        <f>Table1[[#This Row],[BRUTTO_monthly_bill_eur]]/1.19</f>
        <v>153.68067226890756</v>
      </c>
      <c r="J666" s="21">
        <f>Table1[[#This Row],[monthly_consumption_kwh]]*Table1[[#This Row],[NETTO_procurement_cost_ct_per_kwh]]/100</f>
        <v>91.280799999999999</v>
      </c>
      <c r="K666" s="21">
        <f>Table1[[#This Row],[NETTO_monthly_revenue(€)]]-Table1[[#This Row],[procurement_cost_(€)]]</f>
        <v>62.399872268907558</v>
      </c>
      <c r="L666" s="21">
        <f t="shared" si="30"/>
        <v>11.641767214348425</v>
      </c>
      <c r="M666" s="21" t="str">
        <f t="shared" si="31"/>
        <v>20.08.2024</v>
      </c>
      <c r="N666" s="21">
        <f t="shared" si="32"/>
        <v>153.68067226890756</v>
      </c>
    </row>
    <row r="667" spans="1:14">
      <c r="A667" s="9" t="s">
        <v>1115</v>
      </c>
      <c r="B667" s="8">
        <v>12</v>
      </c>
      <c r="C667" s="8" t="s">
        <v>39</v>
      </c>
      <c r="D667" s="8" t="s">
        <v>36</v>
      </c>
      <c r="E667" s="8" t="s">
        <v>1116</v>
      </c>
      <c r="F667" s="8">
        <v>136</v>
      </c>
      <c r="G667" s="8">
        <v>60.69</v>
      </c>
      <c r="H667" s="10">
        <v>29.42</v>
      </c>
      <c r="I667" s="21">
        <f>Table1[[#This Row],[BRUTTO_monthly_bill_eur]]/1.19</f>
        <v>51</v>
      </c>
      <c r="J667" s="21">
        <f>Table1[[#This Row],[monthly_consumption_kwh]]*Table1[[#This Row],[NETTO_procurement_cost_ct_per_kwh]]/100</f>
        <v>40.011200000000002</v>
      </c>
      <c r="K667" s="21">
        <f>Table1[[#This Row],[NETTO_monthly_revenue(€)]]-Table1[[#This Row],[procurement_cost_(€)]]</f>
        <v>10.988799999999998</v>
      </c>
      <c r="L667" s="21">
        <f t="shared" si="30"/>
        <v>8.0799999999999983</v>
      </c>
      <c r="M667" s="21" t="str">
        <f t="shared" si="31"/>
        <v>04.01.2025</v>
      </c>
      <c r="N667" s="21">
        <f t="shared" si="32"/>
        <v>51</v>
      </c>
    </row>
    <row r="668" spans="1:14">
      <c r="A668" s="9" t="s">
        <v>1117</v>
      </c>
      <c r="B668" s="8">
        <v>12</v>
      </c>
      <c r="C668" s="8" t="s">
        <v>51</v>
      </c>
      <c r="D668" s="8" t="s">
        <v>36</v>
      </c>
      <c r="E668" s="8" t="s">
        <v>631</v>
      </c>
      <c r="F668" s="8">
        <v>531</v>
      </c>
      <c r="G668" s="8">
        <v>169.94</v>
      </c>
      <c r="H668" s="10">
        <v>18.57</v>
      </c>
      <c r="I668" s="21">
        <f>Table1[[#This Row],[BRUTTO_monthly_bill_eur]]/1.19</f>
        <v>142.80672268907563</v>
      </c>
      <c r="J668" s="21">
        <f>Table1[[#This Row],[monthly_consumption_kwh]]*Table1[[#This Row],[NETTO_procurement_cost_ct_per_kwh]]/100</f>
        <v>98.606700000000004</v>
      </c>
      <c r="K668" s="21">
        <f>Table1[[#This Row],[NETTO_monthly_revenue(€)]]-Table1[[#This Row],[procurement_cost_(€)]]</f>
        <v>44.200022689075624</v>
      </c>
      <c r="L668" s="21">
        <f t="shared" si="30"/>
        <v>8.3239214103720567</v>
      </c>
      <c r="M668" s="21" t="str">
        <f t="shared" si="31"/>
        <v>02.07.2024</v>
      </c>
      <c r="N668" s="21">
        <f t="shared" si="32"/>
        <v>142.80672268907563</v>
      </c>
    </row>
    <row r="669" spans="1:14">
      <c r="A669" s="9" t="s">
        <v>1118</v>
      </c>
      <c r="B669" s="8">
        <v>12</v>
      </c>
      <c r="C669" s="8" t="s">
        <v>35</v>
      </c>
      <c r="D669" s="8" t="s">
        <v>56</v>
      </c>
      <c r="E669" s="8" t="s">
        <v>541</v>
      </c>
      <c r="F669" s="8">
        <v>284</v>
      </c>
      <c r="G669" s="8">
        <v>111.54</v>
      </c>
      <c r="H669" s="10">
        <v>24.7</v>
      </c>
      <c r="I669" s="21">
        <f>Table1[[#This Row],[BRUTTO_monthly_bill_eur]]/1.19</f>
        <v>93.731092436974805</v>
      </c>
      <c r="J669" s="21">
        <f>Table1[[#This Row],[monthly_consumption_kwh]]*Table1[[#This Row],[NETTO_procurement_cost_ct_per_kwh]]/100</f>
        <v>70.147999999999996</v>
      </c>
      <c r="K669" s="21">
        <f>Table1[[#This Row],[NETTO_monthly_revenue(€)]]-Table1[[#This Row],[procurement_cost_(€)]]</f>
        <v>23.583092436974809</v>
      </c>
      <c r="L669" s="21">
        <f t="shared" si="30"/>
        <v>8.3039057876671851</v>
      </c>
      <c r="M669" s="21" t="str">
        <f t="shared" si="31"/>
        <v>05.11.2024</v>
      </c>
      <c r="N669" s="21">
        <f t="shared" si="32"/>
        <v>93.731092436974805</v>
      </c>
    </row>
    <row r="670" spans="1:14">
      <c r="A670" s="9" t="s">
        <v>1119</v>
      </c>
      <c r="B670" s="8">
        <v>12</v>
      </c>
      <c r="C670" s="8" t="s">
        <v>51</v>
      </c>
      <c r="D670" s="8" t="s">
        <v>36</v>
      </c>
      <c r="E670" s="8" t="s">
        <v>1120</v>
      </c>
      <c r="F670" s="8">
        <v>412</v>
      </c>
      <c r="G670" s="8">
        <v>143.61000000000001</v>
      </c>
      <c r="H670" s="10">
        <v>19.79</v>
      </c>
      <c r="I670" s="21">
        <f>Table1[[#This Row],[BRUTTO_monthly_bill_eur]]/1.19</f>
        <v>120.68067226890759</v>
      </c>
      <c r="J670" s="21">
        <f>Table1[[#This Row],[monthly_consumption_kwh]]*Table1[[#This Row],[NETTO_procurement_cost_ct_per_kwh]]/100</f>
        <v>81.53479999999999</v>
      </c>
      <c r="K670" s="21">
        <f>Table1[[#This Row],[NETTO_monthly_revenue(€)]]-Table1[[#This Row],[procurement_cost_(€)]]</f>
        <v>39.145872268907596</v>
      </c>
      <c r="L670" s="21">
        <f t="shared" si="30"/>
        <v>9.5014253079872812</v>
      </c>
      <c r="M670" s="21" t="str">
        <f t="shared" si="31"/>
        <v>15.01.2024</v>
      </c>
      <c r="N670" s="21">
        <f t="shared" si="32"/>
        <v>120.68067226890759</v>
      </c>
    </row>
    <row r="671" spans="1:14">
      <c r="A671" s="9" t="s">
        <v>1121</v>
      </c>
      <c r="B671" s="8">
        <v>12</v>
      </c>
      <c r="C671" s="8" t="s">
        <v>51</v>
      </c>
      <c r="D671" s="8" t="s">
        <v>46</v>
      </c>
      <c r="E671" s="8" t="s">
        <v>957</v>
      </c>
      <c r="F671" s="8">
        <v>504</v>
      </c>
      <c r="G671" s="8">
        <v>170.74</v>
      </c>
      <c r="H671" s="10">
        <v>16.850000000000001</v>
      </c>
      <c r="I671" s="21">
        <f>Table1[[#This Row],[BRUTTO_monthly_bill_eur]]/1.19</f>
        <v>143.47899159663868</v>
      </c>
      <c r="J671" s="21">
        <f>Table1[[#This Row],[monthly_consumption_kwh]]*Table1[[#This Row],[NETTO_procurement_cost_ct_per_kwh]]/100</f>
        <v>84.924000000000021</v>
      </c>
      <c r="K671" s="21">
        <f>Table1[[#This Row],[NETTO_monthly_revenue(€)]]-Table1[[#This Row],[procurement_cost_(€)]]</f>
        <v>58.554991596638658</v>
      </c>
      <c r="L671" s="21">
        <f t="shared" si="30"/>
        <v>11.618053888221956</v>
      </c>
      <c r="M671" s="21" t="str">
        <f t="shared" si="31"/>
        <v>09.05.2024</v>
      </c>
      <c r="N671" s="21">
        <f t="shared" si="32"/>
        <v>143.47899159663868</v>
      </c>
    </row>
    <row r="672" spans="1:14">
      <c r="A672" s="9" t="s">
        <v>1122</v>
      </c>
      <c r="B672" s="8">
        <v>12</v>
      </c>
      <c r="C672" s="8" t="s">
        <v>35</v>
      </c>
      <c r="D672" s="8" t="s">
        <v>46</v>
      </c>
      <c r="E672" s="8" t="s">
        <v>1123</v>
      </c>
      <c r="F672" s="8">
        <v>184</v>
      </c>
      <c r="G672" s="8">
        <v>73.3</v>
      </c>
      <c r="H672" s="10">
        <v>23.58</v>
      </c>
      <c r="I672" s="21">
        <f>Table1[[#This Row],[BRUTTO_monthly_bill_eur]]/1.19</f>
        <v>61.596638655462186</v>
      </c>
      <c r="J672" s="21">
        <f>Table1[[#This Row],[monthly_consumption_kwh]]*Table1[[#This Row],[NETTO_procurement_cost_ct_per_kwh]]/100</f>
        <v>43.387199999999993</v>
      </c>
      <c r="K672" s="21">
        <f>Table1[[#This Row],[NETTO_monthly_revenue(€)]]-Table1[[#This Row],[procurement_cost_(€)]]</f>
        <v>18.209438655462193</v>
      </c>
      <c r="L672" s="21">
        <f t="shared" si="30"/>
        <v>9.8964340518816272</v>
      </c>
      <c r="M672" s="21" t="str">
        <f t="shared" si="31"/>
        <v>07.10.2024</v>
      </c>
      <c r="N672" s="21">
        <f t="shared" si="32"/>
        <v>61.596638655462186</v>
      </c>
    </row>
    <row r="673" spans="1:14">
      <c r="A673" s="9" t="s">
        <v>1124</v>
      </c>
      <c r="B673" s="8">
        <v>24</v>
      </c>
      <c r="C673" s="8" t="s">
        <v>35</v>
      </c>
      <c r="D673" s="8" t="s">
        <v>46</v>
      </c>
      <c r="E673" s="8" t="s">
        <v>128</v>
      </c>
      <c r="F673" s="8">
        <v>231</v>
      </c>
      <c r="G673" s="8">
        <v>92.41</v>
      </c>
      <c r="H673" s="10">
        <v>22.73</v>
      </c>
      <c r="I673" s="21">
        <f>Table1[[#This Row],[BRUTTO_monthly_bill_eur]]/1.19</f>
        <v>77.655462184873954</v>
      </c>
      <c r="J673" s="21">
        <f>Table1[[#This Row],[monthly_consumption_kwh]]*Table1[[#This Row],[NETTO_procurement_cost_ct_per_kwh]]/100</f>
        <v>52.506300000000003</v>
      </c>
      <c r="K673" s="21">
        <f>Table1[[#This Row],[NETTO_monthly_revenue(€)]]-Table1[[#This Row],[procurement_cost_(€)]]</f>
        <v>25.149162184873951</v>
      </c>
      <c r="L673" s="21">
        <f t="shared" si="30"/>
        <v>10.88708319691513</v>
      </c>
      <c r="M673" s="21" t="str">
        <f t="shared" si="31"/>
        <v>16.02.2024</v>
      </c>
      <c r="N673" s="21">
        <f t="shared" si="32"/>
        <v>77.655462184873954</v>
      </c>
    </row>
    <row r="674" spans="1:14">
      <c r="A674" s="9" t="s">
        <v>1125</v>
      </c>
      <c r="B674" s="8">
        <v>12</v>
      </c>
      <c r="C674" s="8" t="s">
        <v>51</v>
      </c>
      <c r="D674" s="8" t="s">
        <v>36</v>
      </c>
      <c r="E674" s="8" t="s">
        <v>391</v>
      </c>
      <c r="F674" s="8">
        <v>496</v>
      </c>
      <c r="G674" s="8">
        <v>167.25</v>
      </c>
      <c r="H674" s="10">
        <v>17.28</v>
      </c>
      <c r="I674" s="21">
        <f>Table1[[#This Row],[BRUTTO_monthly_bill_eur]]/1.19</f>
        <v>140.54621848739495</v>
      </c>
      <c r="J674" s="21">
        <f>Table1[[#This Row],[monthly_consumption_kwh]]*Table1[[#This Row],[NETTO_procurement_cost_ct_per_kwh]]/100</f>
        <v>85.708800000000011</v>
      </c>
      <c r="K674" s="21">
        <f>Table1[[#This Row],[NETTO_monthly_revenue(€)]]-Table1[[#This Row],[procurement_cost_(€)]]</f>
        <v>54.837418487394942</v>
      </c>
      <c r="L674" s="21">
        <f t="shared" si="30"/>
        <v>11.055931146652206</v>
      </c>
      <c r="M674" s="21" t="str">
        <f t="shared" si="31"/>
        <v>25.02.2024</v>
      </c>
      <c r="N674" s="21">
        <f t="shared" si="32"/>
        <v>140.54621848739495</v>
      </c>
    </row>
    <row r="675" spans="1:14">
      <c r="A675" s="9" t="s">
        <v>1126</v>
      </c>
      <c r="B675" s="8">
        <v>12</v>
      </c>
      <c r="C675" s="8" t="s">
        <v>35</v>
      </c>
      <c r="D675" s="8" t="s">
        <v>36</v>
      </c>
      <c r="E675" s="8" t="s">
        <v>1127</v>
      </c>
      <c r="F675" s="8">
        <v>275</v>
      </c>
      <c r="G675" s="8">
        <v>100.79</v>
      </c>
      <c r="H675" s="10">
        <v>25.31</v>
      </c>
      <c r="I675" s="21">
        <f>Table1[[#This Row],[BRUTTO_monthly_bill_eur]]/1.19</f>
        <v>84.697478991596654</v>
      </c>
      <c r="J675" s="21">
        <f>Table1[[#This Row],[monthly_consumption_kwh]]*Table1[[#This Row],[NETTO_procurement_cost_ct_per_kwh]]/100</f>
        <v>69.602500000000006</v>
      </c>
      <c r="K675" s="21">
        <f>Table1[[#This Row],[NETTO_monthly_revenue(€)]]-Table1[[#This Row],[procurement_cost_(€)]]</f>
        <v>15.094978991596648</v>
      </c>
      <c r="L675" s="21">
        <f t="shared" si="30"/>
        <v>5.4890832696715082</v>
      </c>
      <c r="M675" s="21" t="str">
        <f t="shared" si="31"/>
        <v>26.10.2024</v>
      </c>
      <c r="N675" s="21">
        <f t="shared" si="32"/>
        <v>84.697478991596654</v>
      </c>
    </row>
    <row r="676" spans="1:14">
      <c r="A676" s="9" t="s">
        <v>1128</v>
      </c>
      <c r="B676" s="8">
        <v>12</v>
      </c>
      <c r="C676" s="8" t="s">
        <v>39</v>
      </c>
      <c r="D676" s="8" t="s">
        <v>46</v>
      </c>
      <c r="E676" s="8" t="s">
        <v>957</v>
      </c>
      <c r="F676" s="8">
        <v>163</v>
      </c>
      <c r="G676" s="8">
        <v>66.180000000000007</v>
      </c>
      <c r="H676" s="10">
        <v>28.17</v>
      </c>
      <c r="I676" s="21">
        <f>Table1[[#This Row],[BRUTTO_monthly_bill_eur]]/1.19</f>
        <v>55.613445378151269</v>
      </c>
      <c r="J676" s="21">
        <f>Table1[[#This Row],[monthly_consumption_kwh]]*Table1[[#This Row],[NETTO_procurement_cost_ct_per_kwh]]/100</f>
        <v>45.917099999999998</v>
      </c>
      <c r="K676" s="21">
        <f>Table1[[#This Row],[NETTO_monthly_revenue(€)]]-Table1[[#This Row],[procurement_cost_(€)]]</f>
        <v>9.6963453781512712</v>
      </c>
      <c r="L676" s="21">
        <f t="shared" si="30"/>
        <v>5.9486781461050739</v>
      </c>
      <c r="M676" s="21" t="str">
        <f t="shared" si="31"/>
        <v>09.05.2024</v>
      </c>
      <c r="N676" s="21">
        <f t="shared" si="32"/>
        <v>55.613445378151269</v>
      </c>
    </row>
    <row r="677" spans="1:14">
      <c r="A677" s="9" t="s">
        <v>1129</v>
      </c>
      <c r="B677" s="8">
        <v>24</v>
      </c>
      <c r="C677" s="8" t="s">
        <v>35</v>
      </c>
      <c r="D677" s="8" t="s">
        <v>56</v>
      </c>
      <c r="E677" s="8" t="s">
        <v>1130</v>
      </c>
      <c r="F677" s="8">
        <v>267</v>
      </c>
      <c r="G677" s="8">
        <v>105.6</v>
      </c>
      <c r="H677" s="10">
        <v>25.68</v>
      </c>
      <c r="I677" s="21">
        <f>Table1[[#This Row],[BRUTTO_monthly_bill_eur]]/1.19</f>
        <v>88.739495798319325</v>
      </c>
      <c r="J677" s="21">
        <f>Table1[[#This Row],[monthly_consumption_kwh]]*Table1[[#This Row],[NETTO_procurement_cost_ct_per_kwh]]/100</f>
        <v>68.565599999999989</v>
      </c>
      <c r="K677" s="21">
        <f>Table1[[#This Row],[NETTO_monthly_revenue(€)]]-Table1[[#This Row],[procurement_cost_(€)]]</f>
        <v>20.173895798319336</v>
      </c>
      <c r="L677" s="21">
        <f t="shared" si="30"/>
        <v>7.555766216599002</v>
      </c>
      <c r="M677" s="21" t="str">
        <f t="shared" si="31"/>
        <v>17.05.2025</v>
      </c>
      <c r="N677" s="21">
        <f t="shared" si="32"/>
        <v>88.739495798319325</v>
      </c>
    </row>
    <row r="678" spans="1:14">
      <c r="A678" s="9" t="s">
        <v>1131</v>
      </c>
      <c r="B678" s="8">
        <v>12</v>
      </c>
      <c r="C678" s="8" t="s">
        <v>51</v>
      </c>
      <c r="D678" s="8" t="s">
        <v>56</v>
      </c>
      <c r="E678" s="8" t="s">
        <v>1132</v>
      </c>
      <c r="F678" s="8">
        <v>581</v>
      </c>
      <c r="G678" s="8">
        <v>181.57</v>
      </c>
      <c r="H678" s="10">
        <v>17.34</v>
      </c>
      <c r="I678" s="21">
        <f>Table1[[#This Row],[BRUTTO_monthly_bill_eur]]/1.19</f>
        <v>152.57983193277312</v>
      </c>
      <c r="J678" s="21">
        <f>Table1[[#This Row],[monthly_consumption_kwh]]*Table1[[#This Row],[NETTO_procurement_cost_ct_per_kwh]]/100</f>
        <v>100.74539999999999</v>
      </c>
      <c r="K678" s="21">
        <f>Table1[[#This Row],[NETTO_monthly_revenue(€)]]-Table1[[#This Row],[procurement_cost_(€)]]</f>
        <v>51.834431932773128</v>
      </c>
      <c r="L678" s="21">
        <f t="shared" si="30"/>
        <v>8.9215889729385758</v>
      </c>
      <c r="M678" s="21" t="str">
        <f t="shared" si="31"/>
        <v>2024-04</v>
      </c>
      <c r="N678" s="21">
        <f t="shared" si="32"/>
        <v>152.57983193277312</v>
      </c>
    </row>
    <row r="679" spans="1:14">
      <c r="A679" s="9" t="s">
        <v>1133</v>
      </c>
      <c r="B679" s="8">
        <v>12</v>
      </c>
      <c r="C679" s="8" t="s">
        <v>51</v>
      </c>
      <c r="D679" s="8" t="s">
        <v>36</v>
      </c>
      <c r="E679" s="8" t="s">
        <v>1134</v>
      </c>
      <c r="F679" s="8">
        <v>502</v>
      </c>
      <c r="G679" s="8">
        <v>176.41</v>
      </c>
      <c r="H679" s="10">
        <v>20.9</v>
      </c>
      <c r="I679" s="21">
        <f>Table1[[#This Row],[BRUTTO_monthly_bill_eur]]/1.19</f>
        <v>148.24369747899161</v>
      </c>
      <c r="J679" s="21">
        <f>Table1[[#This Row],[monthly_consumption_kwh]]*Table1[[#This Row],[NETTO_procurement_cost_ct_per_kwh]]/100</f>
        <v>104.91799999999999</v>
      </c>
      <c r="K679" s="21">
        <f>Table1[[#This Row],[NETTO_monthly_revenue(€)]]-Table1[[#This Row],[procurement_cost_(€)]]</f>
        <v>43.325697478991614</v>
      </c>
      <c r="L679" s="21">
        <f t="shared" si="30"/>
        <v>8.630617027687574</v>
      </c>
      <c r="M679" s="21" t="str">
        <f t="shared" si="31"/>
        <v>13.01.2024</v>
      </c>
      <c r="N679" s="21">
        <f t="shared" si="32"/>
        <v>148.24369747899161</v>
      </c>
    </row>
    <row r="680" spans="1:14">
      <c r="A680" s="9" t="s">
        <v>1135</v>
      </c>
      <c r="B680" s="8">
        <v>24</v>
      </c>
      <c r="C680" s="8" t="s">
        <v>51</v>
      </c>
      <c r="D680" s="8" t="s">
        <v>36</v>
      </c>
      <c r="E680" s="8" t="s">
        <v>535</v>
      </c>
      <c r="F680" s="8">
        <v>545</v>
      </c>
      <c r="G680" s="8">
        <v>188.46</v>
      </c>
      <c r="H680" s="10">
        <v>19.29</v>
      </c>
      <c r="I680" s="21">
        <f>Table1[[#This Row],[BRUTTO_monthly_bill_eur]]/1.19</f>
        <v>158.36974789915968</v>
      </c>
      <c r="J680" s="21">
        <f>Table1[[#This Row],[monthly_consumption_kwh]]*Table1[[#This Row],[NETTO_procurement_cost_ct_per_kwh]]/100</f>
        <v>105.1305</v>
      </c>
      <c r="K680" s="21">
        <f>Table1[[#This Row],[NETTO_monthly_revenue(€)]]-Table1[[#This Row],[procurement_cost_(€)]]</f>
        <v>53.239247899159679</v>
      </c>
      <c r="L680" s="21">
        <f t="shared" si="30"/>
        <v>9.7686693392953536</v>
      </c>
      <c r="M680" s="21" t="str">
        <f t="shared" si="31"/>
        <v>18.10.2024</v>
      </c>
      <c r="N680" s="21">
        <f t="shared" si="32"/>
        <v>158.36974789915968</v>
      </c>
    </row>
    <row r="681" spans="1:14">
      <c r="A681" s="9" t="s">
        <v>1136</v>
      </c>
      <c r="B681" s="8">
        <v>24</v>
      </c>
      <c r="C681" s="8" t="s">
        <v>35</v>
      </c>
      <c r="D681" s="8" t="s">
        <v>56</v>
      </c>
      <c r="E681" s="8" t="s">
        <v>1137</v>
      </c>
      <c r="F681" s="8">
        <v>179</v>
      </c>
      <c r="G681" s="8">
        <v>72.44</v>
      </c>
      <c r="H681" s="10">
        <v>22.93</v>
      </c>
      <c r="I681" s="21">
        <f>Table1[[#This Row],[BRUTTO_monthly_bill_eur]]/1.19</f>
        <v>60.873949579831937</v>
      </c>
      <c r="J681" s="21">
        <f>Table1[[#This Row],[monthly_consumption_kwh]]*Table1[[#This Row],[NETTO_procurement_cost_ct_per_kwh]]/100</f>
        <v>41.044700000000006</v>
      </c>
      <c r="K681" s="21">
        <f>Table1[[#This Row],[NETTO_monthly_revenue(€)]]-Table1[[#This Row],[procurement_cost_(€)]]</f>
        <v>19.829249579831931</v>
      </c>
      <c r="L681" s="21">
        <f t="shared" si="30"/>
        <v>11.077793061358621</v>
      </c>
      <c r="M681" s="21" t="str">
        <f t="shared" si="31"/>
        <v>25.04.2025</v>
      </c>
      <c r="N681" s="21">
        <f t="shared" si="32"/>
        <v>60.873949579831937</v>
      </c>
    </row>
    <row r="682" spans="1:14">
      <c r="A682" s="9" t="s">
        <v>1138</v>
      </c>
      <c r="B682" s="8">
        <v>24</v>
      </c>
      <c r="C682" s="8" t="s">
        <v>51</v>
      </c>
      <c r="D682" s="8" t="s">
        <v>46</v>
      </c>
      <c r="E682" s="8" t="s">
        <v>1139</v>
      </c>
      <c r="F682" s="8">
        <v>418</v>
      </c>
      <c r="G682" s="8">
        <v>141.77000000000001</v>
      </c>
      <c r="H682" s="10">
        <v>21.01</v>
      </c>
      <c r="I682" s="21">
        <f>Table1[[#This Row],[BRUTTO_monthly_bill_eur]]/1.19</f>
        <v>119.13445378151262</v>
      </c>
      <c r="J682" s="21">
        <f>Table1[[#This Row],[monthly_consumption_kwh]]*Table1[[#This Row],[NETTO_procurement_cost_ct_per_kwh]]/100</f>
        <v>87.821799999999996</v>
      </c>
      <c r="K682" s="21">
        <f>Table1[[#This Row],[NETTO_monthly_revenue(€)]]-Table1[[#This Row],[procurement_cost_(€)]]</f>
        <v>31.312653781512623</v>
      </c>
      <c r="L682" s="21">
        <f t="shared" si="30"/>
        <v>7.4910654979695277</v>
      </c>
      <c r="M682" s="21" t="str">
        <f t="shared" si="31"/>
        <v>05.05.2025</v>
      </c>
      <c r="N682" s="21">
        <f t="shared" si="32"/>
        <v>119.13445378151262</v>
      </c>
    </row>
    <row r="683" spans="1:14">
      <c r="A683" s="9" t="s">
        <v>1140</v>
      </c>
      <c r="B683" s="8">
        <v>12</v>
      </c>
      <c r="C683" s="8" t="s">
        <v>39</v>
      </c>
      <c r="D683" s="8" t="s">
        <v>56</v>
      </c>
      <c r="E683" s="8" t="s">
        <v>1141</v>
      </c>
      <c r="F683" s="8">
        <v>113</v>
      </c>
      <c r="G683" s="8">
        <v>49.72</v>
      </c>
      <c r="H683" s="10">
        <v>30.93</v>
      </c>
      <c r="I683" s="21">
        <f>Table1[[#This Row],[BRUTTO_monthly_bill_eur]]/1.19</f>
        <v>41.781512605042018</v>
      </c>
      <c r="J683" s="21">
        <f>Table1[[#This Row],[monthly_consumption_kwh]]*Table1[[#This Row],[NETTO_procurement_cost_ct_per_kwh]]/100</f>
        <v>34.950900000000004</v>
      </c>
      <c r="K683" s="21">
        <f>Table1[[#This Row],[NETTO_monthly_revenue(€)]]-Table1[[#This Row],[procurement_cost_(€)]]</f>
        <v>6.8306126050420133</v>
      </c>
      <c r="L683" s="21">
        <f t="shared" si="30"/>
        <v>6.0447899159663834</v>
      </c>
      <c r="M683" s="21" t="str">
        <f t="shared" si="31"/>
        <v>27.03.2025</v>
      </c>
      <c r="N683" s="21">
        <f t="shared" si="32"/>
        <v>41.781512605042018</v>
      </c>
    </row>
    <row r="684" spans="1:14">
      <c r="A684" s="9" t="s">
        <v>1142</v>
      </c>
      <c r="B684" s="8">
        <v>12</v>
      </c>
      <c r="C684" s="8" t="s">
        <v>35</v>
      </c>
      <c r="D684" s="8" t="s">
        <v>36</v>
      </c>
      <c r="E684" s="8" t="s">
        <v>88</v>
      </c>
      <c r="F684" s="8">
        <v>245</v>
      </c>
      <c r="G684" s="8">
        <v>97.3</v>
      </c>
      <c r="H684" s="10">
        <v>25.83</v>
      </c>
      <c r="I684" s="21">
        <f>Table1[[#This Row],[BRUTTO_monthly_bill_eur]]/1.19</f>
        <v>81.764705882352942</v>
      </c>
      <c r="J684" s="21">
        <f>Table1[[#This Row],[monthly_consumption_kwh]]*Table1[[#This Row],[NETTO_procurement_cost_ct_per_kwh]]/100</f>
        <v>63.283499999999997</v>
      </c>
      <c r="K684" s="21">
        <f>Table1[[#This Row],[NETTO_monthly_revenue(€)]]-Table1[[#This Row],[procurement_cost_(€)]]</f>
        <v>18.481205882352945</v>
      </c>
      <c r="L684" s="21">
        <f t="shared" si="30"/>
        <v>7.5433493397358955</v>
      </c>
      <c r="M684" s="21" t="str">
        <f t="shared" si="31"/>
        <v>14.12.2024</v>
      </c>
      <c r="N684" s="21">
        <f t="shared" si="32"/>
        <v>81.764705882352942</v>
      </c>
    </row>
    <row r="685" spans="1:14">
      <c r="A685" s="9" t="s">
        <v>1143</v>
      </c>
      <c r="B685" s="8">
        <v>24</v>
      </c>
      <c r="C685" s="8" t="s">
        <v>39</v>
      </c>
      <c r="D685" s="8" t="s">
        <v>46</v>
      </c>
      <c r="E685" s="8" t="s">
        <v>1144</v>
      </c>
      <c r="F685" s="8">
        <v>87</v>
      </c>
      <c r="G685" s="8">
        <v>42.82</v>
      </c>
      <c r="H685" s="10">
        <v>28.88</v>
      </c>
      <c r="I685" s="21">
        <f>Table1[[#This Row],[BRUTTO_monthly_bill_eur]]/1.19</f>
        <v>35.983193277310924</v>
      </c>
      <c r="J685" s="21">
        <f>Table1[[#This Row],[monthly_consumption_kwh]]*Table1[[#This Row],[NETTO_procurement_cost_ct_per_kwh]]/100</f>
        <v>25.125599999999999</v>
      </c>
      <c r="K685" s="21">
        <f>Table1[[#This Row],[NETTO_monthly_revenue(€)]]-Table1[[#This Row],[procurement_cost_(€)]]</f>
        <v>10.857593277310926</v>
      </c>
      <c r="L685" s="21">
        <f t="shared" si="30"/>
        <v>12.479992272771179</v>
      </c>
      <c r="M685" s="21" t="str">
        <f t="shared" si="31"/>
        <v>07.07.2024</v>
      </c>
      <c r="N685" s="21">
        <f t="shared" si="32"/>
        <v>35.983193277310924</v>
      </c>
    </row>
    <row r="686" spans="1:14">
      <c r="A686" s="9" t="s">
        <v>1145</v>
      </c>
      <c r="B686" s="8">
        <v>24</v>
      </c>
      <c r="C686" s="8" t="s">
        <v>39</v>
      </c>
      <c r="D686" s="8" t="s">
        <v>46</v>
      </c>
      <c r="E686" s="8" t="s">
        <v>572</v>
      </c>
      <c r="F686" s="8">
        <v>95</v>
      </c>
      <c r="G686" s="8">
        <v>47.03</v>
      </c>
      <c r="H686" s="10">
        <v>31.54</v>
      </c>
      <c r="I686" s="21">
        <f>Table1[[#This Row],[BRUTTO_monthly_bill_eur]]/1.19</f>
        <v>39.52100840336135</v>
      </c>
      <c r="J686" s="21">
        <f>Table1[[#This Row],[monthly_consumption_kwh]]*Table1[[#This Row],[NETTO_procurement_cost_ct_per_kwh]]/100</f>
        <v>29.962999999999997</v>
      </c>
      <c r="K686" s="21">
        <f>Table1[[#This Row],[NETTO_monthly_revenue(€)]]-Table1[[#This Row],[procurement_cost_(€)]]</f>
        <v>9.5580084033613524</v>
      </c>
      <c r="L686" s="21">
        <f t="shared" si="30"/>
        <v>10.061061477222475</v>
      </c>
      <c r="M686" s="21" t="str">
        <f t="shared" si="31"/>
        <v>22.02.2024</v>
      </c>
      <c r="N686" s="21">
        <f t="shared" si="32"/>
        <v>39.52100840336135</v>
      </c>
    </row>
    <row r="687" spans="1:14">
      <c r="A687" s="9" t="s">
        <v>1146</v>
      </c>
      <c r="B687" s="8">
        <v>24</v>
      </c>
      <c r="C687" s="8" t="s">
        <v>35</v>
      </c>
      <c r="D687" s="8" t="s">
        <v>46</v>
      </c>
      <c r="E687" s="8" t="s">
        <v>936</v>
      </c>
      <c r="F687" s="8">
        <v>213</v>
      </c>
      <c r="G687" s="8">
        <v>85.65</v>
      </c>
      <c r="H687" s="10">
        <v>25.74</v>
      </c>
      <c r="I687" s="21">
        <f>Table1[[#This Row],[BRUTTO_monthly_bill_eur]]/1.19</f>
        <v>71.974789915966397</v>
      </c>
      <c r="J687" s="21">
        <f>Table1[[#This Row],[monthly_consumption_kwh]]*Table1[[#This Row],[NETTO_procurement_cost_ct_per_kwh]]/100</f>
        <v>54.8262</v>
      </c>
      <c r="K687" s="21">
        <f>Table1[[#This Row],[NETTO_monthly_revenue(€)]]-Table1[[#This Row],[procurement_cost_(€)]]</f>
        <v>17.148589915966397</v>
      </c>
      <c r="L687" s="21">
        <f t="shared" si="30"/>
        <v>8.0509811812048824</v>
      </c>
      <c r="M687" s="21" t="str">
        <f t="shared" si="31"/>
        <v>15.09.2024</v>
      </c>
      <c r="N687" s="21">
        <f t="shared" si="32"/>
        <v>71.974789915966397</v>
      </c>
    </row>
    <row r="688" spans="1:14">
      <c r="A688" s="9" t="s">
        <v>1147</v>
      </c>
      <c r="B688" s="8">
        <v>24</v>
      </c>
      <c r="C688" s="8" t="s">
        <v>35</v>
      </c>
      <c r="D688" s="8" t="s">
        <v>36</v>
      </c>
      <c r="E688" s="8" t="s">
        <v>1148</v>
      </c>
      <c r="F688" s="8">
        <v>328</v>
      </c>
      <c r="G688" s="8">
        <v>117.71</v>
      </c>
      <c r="H688" s="10">
        <v>27.67</v>
      </c>
      <c r="I688" s="21">
        <f>Table1[[#This Row],[BRUTTO_monthly_bill_eur]]/1.19</f>
        <v>98.915966386554615</v>
      </c>
      <c r="J688" s="21">
        <f>Table1[[#This Row],[monthly_consumption_kwh]]*Table1[[#This Row],[NETTO_procurement_cost_ct_per_kwh]]/100</f>
        <v>90.757599999999996</v>
      </c>
      <c r="K688" s="21">
        <f>Table1[[#This Row],[NETTO_monthly_revenue(€)]]-Table1[[#This Row],[procurement_cost_(€)]]</f>
        <v>8.1583663865546185</v>
      </c>
      <c r="L688" s="21">
        <f t="shared" si="30"/>
        <v>2.4873068251690911</v>
      </c>
      <c r="M688" s="21" t="str">
        <f t="shared" si="31"/>
        <v>04.05.2025</v>
      </c>
      <c r="N688" s="21">
        <f t="shared" si="32"/>
        <v>98.915966386554615</v>
      </c>
    </row>
    <row r="689" spans="1:14">
      <c r="A689" s="9" t="s">
        <v>1149</v>
      </c>
      <c r="B689" s="8">
        <v>12</v>
      </c>
      <c r="C689" s="8" t="s">
        <v>35</v>
      </c>
      <c r="D689" s="8" t="s">
        <v>36</v>
      </c>
      <c r="E689" s="8" t="s">
        <v>1150</v>
      </c>
      <c r="F689" s="8">
        <v>222</v>
      </c>
      <c r="G689" s="8">
        <v>82.76</v>
      </c>
      <c r="H689" s="10">
        <v>24.54</v>
      </c>
      <c r="I689" s="21">
        <f>Table1[[#This Row],[BRUTTO_monthly_bill_eur]]/1.19</f>
        <v>69.546218487394967</v>
      </c>
      <c r="J689" s="21">
        <f>Table1[[#This Row],[monthly_consumption_kwh]]*Table1[[#This Row],[NETTO_procurement_cost_ct_per_kwh]]/100</f>
        <v>54.4788</v>
      </c>
      <c r="K689" s="21">
        <f>Table1[[#This Row],[NETTO_monthly_revenue(€)]]-Table1[[#This Row],[procurement_cost_(€)]]</f>
        <v>15.067418487394967</v>
      </c>
      <c r="L689" s="21">
        <f t="shared" si="30"/>
        <v>6.7871254447725073</v>
      </c>
      <c r="M689" s="21" t="str">
        <f t="shared" si="31"/>
        <v>26.04.2024</v>
      </c>
      <c r="N689" s="21">
        <f t="shared" si="32"/>
        <v>69.546218487394967</v>
      </c>
    </row>
    <row r="690" spans="1:14">
      <c r="A690" s="9" t="s">
        <v>1151</v>
      </c>
      <c r="B690" s="8">
        <v>24</v>
      </c>
      <c r="C690" s="8" t="s">
        <v>35</v>
      </c>
      <c r="D690" s="8" t="s">
        <v>46</v>
      </c>
      <c r="E690" s="8" t="s">
        <v>1152</v>
      </c>
      <c r="F690" s="8">
        <v>247</v>
      </c>
      <c r="G690" s="8">
        <v>96.58</v>
      </c>
      <c r="H690" s="10">
        <v>24.52</v>
      </c>
      <c r="I690" s="21">
        <f>Table1[[#This Row],[BRUTTO_monthly_bill_eur]]/1.19</f>
        <v>81.159663865546221</v>
      </c>
      <c r="J690" s="21">
        <f>Table1[[#This Row],[monthly_consumption_kwh]]*Table1[[#This Row],[NETTO_procurement_cost_ct_per_kwh]]/100</f>
        <v>60.564399999999999</v>
      </c>
      <c r="K690" s="21">
        <f>Table1[[#This Row],[NETTO_monthly_revenue(€)]]-Table1[[#This Row],[procurement_cost_(€)]]</f>
        <v>20.595263865546222</v>
      </c>
      <c r="L690" s="21">
        <f t="shared" si="30"/>
        <v>8.3381635083183081</v>
      </c>
      <c r="M690" s="21" t="str">
        <f t="shared" si="31"/>
        <v>07.03.2024</v>
      </c>
      <c r="N690" s="21">
        <f t="shared" si="32"/>
        <v>81.159663865546221</v>
      </c>
    </row>
    <row r="691" spans="1:14">
      <c r="A691" s="9" t="s">
        <v>1153</v>
      </c>
      <c r="B691" s="8">
        <v>12</v>
      </c>
      <c r="C691" s="8" t="s">
        <v>35</v>
      </c>
      <c r="D691" s="8" t="s">
        <v>36</v>
      </c>
      <c r="E691" s="8" t="s">
        <v>179</v>
      </c>
      <c r="F691" s="8">
        <v>200</v>
      </c>
      <c r="G691" s="8">
        <v>83.78</v>
      </c>
      <c r="H691" s="10">
        <v>23.61</v>
      </c>
      <c r="I691" s="21">
        <f>Table1[[#This Row],[BRUTTO_monthly_bill_eur]]/1.19</f>
        <v>70.403361344537814</v>
      </c>
      <c r="J691" s="21">
        <f>Table1[[#This Row],[monthly_consumption_kwh]]*Table1[[#This Row],[NETTO_procurement_cost_ct_per_kwh]]/100</f>
        <v>47.22</v>
      </c>
      <c r="K691" s="21">
        <f>Table1[[#This Row],[NETTO_monthly_revenue(€)]]-Table1[[#This Row],[procurement_cost_(€)]]</f>
        <v>23.183361344537815</v>
      </c>
      <c r="L691" s="21">
        <f t="shared" si="30"/>
        <v>11.591680672268907</v>
      </c>
      <c r="M691" s="21" t="str">
        <f t="shared" si="31"/>
        <v>14.02.2025</v>
      </c>
      <c r="N691" s="21">
        <f t="shared" si="32"/>
        <v>70.403361344537814</v>
      </c>
    </row>
    <row r="692" spans="1:14">
      <c r="A692" s="9" t="s">
        <v>1154</v>
      </c>
      <c r="B692" s="8">
        <v>12</v>
      </c>
      <c r="C692" s="8" t="s">
        <v>39</v>
      </c>
      <c r="D692" s="8" t="s">
        <v>36</v>
      </c>
      <c r="E692" s="8" t="s">
        <v>1155</v>
      </c>
      <c r="F692" s="8">
        <v>134</v>
      </c>
      <c r="G692" s="8">
        <v>56.79</v>
      </c>
      <c r="H692" s="10">
        <v>33.01</v>
      </c>
      <c r="I692" s="21">
        <f>Table1[[#This Row],[BRUTTO_monthly_bill_eur]]/1.19</f>
        <v>47.722689075630257</v>
      </c>
      <c r="J692" s="21">
        <f>Table1[[#This Row],[monthly_consumption_kwh]]*Table1[[#This Row],[NETTO_procurement_cost_ct_per_kwh]]/100</f>
        <v>44.233400000000003</v>
      </c>
      <c r="K692" s="21">
        <f>Table1[[#This Row],[NETTO_monthly_revenue(€)]]-Table1[[#This Row],[procurement_cost_(€)]]</f>
        <v>3.4892890756302535</v>
      </c>
      <c r="L692" s="21">
        <f t="shared" si="30"/>
        <v>2.6039470713658606</v>
      </c>
      <c r="M692" s="21" t="str">
        <f t="shared" si="31"/>
        <v>18.05.2025</v>
      </c>
      <c r="N692" s="21">
        <f t="shared" si="32"/>
        <v>47.722689075630257</v>
      </c>
    </row>
    <row r="693" spans="1:14">
      <c r="A693" s="9" t="s">
        <v>1156</v>
      </c>
      <c r="B693" s="8">
        <v>12</v>
      </c>
      <c r="C693" s="8" t="s">
        <v>35</v>
      </c>
      <c r="D693" s="8" t="s">
        <v>56</v>
      </c>
      <c r="E693" s="8" t="s">
        <v>522</v>
      </c>
      <c r="F693" s="8">
        <v>214</v>
      </c>
      <c r="G693" s="8">
        <v>83.18</v>
      </c>
      <c r="H693" s="10">
        <v>24.13</v>
      </c>
      <c r="I693" s="21">
        <f>Table1[[#This Row],[BRUTTO_monthly_bill_eur]]/1.19</f>
        <v>69.899159663865561</v>
      </c>
      <c r="J693" s="21">
        <f>Table1[[#This Row],[monthly_consumption_kwh]]*Table1[[#This Row],[NETTO_procurement_cost_ct_per_kwh]]/100</f>
        <v>51.638199999999998</v>
      </c>
      <c r="K693" s="21">
        <f>Table1[[#This Row],[NETTO_monthly_revenue(€)]]-Table1[[#This Row],[procurement_cost_(€)]]</f>
        <v>18.260959663865563</v>
      </c>
      <c r="L693" s="21">
        <f t="shared" si="30"/>
        <v>8.5331587214325051</v>
      </c>
      <c r="M693" s="21" t="str">
        <f t="shared" si="31"/>
        <v>16.03.2024</v>
      </c>
      <c r="N693" s="21">
        <f t="shared" si="32"/>
        <v>69.899159663865561</v>
      </c>
    </row>
    <row r="694" spans="1:14">
      <c r="A694" s="9" t="s">
        <v>1157</v>
      </c>
      <c r="B694" s="8">
        <v>12</v>
      </c>
      <c r="C694" s="8" t="s">
        <v>39</v>
      </c>
      <c r="D694" s="8" t="s">
        <v>36</v>
      </c>
      <c r="E694" s="8" t="s">
        <v>1158</v>
      </c>
      <c r="F694" s="8">
        <v>100</v>
      </c>
      <c r="G694" s="8">
        <v>46.91</v>
      </c>
      <c r="H694" s="10">
        <v>30.71</v>
      </c>
      <c r="I694" s="21">
        <f>Table1[[#This Row],[BRUTTO_monthly_bill_eur]]/1.19</f>
        <v>39.420168067226889</v>
      </c>
      <c r="J694" s="21">
        <f>Table1[[#This Row],[monthly_consumption_kwh]]*Table1[[#This Row],[NETTO_procurement_cost_ct_per_kwh]]/100</f>
        <v>30.71</v>
      </c>
      <c r="K694" s="21">
        <f>Table1[[#This Row],[NETTO_monthly_revenue(€)]]-Table1[[#This Row],[procurement_cost_(€)]]</f>
        <v>8.7101680672268884</v>
      </c>
      <c r="L694" s="21">
        <f t="shared" si="30"/>
        <v>8.7101680672268884</v>
      </c>
      <c r="M694" s="21" t="str">
        <f t="shared" si="31"/>
        <v>24.02.2024</v>
      </c>
      <c r="N694" s="21">
        <f t="shared" si="32"/>
        <v>39.420168067226889</v>
      </c>
    </row>
    <row r="695" spans="1:14">
      <c r="A695" s="9" t="s">
        <v>1159</v>
      </c>
      <c r="B695" s="8">
        <v>12</v>
      </c>
      <c r="C695" s="8" t="s">
        <v>39</v>
      </c>
      <c r="D695" s="8" t="s">
        <v>56</v>
      </c>
      <c r="E695" s="8" t="s">
        <v>1160</v>
      </c>
      <c r="F695" s="8">
        <v>126</v>
      </c>
      <c r="G695" s="8">
        <v>55.29</v>
      </c>
      <c r="H695" s="10">
        <v>31.71</v>
      </c>
      <c r="I695" s="21">
        <f>Table1[[#This Row],[BRUTTO_monthly_bill_eur]]/1.19</f>
        <v>46.462184873949582</v>
      </c>
      <c r="J695" s="21">
        <f>Table1[[#This Row],[monthly_consumption_kwh]]*Table1[[#This Row],[NETTO_procurement_cost_ct_per_kwh]]/100</f>
        <v>39.954599999999999</v>
      </c>
      <c r="K695" s="21">
        <f>Table1[[#This Row],[NETTO_monthly_revenue(€)]]-Table1[[#This Row],[procurement_cost_(€)]]</f>
        <v>6.5075848739495825</v>
      </c>
      <c r="L695" s="21">
        <f t="shared" si="30"/>
        <v>5.1647498999599861</v>
      </c>
      <c r="M695" s="21" t="str">
        <f t="shared" si="31"/>
        <v>04.06.2024</v>
      </c>
      <c r="N695" s="21">
        <f t="shared" si="32"/>
        <v>46.462184873949582</v>
      </c>
    </row>
    <row r="696" spans="1:14">
      <c r="A696" s="9" t="s">
        <v>1161</v>
      </c>
      <c r="B696" s="8">
        <v>12</v>
      </c>
      <c r="C696" s="8" t="s">
        <v>35</v>
      </c>
      <c r="D696" s="8" t="s">
        <v>36</v>
      </c>
      <c r="E696" s="8" t="s">
        <v>598</v>
      </c>
      <c r="F696" s="8">
        <v>168</v>
      </c>
      <c r="G696" s="8">
        <v>67.37</v>
      </c>
      <c r="H696" s="10">
        <v>26.93</v>
      </c>
      <c r="I696" s="21">
        <f>Table1[[#This Row],[BRUTTO_monthly_bill_eur]]/1.19</f>
        <v>56.613445378151269</v>
      </c>
      <c r="J696" s="21">
        <f>Table1[[#This Row],[monthly_consumption_kwh]]*Table1[[#This Row],[NETTO_procurement_cost_ct_per_kwh]]/100</f>
        <v>45.242399999999996</v>
      </c>
      <c r="K696" s="21">
        <f>Table1[[#This Row],[NETTO_monthly_revenue(€)]]-Table1[[#This Row],[procurement_cost_(€)]]</f>
        <v>11.371045378151273</v>
      </c>
      <c r="L696" s="21">
        <f t="shared" si="30"/>
        <v>6.7684793917567099</v>
      </c>
      <c r="M696" s="21" t="str">
        <f t="shared" si="31"/>
        <v>01.06.2024</v>
      </c>
      <c r="N696" s="21">
        <f t="shared" si="32"/>
        <v>56.613445378151269</v>
      </c>
    </row>
    <row r="697" spans="1:14">
      <c r="A697" s="9" t="s">
        <v>1162</v>
      </c>
      <c r="B697" s="8">
        <v>24</v>
      </c>
      <c r="C697" s="8" t="s">
        <v>35</v>
      </c>
      <c r="D697" s="8" t="s">
        <v>46</v>
      </c>
      <c r="E697" s="8" t="s">
        <v>740</v>
      </c>
      <c r="F697" s="8">
        <v>168</v>
      </c>
      <c r="G697" s="8">
        <v>70.48</v>
      </c>
      <c r="H697" s="10">
        <v>25.3</v>
      </c>
      <c r="I697" s="21">
        <f>Table1[[#This Row],[BRUTTO_monthly_bill_eur]]/1.19</f>
        <v>59.226890756302524</v>
      </c>
      <c r="J697" s="21">
        <f>Table1[[#This Row],[monthly_consumption_kwh]]*Table1[[#This Row],[NETTO_procurement_cost_ct_per_kwh]]/100</f>
        <v>42.504000000000005</v>
      </c>
      <c r="K697" s="21">
        <f>Table1[[#This Row],[NETTO_monthly_revenue(€)]]-Table1[[#This Row],[procurement_cost_(€)]]</f>
        <v>16.722890756302519</v>
      </c>
      <c r="L697" s="21">
        <f t="shared" si="30"/>
        <v>9.9541016406562619</v>
      </c>
      <c r="M697" s="21" t="str">
        <f t="shared" si="31"/>
        <v>07.11.2024</v>
      </c>
      <c r="N697" s="21">
        <f t="shared" si="32"/>
        <v>59.226890756302524</v>
      </c>
    </row>
    <row r="698" spans="1:14">
      <c r="A698" s="9" t="s">
        <v>1163</v>
      </c>
      <c r="B698" s="8">
        <v>12</v>
      </c>
      <c r="C698" s="8" t="s">
        <v>35</v>
      </c>
      <c r="D698" s="8" t="s">
        <v>56</v>
      </c>
      <c r="E698" s="8" t="s">
        <v>1164</v>
      </c>
      <c r="F698" s="8">
        <v>203</v>
      </c>
      <c r="G698" s="8">
        <v>80.099999999999994</v>
      </c>
      <c r="H698" s="10">
        <v>22.59</v>
      </c>
      <c r="I698" s="21">
        <f>Table1[[#This Row],[BRUTTO_monthly_bill_eur]]/1.19</f>
        <v>67.310924369747895</v>
      </c>
      <c r="J698" s="21">
        <f>Table1[[#This Row],[monthly_consumption_kwh]]*Table1[[#This Row],[NETTO_procurement_cost_ct_per_kwh]]/100</f>
        <v>45.857699999999994</v>
      </c>
      <c r="K698" s="21">
        <f>Table1[[#This Row],[NETTO_monthly_revenue(€)]]-Table1[[#This Row],[procurement_cost_(€)]]</f>
        <v>21.4532243697479</v>
      </c>
      <c r="L698" s="21">
        <f t="shared" si="30"/>
        <v>10.568090822535911</v>
      </c>
      <c r="M698" s="21" t="str">
        <f t="shared" si="31"/>
        <v>2024-03</v>
      </c>
      <c r="N698" s="21">
        <f t="shared" si="32"/>
        <v>67.310924369747895</v>
      </c>
    </row>
    <row r="699" spans="1:14">
      <c r="A699" s="9" t="s">
        <v>1165</v>
      </c>
      <c r="B699" s="8">
        <v>24</v>
      </c>
      <c r="C699" s="8" t="s">
        <v>35</v>
      </c>
      <c r="D699" s="8" t="s">
        <v>36</v>
      </c>
      <c r="E699" s="8" t="s">
        <v>403</v>
      </c>
      <c r="F699" s="8">
        <v>173</v>
      </c>
      <c r="G699" s="8">
        <v>72.5</v>
      </c>
      <c r="H699" s="10">
        <v>25.33</v>
      </c>
      <c r="I699" s="21">
        <f>Table1[[#This Row],[BRUTTO_monthly_bill_eur]]/1.19</f>
        <v>60.924369747899163</v>
      </c>
      <c r="J699" s="21">
        <f>Table1[[#This Row],[monthly_consumption_kwh]]*Table1[[#This Row],[NETTO_procurement_cost_ct_per_kwh]]/100</f>
        <v>43.820900000000002</v>
      </c>
      <c r="K699" s="21">
        <f>Table1[[#This Row],[NETTO_monthly_revenue(€)]]-Table1[[#This Row],[procurement_cost_(€)]]</f>
        <v>17.103469747899162</v>
      </c>
      <c r="L699" s="21">
        <f t="shared" si="30"/>
        <v>9.8863986982076071</v>
      </c>
      <c r="M699" s="21" t="str">
        <f t="shared" si="31"/>
        <v>11.09.2024</v>
      </c>
      <c r="N699" s="21">
        <f t="shared" si="32"/>
        <v>60.924369747899163</v>
      </c>
    </row>
    <row r="700" spans="1:14">
      <c r="A700" s="9" t="s">
        <v>1166</v>
      </c>
      <c r="B700" s="8">
        <v>12</v>
      </c>
      <c r="C700" s="8" t="s">
        <v>35</v>
      </c>
      <c r="D700" s="8" t="s">
        <v>36</v>
      </c>
      <c r="E700" s="8" t="s">
        <v>1167</v>
      </c>
      <c r="F700" s="8">
        <v>185</v>
      </c>
      <c r="G700" s="8">
        <v>71.47</v>
      </c>
      <c r="H700" s="10">
        <v>24.16</v>
      </c>
      <c r="I700" s="21">
        <f>Table1[[#This Row],[BRUTTO_monthly_bill_eur]]/1.19</f>
        <v>60.058823529411768</v>
      </c>
      <c r="J700" s="21">
        <f>Table1[[#This Row],[monthly_consumption_kwh]]*Table1[[#This Row],[NETTO_procurement_cost_ct_per_kwh]]/100</f>
        <v>44.696000000000005</v>
      </c>
      <c r="K700" s="21">
        <f>Table1[[#This Row],[NETTO_monthly_revenue(€)]]-Table1[[#This Row],[procurement_cost_(€)]]</f>
        <v>15.362823529411763</v>
      </c>
      <c r="L700" s="21">
        <f t="shared" si="30"/>
        <v>8.3042289348171696</v>
      </c>
      <c r="M700" s="21" t="str">
        <f t="shared" si="31"/>
        <v>01.05.2024</v>
      </c>
      <c r="N700" s="21">
        <f t="shared" si="32"/>
        <v>60.058823529411768</v>
      </c>
    </row>
    <row r="701" spans="1:14">
      <c r="A701" s="9" t="s">
        <v>1168</v>
      </c>
      <c r="B701" s="8">
        <v>12</v>
      </c>
      <c r="C701" s="8" t="s">
        <v>51</v>
      </c>
      <c r="D701" s="8" t="s">
        <v>36</v>
      </c>
      <c r="E701" s="8" t="s">
        <v>1169</v>
      </c>
      <c r="F701" s="8">
        <v>446</v>
      </c>
      <c r="G701" s="8">
        <v>158.28</v>
      </c>
      <c r="H701" s="10">
        <v>20.72</v>
      </c>
      <c r="I701" s="21">
        <f>Table1[[#This Row],[BRUTTO_monthly_bill_eur]]/1.19</f>
        <v>133.00840336134453</v>
      </c>
      <c r="J701" s="21">
        <f>Table1[[#This Row],[monthly_consumption_kwh]]*Table1[[#This Row],[NETTO_procurement_cost_ct_per_kwh]]/100</f>
        <v>92.411199999999994</v>
      </c>
      <c r="K701" s="21">
        <f>Table1[[#This Row],[NETTO_monthly_revenue(€)]]-Table1[[#This Row],[procurement_cost_(€)]]</f>
        <v>40.59720336134454</v>
      </c>
      <c r="L701" s="21">
        <f t="shared" si="30"/>
        <v>9.1025119644270269</v>
      </c>
      <c r="M701" s="21" t="str">
        <f t="shared" si="31"/>
        <v>02.03.2025</v>
      </c>
      <c r="N701" s="21">
        <f t="shared" si="32"/>
        <v>133.00840336134453</v>
      </c>
    </row>
    <row r="702" spans="1:14">
      <c r="A702" s="9" t="s">
        <v>1170</v>
      </c>
      <c r="B702" s="8">
        <v>12</v>
      </c>
      <c r="C702" s="8" t="s">
        <v>35</v>
      </c>
      <c r="D702" s="8" t="s">
        <v>36</v>
      </c>
      <c r="E702" s="8" t="s">
        <v>1171</v>
      </c>
      <c r="F702" s="8">
        <v>300</v>
      </c>
      <c r="G702" s="8">
        <v>109.33</v>
      </c>
      <c r="H702" s="10">
        <v>23.73</v>
      </c>
      <c r="I702" s="21">
        <f>Table1[[#This Row],[BRUTTO_monthly_bill_eur]]/1.19</f>
        <v>91.87394957983193</v>
      </c>
      <c r="J702" s="21">
        <f>Table1[[#This Row],[monthly_consumption_kwh]]*Table1[[#This Row],[NETTO_procurement_cost_ct_per_kwh]]/100</f>
        <v>71.19</v>
      </c>
      <c r="K702" s="21">
        <f>Table1[[#This Row],[NETTO_monthly_revenue(€)]]-Table1[[#This Row],[procurement_cost_(€)]]</f>
        <v>20.683949579831932</v>
      </c>
      <c r="L702" s="21">
        <f t="shared" si="30"/>
        <v>6.8946498599439767</v>
      </c>
      <c r="M702" s="21" t="str">
        <f t="shared" si="31"/>
        <v>19.08.2024</v>
      </c>
      <c r="N702" s="21">
        <f t="shared" si="32"/>
        <v>91.87394957983193</v>
      </c>
    </row>
    <row r="703" spans="1:14">
      <c r="A703" s="9" t="s">
        <v>1172</v>
      </c>
      <c r="B703" s="8">
        <v>12</v>
      </c>
      <c r="C703" s="8" t="s">
        <v>35</v>
      </c>
      <c r="D703" s="8" t="s">
        <v>46</v>
      </c>
      <c r="E703" s="8" t="s">
        <v>496</v>
      </c>
      <c r="F703" s="8">
        <v>262</v>
      </c>
      <c r="G703" s="8">
        <v>93.07</v>
      </c>
      <c r="H703" s="10">
        <v>23.52</v>
      </c>
      <c r="I703" s="21">
        <f>Table1[[#This Row],[BRUTTO_monthly_bill_eur]]/1.19</f>
        <v>78.210084033613441</v>
      </c>
      <c r="J703" s="21">
        <f>Table1[[#This Row],[monthly_consumption_kwh]]*Table1[[#This Row],[NETTO_procurement_cost_ct_per_kwh]]/100</f>
        <v>61.622399999999999</v>
      </c>
      <c r="K703" s="21">
        <f>Table1[[#This Row],[NETTO_monthly_revenue(€)]]-Table1[[#This Row],[procurement_cost_(€)]]</f>
        <v>16.587684033613442</v>
      </c>
      <c r="L703" s="21">
        <f t="shared" si="30"/>
        <v>6.3311771120662002</v>
      </c>
      <c r="M703" s="21" t="str">
        <f t="shared" si="31"/>
        <v>19.06.2025</v>
      </c>
      <c r="N703" s="21">
        <f t="shared" si="32"/>
        <v>78.210084033613441</v>
      </c>
    </row>
    <row r="704" spans="1:14">
      <c r="A704" s="9" t="s">
        <v>1173</v>
      </c>
      <c r="B704" s="8">
        <v>12</v>
      </c>
      <c r="C704" s="8" t="s">
        <v>39</v>
      </c>
      <c r="D704" s="8" t="s">
        <v>56</v>
      </c>
      <c r="E704" s="8" t="s">
        <v>100</v>
      </c>
      <c r="F704" s="8">
        <v>126</v>
      </c>
      <c r="G704" s="8">
        <v>55.63</v>
      </c>
      <c r="H704" s="10">
        <v>31.66</v>
      </c>
      <c r="I704" s="21">
        <f>Table1[[#This Row],[BRUTTO_monthly_bill_eur]]/1.19</f>
        <v>46.747899159663866</v>
      </c>
      <c r="J704" s="21">
        <f>Table1[[#This Row],[monthly_consumption_kwh]]*Table1[[#This Row],[NETTO_procurement_cost_ct_per_kwh]]/100</f>
        <v>39.891599999999997</v>
      </c>
      <c r="K704" s="21">
        <f>Table1[[#This Row],[NETTO_monthly_revenue(€)]]-Table1[[#This Row],[procurement_cost_(€)]]</f>
        <v>6.8562991596638696</v>
      </c>
      <c r="L704" s="21">
        <f t="shared" si="30"/>
        <v>5.4415072695745001</v>
      </c>
      <c r="M704" s="21" t="str">
        <f t="shared" si="31"/>
        <v>24.01.2025</v>
      </c>
      <c r="N704" s="21">
        <f t="shared" si="32"/>
        <v>46.747899159663866</v>
      </c>
    </row>
    <row r="705" spans="1:14">
      <c r="A705" s="9" t="s">
        <v>1174</v>
      </c>
      <c r="B705" s="8">
        <v>12</v>
      </c>
      <c r="C705" s="8" t="s">
        <v>39</v>
      </c>
      <c r="D705" s="8" t="s">
        <v>36</v>
      </c>
      <c r="E705" s="8" t="s">
        <v>1028</v>
      </c>
      <c r="F705" s="8">
        <v>108</v>
      </c>
      <c r="G705" s="8">
        <v>50.04</v>
      </c>
      <c r="H705" s="10">
        <v>29</v>
      </c>
      <c r="I705" s="21">
        <f>Table1[[#This Row],[BRUTTO_monthly_bill_eur]]/1.19</f>
        <v>42.050420168067227</v>
      </c>
      <c r="J705" s="21">
        <f>Table1[[#This Row],[monthly_consumption_kwh]]*Table1[[#This Row],[NETTO_procurement_cost_ct_per_kwh]]/100</f>
        <v>31.32</v>
      </c>
      <c r="K705" s="21">
        <f>Table1[[#This Row],[NETTO_monthly_revenue(€)]]-Table1[[#This Row],[procurement_cost_(€)]]</f>
        <v>10.730420168067226</v>
      </c>
      <c r="L705" s="21">
        <f t="shared" si="30"/>
        <v>9.935574229691877</v>
      </c>
      <c r="M705" s="21" t="str">
        <f t="shared" si="31"/>
        <v>06.04.2025</v>
      </c>
      <c r="N705" s="21">
        <f t="shared" si="32"/>
        <v>42.050420168067227</v>
      </c>
    </row>
    <row r="706" spans="1:14">
      <c r="A706" s="9" t="s">
        <v>1175</v>
      </c>
      <c r="B706" s="8">
        <v>12</v>
      </c>
      <c r="C706" s="8" t="s">
        <v>35</v>
      </c>
      <c r="D706" s="8" t="s">
        <v>36</v>
      </c>
      <c r="E706" s="8" t="s">
        <v>420</v>
      </c>
      <c r="F706" s="8">
        <v>322</v>
      </c>
      <c r="G706" s="8">
        <v>117.23</v>
      </c>
      <c r="H706" s="10">
        <v>25.38</v>
      </c>
      <c r="I706" s="21">
        <f>Table1[[#This Row],[BRUTTO_monthly_bill_eur]]/1.19</f>
        <v>98.512605042016816</v>
      </c>
      <c r="J706" s="21">
        <f>Table1[[#This Row],[monthly_consumption_kwh]]*Table1[[#This Row],[NETTO_procurement_cost_ct_per_kwh]]/100</f>
        <v>81.72359999999999</v>
      </c>
      <c r="K706" s="21">
        <f>Table1[[#This Row],[NETTO_monthly_revenue(€)]]-Table1[[#This Row],[procurement_cost_(€)]]</f>
        <v>16.789005042016825</v>
      </c>
      <c r="L706" s="21">
        <f t="shared" ref="L706:L769" si="33">IF(F706=0,"",K706/F706*100)</f>
        <v>5.2139767211232373</v>
      </c>
      <c r="M706" s="21" t="str">
        <f t="shared" ref="M706:M769" si="34">TEXT(E706,"yyyy-mm")</f>
        <v>29.03.2025</v>
      </c>
      <c r="N706" s="21">
        <f t="shared" ref="N706:N769" si="35">G706/1.19</f>
        <v>98.512605042016816</v>
      </c>
    </row>
    <row r="707" spans="1:14">
      <c r="A707" s="9" t="s">
        <v>1176</v>
      </c>
      <c r="B707" s="8">
        <v>24</v>
      </c>
      <c r="C707" s="8" t="s">
        <v>35</v>
      </c>
      <c r="D707" s="8" t="s">
        <v>36</v>
      </c>
      <c r="E707" s="8" t="s">
        <v>1177</v>
      </c>
      <c r="F707" s="8">
        <v>233</v>
      </c>
      <c r="G707" s="8">
        <v>88.74</v>
      </c>
      <c r="H707" s="10">
        <v>23.94</v>
      </c>
      <c r="I707" s="21">
        <f>Table1[[#This Row],[BRUTTO_monthly_bill_eur]]/1.19</f>
        <v>74.571428571428569</v>
      </c>
      <c r="J707" s="21">
        <f>Table1[[#This Row],[monthly_consumption_kwh]]*Table1[[#This Row],[NETTO_procurement_cost_ct_per_kwh]]/100</f>
        <v>55.780200000000008</v>
      </c>
      <c r="K707" s="21">
        <f>Table1[[#This Row],[NETTO_monthly_revenue(€)]]-Table1[[#This Row],[procurement_cost_(€)]]</f>
        <v>18.791228571428562</v>
      </c>
      <c r="L707" s="21">
        <f t="shared" si="33"/>
        <v>8.0649049662783518</v>
      </c>
      <c r="M707" s="21" t="str">
        <f t="shared" si="34"/>
        <v>31.10.2024</v>
      </c>
      <c r="N707" s="21">
        <f t="shared" si="35"/>
        <v>74.571428571428569</v>
      </c>
    </row>
    <row r="708" spans="1:14">
      <c r="A708" s="9" t="s">
        <v>1178</v>
      </c>
      <c r="B708" s="8">
        <v>12</v>
      </c>
      <c r="C708" s="8" t="s">
        <v>35</v>
      </c>
      <c r="D708" s="8" t="s">
        <v>46</v>
      </c>
      <c r="E708" s="8" t="s">
        <v>1179</v>
      </c>
      <c r="F708" s="8">
        <v>182</v>
      </c>
      <c r="G708" s="8">
        <v>74.260000000000005</v>
      </c>
      <c r="H708" s="10">
        <v>24.06</v>
      </c>
      <c r="I708" s="21">
        <f>Table1[[#This Row],[BRUTTO_monthly_bill_eur]]/1.19</f>
        <v>62.403361344537821</v>
      </c>
      <c r="J708" s="21">
        <f>Table1[[#This Row],[monthly_consumption_kwh]]*Table1[[#This Row],[NETTO_procurement_cost_ct_per_kwh]]/100</f>
        <v>43.789200000000001</v>
      </c>
      <c r="K708" s="21">
        <f>Table1[[#This Row],[NETTO_monthly_revenue(€)]]-Table1[[#This Row],[procurement_cost_(€)]]</f>
        <v>18.61416134453782</v>
      </c>
      <c r="L708" s="21">
        <f t="shared" si="33"/>
        <v>10.227561178317483</v>
      </c>
      <c r="M708" s="21" t="str">
        <f t="shared" si="34"/>
        <v>2025-03</v>
      </c>
      <c r="N708" s="21">
        <f t="shared" si="35"/>
        <v>62.403361344537821</v>
      </c>
    </row>
    <row r="709" spans="1:14">
      <c r="A709" s="9" t="s">
        <v>1180</v>
      </c>
      <c r="B709" s="8">
        <v>24</v>
      </c>
      <c r="C709" s="8" t="s">
        <v>35</v>
      </c>
      <c r="D709" s="8" t="s">
        <v>36</v>
      </c>
      <c r="E709" s="8" t="s">
        <v>656</v>
      </c>
      <c r="F709" s="8">
        <v>269</v>
      </c>
      <c r="G709" s="8">
        <v>99.5</v>
      </c>
      <c r="H709" s="10">
        <v>23.23</v>
      </c>
      <c r="I709" s="21">
        <f>Table1[[#This Row],[BRUTTO_monthly_bill_eur]]/1.19</f>
        <v>83.613445378151269</v>
      </c>
      <c r="J709" s="21">
        <f>Table1[[#This Row],[monthly_consumption_kwh]]*Table1[[#This Row],[NETTO_procurement_cost_ct_per_kwh]]/100</f>
        <v>62.488700000000001</v>
      </c>
      <c r="K709" s="21">
        <f>Table1[[#This Row],[NETTO_monthly_revenue(€)]]-Table1[[#This Row],[procurement_cost_(€)]]</f>
        <v>21.124745378151268</v>
      </c>
      <c r="L709" s="21">
        <f t="shared" si="33"/>
        <v>7.8530651963387612</v>
      </c>
      <c r="M709" s="21" t="str">
        <f t="shared" si="34"/>
        <v>08.11.2024</v>
      </c>
      <c r="N709" s="21">
        <f t="shared" si="35"/>
        <v>83.613445378151269</v>
      </c>
    </row>
    <row r="710" spans="1:14">
      <c r="A710" s="9" t="s">
        <v>1181</v>
      </c>
      <c r="B710" s="8">
        <v>12</v>
      </c>
      <c r="C710" s="8" t="s">
        <v>35</v>
      </c>
      <c r="D710" s="8" t="s">
        <v>46</v>
      </c>
      <c r="E710" s="8" t="s">
        <v>1182</v>
      </c>
      <c r="F710" s="8">
        <v>186</v>
      </c>
      <c r="G710" s="8">
        <v>74.81</v>
      </c>
      <c r="H710" s="10">
        <v>24.29</v>
      </c>
      <c r="I710" s="21">
        <f>Table1[[#This Row],[BRUTTO_monthly_bill_eur]]/1.19</f>
        <v>62.865546218487403</v>
      </c>
      <c r="J710" s="21">
        <f>Table1[[#This Row],[monthly_consumption_kwh]]*Table1[[#This Row],[NETTO_procurement_cost_ct_per_kwh]]/100</f>
        <v>45.179399999999994</v>
      </c>
      <c r="K710" s="21">
        <f>Table1[[#This Row],[NETTO_monthly_revenue(€)]]-Table1[[#This Row],[procurement_cost_(€)]]</f>
        <v>17.686146218487409</v>
      </c>
      <c r="L710" s="21">
        <f t="shared" si="33"/>
        <v>9.5086807626276393</v>
      </c>
      <c r="M710" s="21" t="str">
        <f t="shared" si="34"/>
        <v>02.03.2024</v>
      </c>
      <c r="N710" s="21">
        <f t="shared" si="35"/>
        <v>62.865546218487403</v>
      </c>
    </row>
    <row r="711" spans="1:14">
      <c r="A711" s="9" t="s">
        <v>1183</v>
      </c>
      <c r="B711" s="8">
        <v>24</v>
      </c>
      <c r="C711" s="8" t="s">
        <v>51</v>
      </c>
      <c r="D711" s="8" t="s">
        <v>46</v>
      </c>
      <c r="E711" s="8" t="s">
        <v>1184</v>
      </c>
      <c r="F711" s="8">
        <v>448</v>
      </c>
      <c r="G711" s="8">
        <v>155.51</v>
      </c>
      <c r="H711" s="10">
        <v>18.13</v>
      </c>
      <c r="I711" s="21">
        <f>Table1[[#This Row],[BRUTTO_monthly_bill_eur]]/1.19</f>
        <v>130.68067226890756</v>
      </c>
      <c r="J711" s="21">
        <f>Table1[[#This Row],[monthly_consumption_kwh]]*Table1[[#This Row],[NETTO_procurement_cost_ct_per_kwh]]/100</f>
        <v>81.222399999999993</v>
      </c>
      <c r="K711" s="21">
        <f>Table1[[#This Row],[NETTO_monthly_revenue(€)]]-Table1[[#This Row],[procurement_cost_(€)]]</f>
        <v>49.458272268907564</v>
      </c>
      <c r="L711" s="21">
        <f t="shared" si="33"/>
        <v>11.039792917166867</v>
      </c>
      <c r="M711" s="21" t="str">
        <f t="shared" si="34"/>
        <v>11.04.2024</v>
      </c>
      <c r="N711" s="21">
        <f t="shared" si="35"/>
        <v>130.68067226890756</v>
      </c>
    </row>
    <row r="712" spans="1:14">
      <c r="A712" s="9" t="s">
        <v>1185</v>
      </c>
      <c r="B712" s="8">
        <v>24</v>
      </c>
      <c r="C712" s="8" t="s">
        <v>51</v>
      </c>
      <c r="D712" s="8" t="s">
        <v>46</v>
      </c>
      <c r="E712" s="8" t="s">
        <v>1186</v>
      </c>
      <c r="F712" s="8">
        <v>502</v>
      </c>
      <c r="G712" s="8">
        <v>167.18</v>
      </c>
      <c r="H712" s="10">
        <v>16.7</v>
      </c>
      <c r="I712" s="21">
        <f>Table1[[#This Row],[BRUTTO_monthly_bill_eur]]/1.19</f>
        <v>140.48739495798321</v>
      </c>
      <c r="J712" s="21">
        <f>Table1[[#This Row],[monthly_consumption_kwh]]*Table1[[#This Row],[NETTO_procurement_cost_ct_per_kwh]]/100</f>
        <v>83.834000000000003</v>
      </c>
      <c r="K712" s="21">
        <f>Table1[[#This Row],[NETTO_monthly_revenue(€)]]-Table1[[#This Row],[procurement_cost_(€)]]</f>
        <v>56.65339495798321</v>
      </c>
      <c r="L712" s="21">
        <f t="shared" si="33"/>
        <v>11.285536844219763</v>
      </c>
      <c r="M712" s="21" t="str">
        <f t="shared" si="34"/>
        <v>31.07.2024</v>
      </c>
      <c r="N712" s="21">
        <f t="shared" si="35"/>
        <v>140.48739495798321</v>
      </c>
    </row>
    <row r="713" spans="1:14">
      <c r="A713" s="9" t="s">
        <v>1187</v>
      </c>
      <c r="B713" s="8">
        <v>24</v>
      </c>
      <c r="C713" s="8" t="s">
        <v>35</v>
      </c>
      <c r="D713" s="8" t="s">
        <v>36</v>
      </c>
      <c r="E713" s="8" t="s">
        <v>185</v>
      </c>
      <c r="F713" s="8">
        <v>312</v>
      </c>
      <c r="G713" s="8">
        <v>119.3</v>
      </c>
      <c r="H713" s="10">
        <v>23.09</v>
      </c>
      <c r="I713" s="21">
        <f>Table1[[#This Row],[BRUTTO_monthly_bill_eur]]/1.19</f>
        <v>100.25210084033614</v>
      </c>
      <c r="J713" s="21">
        <f>Table1[[#This Row],[monthly_consumption_kwh]]*Table1[[#This Row],[NETTO_procurement_cost_ct_per_kwh]]/100</f>
        <v>72.040800000000004</v>
      </c>
      <c r="K713" s="21">
        <f>Table1[[#This Row],[NETTO_monthly_revenue(€)]]-Table1[[#This Row],[procurement_cost_(€)]]</f>
        <v>28.211300840336136</v>
      </c>
      <c r="L713" s="21">
        <f t="shared" si="33"/>
        <v>9.0420836026718376</v>
      </c>
      <c r="M713" s="21" t="str">
        <f t="shared" si="34"/>
        <v>04.08.2024</v>
      </c>
      <c r="N713" s="21">
        <f t="shared" si="35"/>
        <v>100.25210084033614</v>
      </c>
    </row>
    <row r="714" spans="1:14">
      <c r="A714" s="9" t="s">
        <v>1188</v>
      </c>
      <c r="B714" s="8">
        <v>12</v>
      </c>
      <c r="C714" s="8" t="s">
        <v>51</v>
      </c>
      <c r="D714" s="8" t="s">
        <v>46</v>
      </c>
      <c r="E714" s="8" t="s">
        <v>1189</v>
      </c>
      <c r="F714" s="8">
        <v>498</v>
      </c>
      <c r="G714" s="8">
        <v>163.34</v>
      </c>
      <c r="H714" s="10">
        <v>16.53</v>
      </c>
      <c r="I714" s="21">
        <f>Table1[[#This Row],[BRUTTO_monthly_bill_eur]]/1.19</f>
        <v>137.26050420168067</v>
      </c>
      <c r="J714" s="21">
        <f>Table1[[#This Row],[monthly_consumption_kwh]]*Table1[[#This Row],[NETTO_procurement_cost_ct_per_kwh]]/100</f>
        <v>82.319400000000002</v>
      </c>
      <c r="K714" s="21">
        <f>Table1[[#This Row],[NETTO_monthly_revenue(€)]]-Table1[[#This Row],[procurement_cost_(€)]]</f>
        <v>54.941104201680673</v>
      </c>
      <c r="L714" s="21">
        <f t="shared" si="33"/>
        <v>11.032350241301341</v>
      </c>
      <c r="M714" s="21" t="str">
        <f t="shared" si="34"/>
        <v>2024-09</v>
      </c>
      <c r="N714" s="21">
        <f t="shared" si="35"/>
        <v>137.26050420168067</v>
      </c>
    </row>
    <row r="715" spans="1:14">
      <c r="A715" s="9" t="s">
        <v>1190</v>
      </c>
      <c r="B715" s="8">
        <v>12</v>
      </c>
      <c r="C715" s="8" t="s">
        <v>39</v>
      </c>
      <c r="D715" s="8" t="s">
        <v>36</v>
      </c>
      <c r="E715" s="8" t="s">
        <v>493</v>
      </c>
      <c r="F715" s="8">
        <v>142</v>
      </c>
      <c r="G715" s="8">
        <v>64.02</v>
      </c>
      <c r="H715" s="10">
        <v>31.91</v>
      </c>
      <c r="I715" s="21">
        <f>Table1[[#This Row],[BRUTTO_monthly_bill_eur]]/1.19</f>
        <v>53.798319327731093</v>
      </c>
      <c r="J715" s="21">
        <f>Table1[[#This Row],[monthly_consumption_kwh]]*Table1[[#This Row],[NETTO_procurement_cost_ct_per_kwh]]/100</f>
        <v>45.312200000000004</v>
      </c>
      <c r="K715" s="21">
        <f>Table1[[#This Row],[NETTO_monthly_revenue(€)]]-Table1[[#This Row],[procurement_cost_(€)]]</f>
        <v>8.4861193277310889</v>
      </c>
      <c r="L715" s="21">
        <f t="shared" si="33"/>
        <v>5.9761403716416117</v>
      </c>
      <c r="M715" s="21" t="str">
        <f t="shared" si="34"/>
        <v>24.03.2024</v>
      </c>
      <c r="N715" s="21">
        <f t="shared" si="35"/>
        <v>53.798319327731093</v>
      </c>
    </row>
    <row r="716" spans="1:14">
      <c r="A716" s="9" t="s">
        <v>1191</v>
      </c>
      <c r="B716" s="8">
        <v>12</v>
      </c>
      <c r="C716" s="8" t="s">
        <v>39</v>
      </c>
      <c r="D716" s="8" t="s">
        <v>36</v>
      </c>
      <c r="E716" s="8" t="s">
        <v>1192</v>
      </c>
      <c r="F716" s="8">
        <v>166</v>
      </c>
      <c r="G716" s="8">
        <v>68.510000000000005</v>
      </c>
      <c r="H716" s="10">
        <v>33.86</v>
      </c>
      <c r="I716" s="21">
        <f>Table1[[#This Row],[BRUTTO_monthly_bill_eur]]/1.19</f>
        <v>57.571428571428577</v>
      </c>
      <c r="J716" s="21">
        <f>Table1[[#This Row],[monthly_consumption_kwh]]*Table1[[#This Row],[NETTO_procurement_cost_ct_per_kwh]]/100</f>
        <v>56.207599999999999</v>
      </c>
      <c r="K716" s="21">
        <f>Table1[[#This Row],[NETTO_monthly_revenue(€)]]-Table1[[#This Row],[procurement_cost_(€)]]</f>
        <v>1.3638285714285772</v>
      </c>
      <c r="L716" s="21">
        <f t="shared" si="33"/>
        <v>0.82158347676420318</v>
      </c>
      <c r="M716" s="21" t="str">
        <f t="shared" si="34"/>
        <v>09.06.2024</v>
      </c>
      <c r="N716" s="21">
        <f t="shared" si="35"/>
        <v>57.571428571428577</v>
      </c>
    </row>
    <row r="717" spans="1:14">
      <c r="A717" s="9" t="s">
        <v>1193</v>
      </c>
      <c r="B717" s="8">
        <v>24</v>
      </c>
      <c r="C717" s="8" t="s">
        <v>39</v>
      </c>
      <c r="D717" s="8" t="s">
        <v>56</v>
      </c>
      <c r="E717" s="8" t="s">
        <v>290</v>
      </c>
      <c r="F717" s="8">
        <v>94</v>
      </c>
      <c r="G717" s="8">
        <v>45.6</v>
      </c>
      <c r="H717" s="10">
        <v>29.58</v>
      </c>
      <c r="I717" s="21">
        <f>Table1[[#This Row],[BRUTTO_monthly_bill_eur]]/1.19</f>
        <v>38.319327731092443</v>
      </c>
      <c r="J717" s="21">
        <f>Table1[[#This Row],[monthly_consumption_kwh]]*Table1[[#This Row],[NETTO_procurement_cost_ct_per_kwh]]/100</f>
        <v>27.805199999999999</v>
      </c>
      <c r="K717" s="21">
        <f>Table1[[#This Row],[NETTO_monthly_revenue(€)]]-Table1[[#This Row],[procurement_cost_(€)]]</f>
        <v>10.514127731092444</v>
      </c>
      <c r="L717" s="21">
        <f t="shared" si="33"/>
        <v>11.185242267119619</v>
      </c>
      <c r="M717" s="21" t="str">
        <f t="shared" si="34"/>
        <v>02.09.2024</v>
      </c>
      <c r="N717" s="21">
        <f t="shared" si="35"/>
        <v>38.319327731092443</v>
      </c>
    </row>
    <row r="718" spans="1:14">
      <c r="A718" s="9" t="s">
        <v>1194</v>
      </c>
      <c r="B718" s="8">
        <v>24</v>
      </c>
      <c r="C718" s="8" t="s">
        <v>35</v>
      </c>
      <c r="D718" s="8" t="s">
        <v>46</v>
      </c>
      <c r="E718" s="8" t="s">
        <v>1195</v>
      </c>
      <c r="F718" s="8">
        <v>213</v>
      </c>
      <c r="G718" s="8">
        <v>86.2</v>
      </c>
      <c r="H718" s="10">
        <v>26.91</v>
      </c>
      <c r="I718" s="21">
        <f>Table1[[#This Row],[BRUTTO_monthly_bill_eur]]/1.19</f>
        <v>72.436974789915979</v>
      </c>
      <c r="J718" s="21">
        <f>Table1[[#This Row],[monthly_consumption_kwh]]*Table1[[#This Row],[NETTO_procurement_cost_ct_per_kwh]]/100</f>
        <v>57.318300000000001</v>
      </c>
      <c r="K718" s="21">
        <f>Table1[[#This Row],[NETTO_monthly_revenue(€)]]-Table1[[#This Row],[procurement_cost_(€)]]</f>
        <v>15.118674789915978</v>
      </c>
      <c r="L718" s="21">
        <f t="shared" si="33"/>
        <v>7.0979693849370795</v>
      </c>
      <c r="M718" s="21" t="str">
        <f t="shared" si="34"/>
        <v>26.06.2024</v>
      </c>
      <c r="N718" s="21">
        <f t="shared" si="35"/>
        <v>72.436974789915979</v>
      </c>
    </row>
    <row r="719" spans="1:14">
      <c r="A719" s="9" t="s">
        <v>1196</v>
      </c>
      <c r="B719" s="8">
        <v>24</v>
      </c>
      <c r="C719" s="8" t="s">
        <v>51</v>
      </c>
      <c r="D719" s="8" t="s">
        <v>36</v>
      </c>
      <c r="E719" s="8" t="s">
        <v>1197</v>
      </c>
      <c r="F719" s="8">
        <v>465</v>
      </c>
      <c r="G719" s="8">
        <v>167.99</v>
      </c>
      <c r="H719" s="10">
        <v>18.23</v>
      </c>
      <c r="I719" s="21">
        <f>Table1[[#This Row],[BRUTTO_monthly_bill_eur]]/1.19</f>
        <v>141.16806722689077</v>
      </c>
      <c r="J719" s="21">
        <f>Table1[[#This Row],[monthly_consumption_kwh]]*Table1[[#This Row],[NETTO_procurement_cost_ct_per_kwh]]/100</f>
        <v>84.769500000000008</v>
      </c>
      <c r="K719" s="21">
        <f>Table1[[#This Row],[NETTO_monthly_revenue(€)]]-Table1[[#This Row],[procurement_cost_(€)]]</f>
        <v>56.398567226890762</v>
      </c>
      <c r="L719" s="21">
        <f t="shared" si="33"/>
        <v>12.128724134815219</v>
      </c>
      <c r="M719" s="21" t="str">
        <f t="shared" si="34"/>
        <v>17.03.2024</v>
      </c>
      <c r="N719" s="21">
        <f t="shared" si="35"/>
        <v>141.16806722689077</v>
      </c>
    </row>
    <row r="720" spans="1:14">
      <c r="A720" s="9" t="s">
        <v>1198</v>
      </c>
      <c r="B720" s="8">
        <v>12</v>
      </c>
      <c r="C720" s="8" t="s">
        <v>39</v>
      </c>
      <c r="D720" s="8" t="s">
        <v>36</v>
      </c>
      <c r="E720" s="8" t="s">
        <v>1192</v>
      </c>
      <c r="F720" s="8">
        <v>118</v>
      </c>
      <c r="G720" s="8">
        <v>51.36</v>
      </c>
      <c r="H720" s="10">
        <v>32.68</v>
      </c>
      <c r="I720" s="21">
        <f>Table1[[#This Row],[BRUTTO_monthly_bill_eur]]/1.19</f>
        <v>43.159663865546221</v>
      </c>
      <c r="J720" s="21">
        <f>Table1[[#This Row],[monthly_consumption_kwh]]*Table1[[#This Row],[NETTO_procurement_cost_ct_per_kwh]]/100</f>
        <v>38.562399999999997</v>
      </c>
      <c r="K720" s="21">
        <f>Table1[[#This Row],[NETTO_monthly_revenue(€)]]-Table1[[#This Row],[procurement_cost_(€)]]</f>
        <v>4.5972638655462248</v>
      </c>
      <c r="L720" s="21">
        <f t="shared" si="33"/>
        <v>3.8959863267340888</v>
      </c>
      <c r="M720" s="21" t="str">
        <f t="shared" si="34"/>
        <v>09.06.2024</v>
      </c>
      <c r="N720" s="21">
        <f t="shared" si="35"/>
        <v>43.159663865546221</v>
      </c>
    </row>
    <row r="721" spans="1:14">
      <c r="A721" s="9" t="s">
        <v>1199</v>
      </c>
      <c r="B721" s="8">
        <v>24</v>
      </c>
      <c r="C721" s="8" t="s">
        <v>51</v>
      </c>
      <c r="D721" s="8" t="s">
        <v>36</v>
      </c>
      <c r="E721" s="8" t="s">
        <v>443</v>
      </c>
      <c r="F721" s="8">
        <v>470</v>
      </c>
      <c r="G721" s="8">
        <v>167.95</v>
      </c>
      <c r="H721" s="10">
        <v>20.53</v>
      </c>
      <c r="I721" s="21">
        <f>Table1[[#This Row],[BRUTTO_monthly_bill_eur]]/1.19</f>
        <v>141.1344537815126</v>
      </c>
      <c r="J721" s="21">
        <f>Table1[[#This Row],[monthly_consumption_kwh]]*Table1[[#This Row],[NETTO_procurement_cost_ct_per_kwh]]/100</f>
        <v>96.491</v>
      </c>
      <c r="K721" s="21">
        <f>Table1[[#This Row],[NETTO_monthly_revenue(€)]]-Table1[[#This Row],[procurement_cost_(€)]]</f>
        <v>44.643453781512605</v>
      </c>
      <c r="L721" s="21">
        <f t="shared" si="33"/>
        <v>9.4986071875558729</v>
      </c>
      <c r="M721" s="21" t="str">
        <f t="shared" si="34"/>
        <v>03.01.2024</v>
      </c>
      <c r="N721" s="21">
        <f t="shared" si="35"/>
        <v>141.1344537815126</v>
      </c>
    </row>
    <row r="722" spans="1:14">
      <c r="A722" s="9" t="s">
        <v>1200</v>
      </c>
      <c r="B722" s="8">
        <v>24</v>
      </c>
      <c r="C722" s="8" t="s">
        <v>39</v>
      </c>
      <c r="D722" s="8" t="s">
        <v>36</v>
      </c>
      <c r="E722" s="8" t="s">
        <v>1201</v>
      </c>
      <c r="F722" s="8">
        <v>159</v>
      </c>
      <c r="G722" s="8">
        <v>68.510000000000005</v>
      </c>
      <c r="H722" s="10">
        <v>31.79</v>
      </c>
      <c r="I722" s="21">
        <f>Table1[[#This Row],[BRUTTO_monthly_bill_eur]]/1.19</f>
        <v>57.571428571428577</v>
      </c>
      <c r="J722" s="21">
        <f>Table1[[#This Row],[monthly_consumption_kwh]]*Table1[[#This Row],[NETTO_procurement_cost_ct_per_kwh]]/100</f>
        <v>50.546099999999996</v>
      </c>
      <c r="K722" s="21">
        <f>Table1[[#This Row],[NETTO_monthly_revenue(€)]]-Table1[[#This Row],[procurement_cost_(€)]]</f>
        <v>7.0253285714285809</v>
      </c>
      <c r="L722" s="21">
        <f t="shared" si="33"/>
        <v>4.4184456424079119</v>
      </c>
      <c r="M722" s="21" t="str">
        <f t="shared" si="34"/>
        <v>22.02.2025</v>
      </c>
      <c r="N722" s="21">
        <f t="shared" si="35"/>
        <v>57.571428571428577</v>
      </c>
    </row>
    <row r="723" spans="1:14">
      <c r="A723" s="9" t="s">
        <v>1202</v>
      </c>
      <c r="B723" s="8">
        <v>12</v>
      </c>
      <c r="C723" s="8" t="s">
        <v>51</v>
      </c>
      <c r="D723" s="8" t="s">
        <v>36</v>
      </c>
      <c r="E723" s="8" t="s">
        <v>1028</v>
      </c>
      <c r="F723" s="8">
        <v>572</v>
      </c>
      <c r="G723" s="8">
        <v>179.98</v>
      </c>
      <c r="H723" s="10">
        <v>18.5</v>
      </c>
      <c r="I723" s="21">
        <f>Table1[[#This Row],[BRUTTO_monthly_bill_eur]]/1.19</f>
        <v>151.24369747899161</v>
      </c>
      <c r="J723" s="21">
        <f>Table1[[#This Row],[monthly_consumption_kwh]]*Table1[[#This Row],[NETTO_procurement_cost_ct_per_kwh]]/100</f>
        <v>105.82</v>
      </c>
      <c r="K723" s="21">
        <f>Table1[[#This Row],[NETTO_monthly_revenue(€)]]-Table1[[#This Row],[procurement_cost_(€)]]</f>
        <v>45.423697478991613</v>
      </c>
      <c r="L723" s="21">
        <f t="shared" si="33"/>
        <v>7.9412058529705618</v>
      </c>
      <c r="M723" s="21" t="str">
        <f t="shared" si="34"/>
        <v>06.04.2025</v>
      </c>
      <c r="N723" s="21">
        <f t="shared" si="35"/>
        <v>151.24369747899161</v>
      </c>
    </row>
    <row r="724" spans="1:14">
      <c r="A724" s="9" t="s">
        <v>1203</v>
      </c>
      <c r="B724" s="8">
        <v>12</v>
      </c>
      <c r="C724" s="8" t="s">
        <v>35</v>
      </c>
      <c r="D724" s="8" t="s">
        <v>36</v>
      </c>
      <c r="E724" s="8" t="s">
        <v>646</v>
      </c>
      <c r="F724" s="8">
        <v>268</v>
      </c>
      <c r="G724" s="8">
        <v>99.03</v>
      </c>
      <c r="H724" s="10">
        <v>25.13</v>
      </c>
      <c r="I724" s="21">
        <f>Table1[[#This Row],[BRUTTO_monthly_bill_eur]]/1.19</f>
        <v>83.21848739495799</v>
      </c>
      <c r="J724" s="21">
        <f>Table1[[#This Row],[monthly_consumption_kwh]]*Table1[[#This Row],[NETTO_procurement_cost_ct_per_kwh]]/100</f>
        <v>67.348399999999998</v>
      </c>
      <c r="K724" s="21">
        <f>Table1[[#This Row],[NETTO_monthly_revenue(€)]]-Table1[[#This Row],[procurement_cost_(€)]]</f>
        <v>15.870087394957991</v>
      </c>
      <c r="L724" s="21">
        <f t="shared" si="33"/>
        <v>5.9216744011037283</v>
      </c>
      <c r="M724" s="21" t="str">
        <f t="shared" si="34"/>
        <v>26.04.2025</v>
      </c>
      <c r="N724" s="21">
        <f t="shared" si="35"/>
        <v>83.21848739495799</v>
      </c>
    </row>
    <row r="725" spans="1:14">
      <c r="A725" s="9" t="s">
        <v>1204</v>
      </c>
      <c r="B725" s="8">
        <v>24</v>
      </c>
      <c r="C725" s="8" t="s">
        <v>39</v>
      </c>
      <c r="D725" s="8" t="s">
        <v>36</v>
      </c>
      <c r="E725" s="8" t="s">
        <v>1205</v>
      </c>
      <c r="F725" s="8">
        <v>109</v>
      </c>
      <c r="G725" s="8">
        <v>49.65</v>
      </c>
      <c r="H725" s="10">
        <v>29.06</v>
      </c>
      <c r="I725" s="21">
        <f>Table1[[#This Row],[BRUTTO_monthly_bill_eur]]/1.19</f>
        <v>41.72268907563025</v>
      </c>
      <c r="J725" s="21">
        <f>Table1[[#This Row],[monthly_consumption_kwh]]*Table1[[#This Row],[NETTO_procurement_cost_ct_per_kwh]]/100</f>
        <v>31.6754</v>
      </c>
      <c r="K725" s="21">
        <f>Table1[[#This Row],[NETTO_monthly_revenue(€)]]-Table1[[#This Row],[procurement_cost_(€)]]</f>
        <v>10.04728907563025</v>
      </c>
      <c r="L725" s="21">
        <f t="shared" si="33"/>
        <v>9.2176963996607792</v>
      </c>
      <c r="M725" s="21" t="str">
        <f t="shared" si="34"/>
        <v>25.10.2024</v>
      </c>
      <c r="N725" s="21">
        <f t="shared" si="35"/>
        <v>41.72268907563025</v>
      </c>
    </row>
    <row r="726" spans="1:14">
      <c r="A726" s="9" t="s">
        <v>1206</v>
      </c>
      <c r="B726" s="8">
        <v>24</v>
      </c>
      <c r="C726" s="8" t="s">
        <v>35</v>
      </c>
      <c r="D726" s="8" t="s">
        <v>46</v>
      </c>
      <c r="E726" s="8" t="s">
        <v>1207</v>
      </c>
      <c r="F726" s="8">
        <v>304</v>
      </c>
      <c r="G726" s="8">
        <v>111.99</v>
      </c>
      <c r="H726" s="10">
        <v>25.96</v>
      </c>
      <c r="I726" s="21">
        <f>Table1[[#This Row],[BRUTTO_monthly_bill_eur]]/1.19</f>
        <v>94.109243697478988</v>
      </c>
      <c r="J726" s="21">
        <f>Table1[[#This Row],[monthly_consumption_kwh]]*Table1[[#This Row],[NETTO_procurement_cost_ct_per_kwh]]/100</f>
        <v>78.918400000000005</v>
      </c>
      <c r="K726" s="21">
        <f>Table1[[#This Row],[NETTO_monthly_revenue(€)]]-Table1[[#This Row],[procurement_cost_(€)]]</f>
        <v>15.190843697478982</v>
      </c>
      <c r="L726" s="21">
        <f t="shared" si="33"/>
        <v>4.9969880583812447</v>
      </c>
      <c r="M726" s="21" t="str">
        <f t="shared" si="34"/>
        <v>03.02.2024</v>
      </c>
      <c r="N726" s="21">
        <f t="shared" si="35"/>
        <v>94.109243697478988</v>
      </c>
    </row>
    <row r="727" spans="1:14">
      <c r="A727" s="9" t="s">
        <v>1208</v>
      </c>
      <c r="B727" s="8">
        <v>24</v>
      </c>
      <c r="C727" s="8" t="s">
        <v>39</v>
      </c>
      <c r="D727" s="8" t="s">
        <v>46</v>
      </c>
      <c r="E727" s="8" t="s">
        <v>1209</v>
      </c>
      <c r="F727" s="8">
        <v>163</v>
      </c>
      <c r="G727" s="8">
        <v>64.06</v>
      </c>
      <c r="H727" s="10">
        <v>28.1</v>
      </c>
      <c r="I727" s="21">
        <f>Table1[[#This Row],[BRUTTO_monthly_bill_eur]]/1.19</f>
        <v>53.831932773109251</v>
      </c>
      <c r="J727" s="21">
        <f>Table1[[#This Row],[monthly_consumption_kwh]]*Table1[[#This Row],[NETTO_procurement_cost_ct_per_kwh]]/100</f>
        <v>45.803000000000004</v>
      </c>
      <c r="K727" s="21">
        <f>Table1[[#This Row],[NETTO_monthly_revenue(€)]]-Table1[[#This Row],[procurement_cost_(€)]]</f>
        <v>8.028932773109247</v>
      </c>
      <c r="L727" s="21">
        <f t="shared" si="33"/>
        <v>4.9257256276743853</v>
      </c>
      <c r="M727" s="21" t="str">
        <f t="shared" si="34"/>
        <v>25.08.2024</v>
      </c>
      <c r="N727" s="21">
        <f t="shared" si="35"/>
        <v>53.831932773109251</v>
      </c>
    </row>
    <row r="728" spans="1:14">
      <c r="A728" s="9" t="s">
        <v>1210</v>
      </c>
      <c r="B728" s="8">
        <v>12</v>
      </c>
      <c r="C728" s="8" t="s">
        <v>39</v>
      </c>
      <c r="D728" s="8" t="s">
        <v>46</v>
      </c>
      <c r="E728" s="8" t="s">
        <v>1211</v>
      </c>
      <c r="F728" s="8">
        <v>152</v>
      </c>
      <c r="G728" s="8">
        <v>68.19</v>
      </c>
      <c r="H728" s="10">
        <v>30.41</v>
      </c>
      <c r="I728" s="21">
        <f>Table1[[#This Row],[BRUTTO_monthly_bill_eur]]/1.19</f>
        <v>57.30252100840336</v>
      </c>
      <c r="J728" s="21">
        <f>Table1[[#This Row],[monthly_consumption_kwh]]*Table1[[#This Row],[NETTO_procurement_cost_ct_per_kwh]]/100</f>
        <v>46.223199999999999</v>
      </c>
      <c r="K728" s="21">
        <f>Table1[[#This Row],[NETTO_monthly_revenue(€)]]-Table1[[#This Row],[procurement_cost_(€)]]</f>
        <v>11.079321008403362</v>
      </c>
      <c r="L728" s="21">
        <f t="shared" si="33"/>
        <v>7.2890269792127382</v>
      </c>
      <c r="M728" s="21" t="str">
        <f t="shared" si="34"/>
        <v>22.10.2024</v>
      </c>
      <c r="N728" s="21">
        <f t="shared" si="35"/>
        <v>57.30252100840336</v>
      </c>
    </row>
    <row r="729" spans="1:14">
      <c r="A729" s="9" t="s">
        <v>1212</v>
      </c>
      <c r="B729" s="8">
        <v>24</v>
      </c>
      <c r="C729" s="8" t="s">
        <v>39</v>
      </c>
      <c r="D729" s="8" t="s">
        <v>36</v>
      </c>
      <c r="E729" s="8" t="s">
        <v>1213</v>
      </c>
      <c r="F729" s="8">
        <v>83</v>
      </c>
      <c r="G729" s="8">
        <v>40.1</v>
      </c>
      <c r="H729" s="10">
        <v>30.64</v>
      </c>
      <c r="I729" s="21">
        <f>Table1[[#This Row],[BRUTTO_monthly_bill_eur]]/1.19</f>
        <v>33.69747899159664</v>
      </c>
      <c r="J729" s="21">
        <f>Table1[[#This Row],[monthly_consumption_kwh]]*Table1[[#This Row],[NETTO_procurement_cost_ct_per_kwh]]/100</f>
        <v>25.4312</v>
      </c>
      <c r="K729" s="21">
        <f>Table1[[#This Row],[NETTO_monthly_revenue(€)]]-Table1[[#This Row],[procurement_cost_(€)]]</f>
        <v>8.2662789915966393</v>
      </c>
      <c r="L729" s="21">
        <f t="shared" si="33"/>
        <v>9.9593722790320953</v>
      </c>
      <c r="M729" s="21" t="str">
        <f t="shared" si="34"/>
        <v>2024-10</v>
      </c>
      <c r="N729" s="21">
        <f t="shared" si="35"/>
        <v>33.69747899159664</v>
      </c>
    </row>
    <row r="730" spans="1:14">
      <c r="A730" s="9" t="s">
        <v>1214</v>
      </c>
      <c r="B730" s="8">
        <v>12</v>
      </c>
      <c r="C730" s="8" t="s">
        <v>51</v>
      </c>
      <c r="D730" s="8" t="s">
        <v>56</v>
      </c>
      <c r="E730" s="8" t="s">
        <v>141</v>
      </c>
      <c r="F730" s="8">
        <v>546</v>
      </c>
      <c r="G730" s="8">
        <v>185.14</v>
      </c>
      <c r="H730" s="10">
        <v>19.940000000000001</v>
      </c>
      <c r="I730" s="21">
        <f>Table1[[#This Row],[BRUTTO_monthly_bill_eur]]/1.19</f>
        <v>155.57983193277312</v>
      </c>
      <c r="J730" s="21">
        <f>Table1[[#This Row],[monthly_consumption_kwh]]*Table1[[#This Row],[NETTO_procurement_cost_ct_per_kwh]]/100</f>
        <v>108.87240000000001</v>
      </c>
      <c r="K730" s="21">
        <f>Table1[[#This Row],[NETTO_monthly_revenue(€)]]-Table1[[#This Row],[procurement_cost_(€)]]</f>
        <v>46.707431932773105</v>
      </c>
      <c r="L730" s="21">
        <f t="shared" si="33"/>
        <v>8.5544747129621062</v>
      </c>
      <c r="M730" s="21" t="str">
        <f t="shared" si="34"/>
        <v>09.04.2025</v>
      </c>
      <c r="N730" s="21">
        <f t="shared" si="35"/>
        <v>155.57983193277312</v>
      </c>
    </row>
    <row r="731" spans="1:14">
      <c r="A731" s="9" t="s">
        <v>1215</v>
      </c>
      <c r="B731" s="8">
        <v>12</v>
      </c>
      <c r="C731" s="8" t="s">
        <v>35</v>
      </c>
      <c r="D731" s="8" t="s">
        <v>56</v>
      </c>
      <c r="E731" s="8" t="s">
        <v>347</v>
      </c>
      <c r="F731" s="8">
        <v>176</v>
      </c>
      <c r="G731" s="8">
        <v>67.3</v>
      </c>
      <c r="H731" s="10">
        <v>22.48</v>
      </c>
      <c r="I731" s="21">
        <f>Table1[[#This Row],[BRUTTO_monthly_bill_eur]]/1.19</f>
        <v>56.554621848739494</v>
      </c>
      <c r="J731" s="21">
        <f>Table1[[#This Row],[monthly_consumption_kwh]]*Table1[[#This Row],[NETTO_procurement_cost_ct_per_kwh]]/100</f>
        <v>39.564799999999998</v>
      </c>
      <c r="K731" s="21">
        <f>Table1[[#This Row],[NETTO_monthly_revenue(€)]]-Table1[[#This Row],[procurement_cost_(€)]]</f>
        <v>16.989821848739496</v>
      </c>
      <c r="L731" s="21">
        <f t="shared" si="33"/>
        <v>9.6533078686019866</v>
      </c>
      <c r="M731" s="21" t="str">
        <f t="shared" si="34"/>
        <v>13.03.2024</v>
      </c>
      <c r="N731" s="21">
        <f t="shared" si="35"/>
        <v>56.554621848739494</v>
      </c>
    </row>
    <row r="732" spans="1:14">
      <c r="A732" s="9" t="s">
        <v>1216</v>
      </c>
      <c r="B732" s="8">
        <v>12</v>
      </c>
      <c r="C732" s="8" t="s">
        <v>39</v>
      </c>
      <c r="D732" s="8" t="s">
        <v>56</v>
      </c>
      <c r="E732" s="8" t="s">
        <v>1217</v>
      </c>
      <c r="F732" s="8">
        <v>105</v>
      </c>
      <c r="G732" s="8">
        <v>47.42</v>
      </c>
      <c r="H732" s="10">
        <v>31.75</v>
      </c>
      <c r="I732" s="21">
        <f>Table1[[#This Row],[BRUTTO_monthly_bill_eur]]/1.19</f>
        <v>39.84873949579832</v>
      </c>
      <c r="J732" s="21">
        <f>Table1[[#This Row],[monthly_consumption_kwh]]*Table1[[#This Row],[NETTO_procurement_cost_ct_per_kwh]]/100</f>
        <v>33.337499999999999</v>
      </c>
      <c r="K732" s="21">
        <f>Table1[[#This Row],[NETTO_monthly_revenue(€)]]-Table1[[#This Row],[procurement_cost_(€)]]</f>
        <v>6.5112394957983213</v>
      </c>
      <c r="L732" s="21">
        <f t="shared" si="33"/>
        <v>6.2011804721888772</v>
      </c>
      <c r="M732" s="21" t="str">
        <f t="shared" si="34"/>
        <v>27.08.2024</v>
      </c>
      <c r="N732" s="21">
        <f t="shared" si="35"/>
        <v>39.84873949579832</v>
      </c>
    </row>
    <row r="733" spans="1:14">
      <c r="A733" s="9" t="s">
        <v>1218</v>
      </c>
      <c r="B733" s="8">
        <v>24</v>
      </c>
      <c r="C733" s="8" t="s">
        <v>35</v>
      </c>
      <c r="D733" s="8" t="s">
        <v>56</v>
      </c>
      <c r="E733" s="8" t="s">
        <v>108</v>
      </c>
      <c r="F733" s="8">
        <v>177</v>
      </c>
      <c r="G733" s="8">
        <v>67.41</v>
      </c>
      <c r="H733" s="10">
        <v>22.72</v>
      </c>
      <c r="I733" s="21">
        <f>Table1[[#This Row],[BRUTTO_monthly_bill_eur]]/1.19</f>
        <v>56.647058823529413</v>
      </c>
      <c r="J733" s="21">
        <f>Table1[[#This Row],[monthly_consumption_kwh]]*Table1[[#This Row],[NETTO_procurement_cost_ct_per_kwh]]/100</f>
        <v>40.214399999999998</v>
      </c>
      <c r="K733" s="21">
        <f>Table1[[#This Row],[NETTO_monthly_revenue(€)]]-Table1[[#This Row],[procurement_cost_(€)]]</f>
        <v>16.432658823529415</v>
      </c>
      <c r="L733" s="21">
        <f t="shared" si="33"/>
        <v>9.2839880358923246</v>
      </c>
      <c r="M733" s="21" t="str">
        <f t="shared" si="34"/>
        <v>27.09.2024</v>
      </c>
      <c r="N733" s="21">
        <f t="shared" si="35"/>
        <v>56.647058823529413</v>
      </c>
    </row>
    <row r="734" spans="1:14">
      <c r="A734" s="9" t="s">
        <v>1219</v>
      </c>
      <c r="B734" s="8">
        <v>24</v>
      </c>
      <c r="C734" s="8" t="s">
        <v>35</v>
      </c>
      <c r="D734" s="8" t="s">
        <v>56</v>
      </c>
      <c r="E734" s="8" t="s">
        <v>1220</v>
      </c>
      <c r="F734" s="8">
        <v>267</v>
      </c>
      <c r="G734" s="8">
        <v>105.57</v>
      </c>
      <c r="H734" s="10">
        <v>24.49</v>
      </c>
      <c r="I734" s="21">
        <f>Table1[[#This Row],[BRUTTO_monthly_bill_eur]]/1.19</f>
        <v>88.714285714285708</v>
      </c>
      <c r="J734" s="21">
        <f>Table1[[#This Row],[monthly_consumption_kwh]]*Table1[[#This Row],[NETTO_procurement_cost_ct_per_kwh]]/100</f>
        <v>65.388300000000001</v>
      </c>
      <c r="K734" s="21">
        <f>Table1[[#This Row],[NETTO_monthly_revenue(€)]]-Table1[[#This Row],[procurement_cost_(€)]]</f>
        <v>23.325985714285707</v>
      </c>
      <c r="L734" s="21">
        <f t="shared" si="33"/>
        <v>8.7363242375601899</v>
      </c>
      <c r="M734" s="21" t="str">
        <f t="shared" si="34"/>
        <v>21.07.2024</v>
      </c>
      <c r="N734" s="21">
        <f t="shared" si="35"/>
        <v>88.714285714285708</v>
      </c>
    </row>
    <row r="735" spans="1:14">
      <c r="A735" s="9" t="s">
        <v>1221</v>
      </c>
      <c r="B735" s="8">
        <v>12</v>
      </c>
      <c r="C735" s="8" t="s">
        <v>39</v>
      </c>
      <c r="D735" s="8" t="s">
        <v>36</v>
      </c>
      <c r="E735" s="8" t="s">
        <v>798</v>
      </c>
      <c r="F735" s="8">
        <v>141</v>
      </c>
      <c r="G735" s="8">
        <v>64.86</v>
      </c>
      <c r="H735" s="10">
        <v>28.89</v>
      </c>
      <c r="I735" s="21">
        <f>Table1[[#This Row],[BRUTTO_monthly_bill_eur]]/1.19</f>
        <v>54.504201680672274</v>
      </c>
      <c r="J735" s="21">
        <f>Table1[[#This Row],[monthly_consumption_kwh]]*Table1[[#This Row],[NETTO_procurement_cost_ct_per_kwh]]/100</f>
        <v>40.734900000000003</v>
      </c>
      <c r="K735" s="21">
        <f>Table1[[#This Row],[NETTO_monthly_revenue(€)]]-Table1[[#This Row],[procurement_cost_(€)]]</f>
        <v>13.769301680672271</v>
      </c>
      <c r="L735" s="21">
        <f t="shared" si="33"/>
        <v>9.7654621848739502</v>
      </c>
      <c r="M735" s="21" t="str">
        <f t="shared" si="34"/>
        <v>11.03.2025</v>
      </c>
      <c r="N735" s="21">
        <f t="shared" si="35"/>
        <v>54.504201680672274</v>
      </c>
    </row>
    <row r="736" spans="1:14">
      <c r="A736" s="9" t="s">
        <v>1222</v>
      </c>
      <c r="B736" s="8">
        <v>12</v>
      </c>
      <c r="C736" s="8" t="s">
        <v>35</v>
      </c>
      <c r="D736" s="8" t="s">
        <v>36</v>
      </c>
      <c r="E736" s="8" t="s">
        <v>1223</v>
      </c>
      <c r="F736" s="8">
        <v>186</v>
      </c>
      <c r="G736" s="8">
        <v>71.8</v>
      </c>
      <c r="H736" s="10">
        <v>23.23</v>
      </c>
      <c r="I736" s="21">
        <f>Table1[[#This Row],[BRUTTO_monthly_bill_eur]]/1.19</f>
        <v>60.336134453781511</v>
      </c>
      <c r="J736" s="21">
        <f>Table1[[#This Row],[monthly_consumption_kwh]]*Table1[[#This Row],[NETTO_procurement_cost_ct_per_kwh]]/100</f>
        <v>43.207799999999999</v>
      </c>
      <c r="K736" s="21">
        <f>Table1[[#This Row],[NETTO_monthly_revenue(€)]]-Table1[[#This Row],[procurement_cost_(€)]]</f>
        <v>17.128334453781513</v>
      </c>
      <c r="L736" s="21">
        <f t="shared" si="33"/>
        <v>9.2087819643986624</v>
      </c>
      <c r="M736" s="21" t="str">
        <f t="shared" si="34"/>
        <v>2024-04</v>
      </c>
      <c r="N736" s="21">
        <f t="shared" si="35"/>
        <v>60.336134453781511</v>
      </c>
    </row>
    <row r="737" spans="1:14">
      <c r="A737" s="9" t="s">
        <v>1224</v>
      </c>
      <c r="B737" s="8">
        <v>24</v>
      </c>
      <c r="C737" s="8" t="s">
        <v>39</v>
      </c>
      <c r="D737" s="8" t="s">
        <v>46</v>
      </c>
      <c r="E737" s="8" t="s">
        <v>1225</v>
      </c>
      <c r="F737" s="8">
        <v>115</v>
      </c>
      <c r="G737" s="8">
        <v>48.9</v>
      </c>
      <c r="H737" s="10">
        <v>30.19</v>
      </c>
      <c r="I737" s="21">
        <f>Table1[[#This Row],[BRUTTO_monthly_bill_eur]]/1.19</f>
        <v>41.092436974789919</v>
      </c>
      <c r="J737" s="21">
        <f>Table1[[#This Row],[monthly_consumption_kwh]]*Table1[[#This Row],[NETTO_procurement_cost_ct_per_kwh]]/100</f>
        <v>34.718500000000006</v>
      </c>
      <c r="K737" s="21">
        <f>Table1[[#This Row],[NETTO_monthly_revenue(€)]]-Table1[[#This Row],[procurement_cost_(€)]]</f>
        <v>6.3739369747899133</v>
      </c>
      <c r="L737" s="21">
        <f t="shared" si="33"/>
        <v>5.5425538911216643</v>
      </c>
      <c r="M737" s="21" t="str">
        <f t="shared" si="34"/>
        <v>2024-08</v>
      </c>
      <c r="N737" s="21">
        <f t="shared" si="35"/>
        <v>41.092436974789919</v>
      </c>
    </row>
    <row r="738" spans="1:14">
      <c r="A738" s="9" t="s">
        <v>1226</v>
      </c>
      <c r="B738" s="8">
        <v>12</v>
      </c>
      <c r="C738" s="8" t="s">
        <v>39</v>
      </c>
      <c r="D738" s="8" t="s">
        <v>46</v>
      </c>
      <c r="E738" s="8" t="s">
        <v>598</v>
      </c>
      <c r="F738" s="8">
        <v>121</v>
      </c>
      <c r="G738" s="8">
        <v>52.85</v>
      </c>
      <c r="H738" s="10">
        <v>31.67</v>
      </c>
      <c r="I738" s="21">
        <f>Table1[[#This Row],[BRUTTO_monthly_bill_eur]]/1.19</f>
        <v>44.411764705882355</v>
      </c>
      <c r="J738" s="21">
        <f>Table1[[#This Row],[monthly_consumption_kwh]]*Table1[[#This Row],[NETTO_procurement_cost_ct_per_kwh]]/100</f>
        <v>38.320700000000002</v>
      </c>
      <c r="K738" s="21">
        <f>Table1[[#This Row],[NETTO_monthly_revenue(€)]]-Table1[[#This Row],[procurement_cost_(€)]]</f>
        <v>6.0910647058823528</v>
      </c>
      <c r="L738" s="21">
        <f t="shared" si="33"/>
        <v>5.0339377734564899</v>
      </c>
      <c r="M738" s="21" t="str">
        <f t="shared" si="34"/>
        <v>01.06.2024</v>
      </c>
      <c r="N738" s="21">
        <f t="shared" si="35"/>
        <v>44.411764705882355</v>
      </c>
    </row>
    <row r="739" spans="1:14">
      <c r="A739" s="9" t="s">
        <v>1227</v>
      </c>
      <c r="B739" s="8">
        <v>24</v>
      </c>
      <c r="C739" s="8" t="s">
        <v>35</v>
      </c>
      <c r="D739" s="8" t="s">
        <v>46</v>
      </c>
      <c r="E739" s="8" t="s">
        <v>1228</v>
      </c>
      <c r="F739" s="8">
        <v>228</v>
      </c>
      <c r="G739" s="8">
        <v>89.9</v>
      </c>
      <c r="H739" s="10">
        <v>22.64</v>
      </c>
      <c r="I739" s="21">
        <f>Table1[[#This Row],[BRUTTO_monthly_bill_eur]]/1.19</f>
        <v>75.546218487394967</v>
      </c>
      <c r="J739" s="21">
        <f>Table1[[#This Row],[monthly_consumption_kwh]]*Table1[[#This Row],[NETTO_procurement_cost_ct_per_kwh]]/100</f>
        <v>51.619199999999999</v>
      </c>
      <c r="K739" s="21">
        <f>Table1[[#This Row],[NETTO_monthly_revenue(€)]]-Table1[[#This Row],[procurement_cost_(€)]]</f>
        <v>23.927018487394967</v>
      </c>
      <c r="L739" s="21">
        <f t="shared" si="33"/>
        <v>10.494306354120599</v>
      </c>
      <c r="M739" s="21" t="str">
        <f t="shared" si="34"/>
        <v>29.09.2024</v>
      </c>
      <c r="N739" s="21">
        <f t="shared" si="35"/>
        <v>75.546218487394967</v>
      </c>
    </row>
    <row r="740" spans="1:14">
      <c r="A740" s="9" t="s">
        <v>1229</v>
      </c>
      <c r="B740" s="8">
        <v>12</v>
      </c>
      <c r="C740" s="8" t="s">
        <v>39</v>
      </c>
      <c r="D740" s="8" t="s">
        <v>36</v>
      </c>
      <c r="E740" s="8" t="s">
        <v>1230</v>
      </c>
      <c r="F740" s="8">
        <v>93</v>
      </c>
      <c r="G740" s="8">
        <v>44.33</v>
      </c>
      <c r="H740" s="10">
        <v>28.68</v>
      </c>
      <c r="I740" s="21">
        <f>Table1[[#This Row],[BRUTTO_monthly_bill_eur]]/1.19</f>
        <v>37.252100840336134</v>
      </c>
      <c r="J740" s="21">
        <f>Table1[[#This Row],[monthly_consumption_kwh]]*Table1[[#This Row],[NETTO_procurement_cost_ct_per_kwh]]/100</f>
        <v>26.672399999999996</v>
      </c>
      <c r="K740" s="21">
        <f>Table1[[#This Row],[NETTO_monthly_revenue(€)]]-Table1[[#This Row],[procurement_cost_(€)]]</f>
        <v>10.579700840336137</v>
      </c>
      <c r="L740" s="21">
        <f t="shared" si="33"/>
        <v>11.376022408963589</v>
      </c>
      <c r="M740" s="21" t="str">
        <f t="shared" si="34"/>
        <v>25.05.2024</v>
      </c>
      <c r="N740" s="21">
        <f t="shared" si="35"/>
        <v>37.252100840336134</v>
      </c>
    </row>
    <row r="741" spans="1:14">
      <c r="A741" s="9" t="s">
        <v>1231</v>
      </c>
      <c r="B741" s="8">
        <v>12</v>
      </c>
      <c r="C741" s="8" t="s">
        <v>35</v>
      </c>
      <c r="D741" s="8" t="s">
        <v>36</v>
      </c>
      <c r="E741" s="8" t="s">
        <v>155</v>
      </c>
      <c r="F741" s="8">
        <v>236</v>
      </c>
      <c r="G741" s="8">
        <v>91.56</v>
      </c>
      <c r="H741" s="10">
        <v>23.67</v>
      </c>
      <c r="I741" s="21">
        <f>Table1[[#This Row],[BRUTTO_monthly_bill_eur]]/1.19</f>
        <v>76.941176470588246</v>
      </c>
      <c r="J741" s="21">
        <f>Table1[[#This Row],[monthly_consumption_kwh]]*Table1[[#This Row],[NETTO_procurement_cost_ct_per_kwh]]/100</f>
        <v>55.861200000000011</v>
      </c>
      <c r="K741" s="21">
        <f>Table1[[#This Row],[NETTO_monthly_revenue(€)]]-Table1[[#This Row],[procurement_cost_(€)]]</f>
        <v>21.079976470588235</v>
      </c>
      <c r="L741" s="21">
        <f t="shared" si="33"/>
        <v>8.9321934197407771</v>
      </c>
      <c r="M741" s="21" t="str">
        <f t="shared" si="34"/>
        <v>14.03.2024</v>
      </c>
      <c r="N741" s="21">
        <f t="shared" si="35"/>
        <v>76.941176470588246</v>
      </c>
    </row>
    <row r="742" spans="1:14">
      <c r="A742" s="9" t="s">
        <v>1232</v>
      </c>
      <c r="B742" s="8">
        <v>12</v>
      </c>
      <c r="C742" s="8" t="s">
        <v>35</v>
      </c>
      <c r="D742" s="8" t="s">
        <v>36</v>
      </c>
      <c r="E742" s="8" t="s">
        <v>1233</v>
      </c>
      <c r="F742" s="8">
        <v>292</v>
      </c>
      <c r="G742" s="8">
        <v>109.52</v>
      </c>
      <c r="H742" s="10">
        <v>25.03</v>
      </c>
      <c r="I742" s="21">
        <f>Table1[[#This Row],[BRUTTO_monthly_bill_eur]]/1.19</f>
        <v>92.033613445378151</v>
      </c>
      <c r="J742" s="21">
        <f>Table1[[#This Row],[monthly_consumption_kwh]]*Table1[[#This Row],[NETTO_procurement_cost_ct_per_kwh]]/100</f>
        <v>73.087600000000009</v>
      </c>
      <c r="K742" s="21">
        <f>Table1[[#This Row],[NETTO_monthly_revenue(€)]]-Table1[[#This Row],[procurement_cost_(€)]]</f>
        <v>18.946013445378142</v>
      </c>
      <c r="L742" s="21">
        <f t="shared" si="33"/>
        <v>6.4883607689651166</v>
      </c>
      <c r="M742" s="21" t="str">
        <f t="shared" si="34"/>
        <v>2024-03</v>
      </c>
      <c r="N742" s="21">
        <f t="shared" si="35"/>
        <v>92.033613445378151</v>
      </c>
    </row>
    <row r="743" spans="1:14">
      <c r="A743" s="9" t="s">
        <v>1234</v>
      </c>
      <c r="B743" s="8">
        <v>12</v>
      </c>
      <c r="C743" s="8" t="s">
        <v>39</v>
      </c>
      <c r="D743" s="8" t="s">
        <v>56</v>
      </c>
      <c r="E743" s="8" t="s">
        <v>310</v>
      </c>
      <c r="F743" s="8">
        <v>46313</v>
      </c>
      <c r="G743" s="8">
        <v>42.62</v>
      </c>
      <c r="H743" s="10">
        <v>29.59</v>
      </c>
      <c r="I743" s="21">
        <f>Table1[[#This Row],[BRUTTO_monthly_bill_eur]]/1.19</f>
        <v>35.815126050420169</v>
      </c>
      <c r="J743" s="21">
        <f>Table1[[#This Row],[monthly_consumption_kwh]]*Table1[[#This Row],[NETTO_procurement_cost_ct_per_kwh]]/100</f>
        <v>13704.0167</v>
      </c>
      <c r="K743" s="21">
        <f>Table1[[#This Row],[NETTO_monthly_revenue(€)]]-Table1[[#This Row],[procurement_cost_(€)]]</f>
        <v>-13668.20157394958</v>
      </c>
      <c r="L743" s="21">
        <f t="shared" si="33"/>
        <v>-29.512667229394729</v>
      </c>
      <c r="M743" s="21" t="str">
        <f t="shared" si="34"/>
        <v>18.06.2024</v>
      </c>
      <c r="N743" s="21">
        <f t="shared" si="35"/>
        <v>35.815126050420169</v>
      </c>
    </row>
    <row r="744" spans="1:14">
      <c r="A744" s="9" t="s">
        <v>1235</v>
      </c>
      <c r="B744" s="8">
        <v>24</v>
      </c>
      <c r="C744" s="8" t="s">
        <v>35</v>
      </c>
      <c r="D744" s="8" t="s">
        <v>46</v>
      </c>
      <c r="E744" s="8" t="s">
        <v>288</v>
      </c>
      <c r="F744" s="8">
        <v>180</v>
      </c>
      <c r="G744" s="8">
        <v>71.819999999999993</v>
      </c>
      <c r="H744" s="10">
        <v>22.34</v>
      </c>
      <c r="I744" s="21">
        <f>Table1[[#This Row],[BRUTTO_monthly_bill_eur]]/1.19</f>
        <v>60.352941176470587</v>
      </c>
      <c r="J744" s="21">
        <f>Table1[[#This Row],[monthly_consumption_kwh]]*Table1[[#This Row],[NETTO_procurement_cost_ct_per_kwh]]/100</f>
        <v>40.211999999999996</v>
      </c>
      <c r="K744" s="21">
        <f>Table1[[#This Row],[NETTO_monthly_revenue(€)]]-Table1[[#This Row],[procurement_cost_(€)]]</f>
        <v>20.140941176470591</v>
      </c>
      <c r="L744" s="21">
        <f t="shared" si="33"/>
        <v>11.189411764705884</v>
      </c>
      <c r="M744" s="21" t="str">
        <f t="shared" si="34"/>
        <v>10.11.2024</v>
      </c>
      <c r="N744" s="21">
        <f t="shared" si="35"/>
        <v>60.352941176470587</v>
      </c>
    </row>
    <row r="745" spans="1:14">
      <c r="A745" s="9" t="s">
        <v>1236</v>
      </c>
      <c r="B745" s="8">
        <v>12</v>
      </c>
      <c r="C745" s="8" t="s">
        <v>39</v>
      </c>
      <c r="D745" s="8" t="s">
        <v>36</v>
      </c>
      <c r="E745" s="8" t="s">
        <v>1211</v>
      </c>
      <c r="F745" s="8">
        <v>113</v>
      </c>
      <c r="G745" s="8">
        <v>55.04</v>
      </c>
      <c r="H745" s="10">
        <v>29.57</v>
      </c>
      <c r="I745" s="21">
        <f>Table1[[#This Row],[BRUTTO_monthly_bill_eur]]/1.19</f>
        <v>46.252100840336134</v>
      </c>
      <c r="J745" s="21">
        <f>Table1[[#This Row],[monthly_consumption_kwh]]*Table1[[#This Row],[NETTO_procurement_cost_ct_per_kwh]]/100</f>
        <v>33.414099999999998</v>
      </c>
      <c r="K745" s="21">
        <f>Table1[[#This Row],[NETTO_monthly_revenue(€)]]-Table1[[#This Row],[procurement_cost_(€)]]</f>
        <v>12.838000840336136</v>
      </c>
      <c r="L745" s="21">
        <f t="shared" si="33"/>
        <v>11.361062690562953</v>
      </c>
      <c r="M745" s="21" t="str">
        <f t="shared" si="34"/>
        <v>22.10.2024</v>
      </c>
      <c r="N745" s="21">
        <f t="shared" si="35"/>
        <v>46.252100840336134</v>
      </c>
    </row>
    <row r="746" spans="1:14">
      <c r="A746" s="9" t="s">
        <v>1237</v>
      </c>
      <c r="B746" s="8">
        <v>12</v>
      </c>
      <c r="C746" s="8" t="s">
        <v>51</v>
      </c>
      <c r="D746" s="8" t="s">
        <v>36</v>
      </c>
      <c r="E746" s="8" t="s">
        <v>1238</v>
      </c>
      <c r="F746" s="8">
        <v>648</v>
      </c>
      <c r="G746" s="8">
        <v>206.67</v>
      </c>
      <c r="H746" s="10">
        <v>17</v>
      </c>
      <c r="I746" s="21">
        <f>Table1[[#This Row],[BRUTTO_monthly_bill_eur]]/1.19</f>
        <v>173.67226890756302</v>
      </c>
      <c r="J746" s="21">
        <f>Table1[[#This Row],[monthly_consumption_kwh]]*Table1[[#This Row],[NETTO_procurement_cost_ct_per_kwh]]/100</f>
        <v>110.16</v>
      </c>
      <c r="K746" s="21">
        <f>Table1[[#This Row],[NETTO_monthly_revenue(€)]]-Table1[[#This Row],[procurement_cost_(€)]]</f>
        <v>63.512268907563026</v>
      </c>
      <c r="L746" s="21">
        <f t="shared" si="33"/>
        <v>9.8012760659819484</v>
      </c>
      <c r="M746" s="21" t="str">
        <f t="shared" si="34"/>
        <v>25.03.2025</v>
      </c>
      <c r="N746" s="21">
        <f t="shared" si="35"/>
        <v>173.67226890756302</v>
      </c>
    </row>
    <row r="747" spans="1:14">
      <c r="A747" s="9" t="s">
        <v>1239</v>
      </c>
      <c r="B747" s="8">
        <v>24</v>
      </c>
      <c r="C747" s="8" t="s">
        <v>35</v>
      </c>
      <c r="D747" s="8" t="s">
        <v>36</v>
      </c>
      <c r="E747" s="8" t="s">
        <v>114</v>
      </c>
      <c r="F747" s="8">
        <v>278</v>
      </c>
      <c r="G747" s="8">
        <v>99.73</v>
      </c>
      <c r="H747" s="10">
        <v>22.07</v>
      </c>
      <c r="I747" s="21">
        <f>Table1[[#This Row],[BRUTTO_monthly_bill_eur]]/1.19</f>
        <v>83.806722689075642</v>
      </c>
      <c r="J747" s="21">
        <f>Table1[[#This Row],[monthly_consumption_kwh]]*Table1[[#This Row],[NETTO_procurement_cost_ct_per_kwh]]/100</f>
        <v>61.354599999999998</v>
      </c>
      <c r="K747" s="21">
        <f>Table1[[#This Row],[NETTO_monthly_revenue(€)]]-Table1[[#This Row],[procurement_cost_(€)]]</f>
        <v>22.452122689075644</v>
      </c>
      <c r="L747" s="21">
        <f t="shared" si="33"/>
        <v>8.0763031255667777</v>
      </c>
      <c r="M747" s="21" t="str">
        <f t="shared" si="34"/>
        <v>07.05.2024</v>
      </c>
      <c r="N747" s="21">
        <f t="shared" si="35"/>
        <v>83.806722689075642</v>
      </c>
    </row>
    <row r="748" spans="1:14">
      <c r="A748" s="9" t="s">
        <v>1240</v>
      </c>
      <c r="B748" s="8">
        <v>12</v>
      </c>
      <c r="C748" s="8" t="s">
        <v>51</v>
      </c>
      <c r="D748" s="8" t="s">
        <v>56</v>
      </c>
      <c r="E748" s="8" t="s">
        <v>234</v>
      </c>
      <c r="F748" s="8">
        <v>560</v>
      </c>
      <c r="G748" s="8">
        <v>177.03</v>
      </c>
      <c r="H748" s="10">
        <v>19.809999999999999</v>
      </c>
      <c r="I748" s="21">
        <f>Table1[[#This Row],[BRUTTO_monthly_bill_eur]]/1.19</f>
        <v>148.76470588235296</v>
      </c>
      <c r="J748" s="21">
        <f>Table1[[#This Row],[monthly_consumption_kwh]]*Table1[[#This Row],[NETTO_procurement_cost_ct_per_kwh]]/100</f>
        <v>110.93599999999998</v>
      </c>
      <c r="K748" s="21">
        <f>Table1[[#This Row],[NETTO_monthly_revenue(€)]]-Table1[[#This Row],[procurement_cost_(€)]]</f>
        <v>37.828705882352978</v>
      </c>
      <c r="L748" s="21">
        <f t="shared" si="33"/>
        <v>6.7551260504201753</v>
      </c>
      <c r="M748" s="21" t="str">
        <f t="shared" si="34"/>
        <v>24.04.2025</v>
      </c>
      <c r="N748" s="21">
        <f t="shared" si="35"/>
        <v>148.76470588235296</v>
      </c>
    </row>
    <row r="749" spans="1:14">
      <c r="A749" s="9" t="s">
        <v>1241</v>
      </c>
      <c r="B749" s="8">
        <v>12</v>
      </c>
      <c r="C749" s="8" t="s">
        <v>35</v>
      </c>
      <c r="D749" s="8" t="s">
        <v>46</v>
      </c>
      <c r="E749" s="8" t="s">
        <v>740</v>
      </c>
      <c r="F749" s="8">
        <v>227</v>
      </c>
      <c r="G749" s="8">
        <v>81.7</v>
      </c>
      <c r="H749" s="10">
        <v>24.41</v>
      </c>
      <c r="I749" s="21">
        <f>Table1[[#This Row],[BRUTTO_monthly_bill_eur]]/1.19</f>
        <v>68.655462184873954</v>
      </c>
      <c r="J749" s="21">
        <f>Table1[[#This Row],[monthly_consumption_kwh]]*Table1[[#This Row],[NETTO_procurement_cost_ct_per_kwh]]/100</f>
        <v>55.410699999999999</v>
      </c>
      <c r="K749" s="21">
        <f>Table1[[#This Row],[NETTO_monthly_revenue(€)]]-Table1[[#This Row],[procurement_cost_(€)]]</f>
        <v>13.244762184873956</v>
      </c>
      <c r="L749" s="21">
        <f t="shared" si="33"/>
        <v>5.8346969977418306</v>
      </c>
      <c r="M749" s="21" t="str">
        <f t="shared" si="34"/>
        <v>07.11.2024</v>
      </c>
      <c r="N749" s="21">
        <f t="shared" si="35"/>
        <v>68.655462184873954</v>
      </c>
    </row>
    <row r="750" spans="1:14">
      <c r="A750" s="9" t="s">
        <v>1242</v>
      </c>
      <c r="B750" s="8">
        <v>24</v>
      </c>
      <c r="C750" s="8" t="s">
        <v>39</v>
      </c>
      <c r="D750" s="8" t="s">
        <v>46</v>
      </c>
      <c r="E750" s="8" t="s">
        <v>397</v>
      </c>
      <c r="F750" s="8">
        <v>133</v>
      </c>
      <c r="G750" s="8">
        <v>56.89</v>
      </c>
      <c r="H750" s="10">
        <v>28.65</v>
      </c>
      <c r="I750" s="21">
        <f>Table1[[#This Row],[BRUTTO_monthly_bill_eur]]/1.19</f>
        <v>47.806722689075634</v>
      </c>
      <c r="J750" s="21">
        <f>Table1[[#This Row],[monthly_consumption_kwh]]*Table1[[#This Row],[NETTO_procurement_cost_ct_per_kwh]]/100</f>
        <v>38.104500000000002</v>
      </c>
      <c r="K750" s="21">
        <f>Table1[[#This Row],[NETTO_monthly_revenue(€)]]-Table1[[#This Row],[procurement_cost_(€)]]</f>
        <v>9.7022226890756329</v>
      </c>
      <c r="L750" s="21">
        <f t="shared" si="33"/>
        <v>7.2949042775004758</v>
      </c>
      <c r="M750" s="21" t="str">
        <f t="shared" si="34"/>
        <v>16.02.2025</v>
      </c>
      <c r="N750" s="21">
        <f t="shared" si="35"/>
        <v>47.806722689075634</v>
      </c>
    </row>
    <row r="751" spans="1:14">
      <c r="A751" s="9" t="s">
        <v>1243</v>
      </c>
      <c r="B751" s="8">
        <v>24</v>
      </c>
      <c r="C751" s="8" t="s">
        <v>35</v>
      </c>
      <c r="D751" s="8" t="s">
        <v>36</v>
      </c>
      <c r="E751" s="8" t="s">
        <v>558</v>
      </c>
      <c r="F751" s="8">
        <v>169</v>
      </c>
      <c r="G751" s="8">
        <v>69.2</v>
      </c>
      <c r="H751" s="10">
        <v>0.23</v>
      </c>
      <c r="I751" s="21">
        <f>Table1[[#This Row],[BRUTTO_monthly_bill_eur]]/1.19</f>
        <v>58.151260504201687</v>
      </c>
      <c r="J751" s="21">
        <f>Table1[[#This Row],[monthly_consumption_kwh]]*Table1[[#This Row],[NETTO_procurement_cost_ct_per_kwh]]/100</f>
        <v>0.38870000000000005</v>
      </c>
      <c r="K751" s="21">
        <f>Table1[[#This Row],[NETTO_monthly_revenue(€)]]-Table1[[#This Row],[procurement_cost_(€)]]</f>
        <v>57.762560504201687</v>
      </c>
      <c r="L751" s="21">
        <f t="shared" si="33"/>
        <v>34.179029884143006</v>
      </c>
      <c r="M751" s="21" t="str">
        <f t="shared" si="34"/>
        <v>05.10.2024</v>
      </c>
      <c r="N751" s="21">
        <f t="shared" si="35"/>
        <v>58.151260504201687</v>
      </c>
    </row>
    <row r="752" spans="1:14">
      <c r="A752" s="9" t="s">
        <v>1244</v>
      </c>
      <c r="B752" s="8">
        <v>12</v>
      </c>
      <c r="C752" s="8" t="s">
        <v>51</v>
      </c>
      <c r="D752" s="8" t="s">
        <v>46</v>
      </c>
      <c r="E752" s="8" t="s">
        <v>256</v>
      </c>
      <c r="F752" s="8">
        <v>546</v>
      </c>
      <c r="G752" s="8">
        <v>176.42</v>
      </c>
      <c r="H752" s="10">
        <v>18.62</v>
      </c>
      <c r="I752" s="21">
        <f>Table1[[#This Row],[BRUTTO_monthly_bill_eur]]/1.19</f>
        <v>148.25210084033614</v>
      </c>
      <c r="J752" s="21">
        <f>Table1[[#This Row],[monthly_consumption_kwh]]*Table1[[#This Row],[NETTO_procurement_cost_ct_per_kwh]]/100</f>
        <v>101.6652</v>
      </c>
      <c r="K752" s="21">
        <f>Table1[[#This Row],[NETTO_monthly_revenue(€)]]-Table1[[#This Row],[procurement_cost_(€)]]</f>
        <v>46.586900840336142</v>
      </c>
      <c r="L752" s="21">
        <f t="shared" si="33"/>
        <v>8.5323994213069856</v>
      </c>
      <c r="M752" s="21" t="str">
        <f t="shared" si="34"/>
        <v>27.05.2025</v>
      </c>
      <c r="N752" s="21">
        <f t="shared" si="35"/>
        <v>148.25210084033614</v>
      </c>
    </row>
    <row r="753" spans="1:14">
      <c r="A753" s="9" t="s">
        <v>1245</v>
      </c>
      <c r="B753" s="8">
        <v>24</v>
      </c>
      <c r="C753" s="8" t="s">
        <v>35</v>
      </c>
      <c r="D753" s="8" t="s">
        <v>36</v>
      </c>
      <c r="E753" s="8" t="s">
        <v>1246</v>
      </c>
      <c r="F753" s="8">
        <v>319</v>
      </c>
      <c r="G753" s="8">
        <v>118.76</v>
      </c>
      <c r="H753" s="10">
        <v>27.34</v>
      </c>
      <c r="I753" s="21">
        <f>Table1[[#This Row],[BRUTTO_monthly_bill_eur]]/1.19</f>
        <v>99.798319327731107</v>
      </c>
      <c r="J753" s="21">
        <f>Table1[[#This Row],[monthly_consumption_kwh]]*Table1[[#This Row],[NETTO_procurement_cost_ct_per_kwh]]/100</f>
        <v>87.21459999999999</v>
      </c>
      <c r="K753" s="21">
        <f>Table1[[#This Row],[NETTO_monthly_revenue(€)]]-Table1[[#This Row],[procurement_cost_(€)]]</f>
        <v>12.583719327731117</v>
      </c>
      <c r="L753" s="21">
        <f t="shared" si="33"/>
        <v>3.9447396011696294</v>
      </c>
      <c r="M753" s="21" t="str">
        <f t="shared" si="34"/>
        <v>20.05.2025</v>
      </c>
      <c r="N753" s="21">
        <f t="shared" si="35"/>
        <v>99.798319327731107</v>
      </c>
    </row>
    <row r="754" spans="1:14">
      <c r="A754" s="9" t="s">
        <v>1247</v>
      </c>
      <c r="B754" s="8">
        <v>24</v>
      </c>
      <c r="C754" s="8" t="s">
        <v>51</v>
      </c>
      <c r="D754" s="8" t="s">
        <v>46</v>
      </c>
      <c r="E754" s="8" t="s">
        <v>539</v>
      </c>
      <c r="F754" s="8">
        <v>538</v>
      </c>
      <c r="G754" s="8">
        <v>186.93</v>
      </c>
      <c r="H754" s="10">
        <v>21.37</v>
      </c>
      <c r="I754" s="21">
        <f>Table1[[#This Row],[BRUTTO_monthly_bill_eur]]/1.19</f>
        <v>157.0840336134454</v>
      </c>
      <c r="J754" s="21">
        <f>Table1[[#This Row],[monthly_consumption_kwh]]*Table1[[#This Row],[NETTO_procurement_cost_ct_per_kwh]]/100</f>
        <v>114.97060000000002</v>
      </c>
      <c r="K754" s="21">
        <f>Table1[[#This Row],[NETTO_monthly_revenue(€)]]-Table1[[#This Row],[procurement_cost_(€)]]</f>
        <v>42.11343361344538</v>
      </c>
      <c r="L754" s="21">
        <f t="shared" si="33"/>
        <v>7.8277757645809256</v>
      </c>
      <c r="M754" s="21" t="str">
        <f t="shared" si="34"/>
        <v>24.03.2025</v>
      </c>
      <c r="N754" s="21">
        <f t="shared" si="35"/>
        <v>157.0840336134454</v>
      </c>
    </row>
    <row r="755" spans="1:14">
      <c r="A755" s="9" t="s">
        <v>1248</v>
      </c>
      <c r="B755" s="8">
        <v>12</v>
      </c>
      <c r="C755" s="8" t="s">
        <v>51</v>
      </c>
      <c r="D755" s="8" t="s">
        <v>36</v>
      </c>
      <c r="E755" s="8" t="s">
        <v>478</v>
      </c>
      <c r="F755" s="8">
        <v>625</v>
      </c>
      <c r="G755" s="8">
        <v>205.96</v>
      </c>
      <c r="H755" s="10">
        <v>17.18</v>
      </c>
      <c r="I755" s="21">
        <f>Table1[[#This Row],[BRUTTO_monthly_bill_eur]]/1.19</f>
        <v>173.07563025210086</v>
      </c>
      <c r="J755" s="21">
        <f>Table1[[#This Row],[monthly_consumption_kwh]]*Table1[[#This Row],[NETTO_procurement_cost_ct_per_kwh]]/100</f>
        <v>107.375</v>
      </c>
      <c r="K755" s="21">
        <f>Table1[[#This Row],[NETTO_monthly_revenue(€)]]-Table1[[#This Row],[procurement_cost_(€)]]</f>
        <v>65.700630252100865</v>
      </c>
      <c r="L755" s="21">
        <f t="shared" si="33"/>
        <v>10.512100840336139</v>
      </c>
      <c r="M755" s="21" t="str">
        <f t="shared" si="34"/>
        <v>23.03.2024</v>
      </c>
      <c r="N755" s="21">
        <f t="shared" si="35"/>
        <v>173.07563025210086</v>
      </c>
    </row>
    <row r="756" spans="1:14">
      <c r="A756" s="9" t="s">
        <v>1249</v>
      </c>
      <c r="B756" s="8">
        <v>12</v>
      </c>
      <c r="C756" s="8" t="s">
        <v>39</v>
      </c>
      <c r="D756" s="8" t="s">
        <v>36</v>
      </c>
      <c r="E756" s="8" t="s">
        <v>491</v>
      </c>
      <c r="F756" s="8">
        <v>144</v>
      </c>
      <c r="G756" s="8">
        <v>65.819999999999993</v>
      </c>
      <c r="H756" s="10">
        <v>28.93</v>
      </c>
      <c r="I756" s="21">
        <f>Table1[[#This Row],[BRUTTO_monthly_bill_eur]]/1.19</f>
        <v>55.310924369747895</v>
      </c>
      <c r="J756" s="21">
        <f>Table1[[#This Row],[monthly_consumption_kwh]]*Table1[[#This Row],[NETTO_procurement_cost_ct_per_kwh]]/100</f>
        <v>41.659199999999998</v>
      </c>
      <c r="K756" s="21">
        <f>Table1[[#This Row],[NETTO_monthly_revenue(€)]]-Table1[[#This Row],[procurement_cost_(€)]]</f>
        <v>13.651724369747896</v>
      </c>
      <c r="L756" s="21">
        <f t="shared" si="33"/>
        <v>9.4803641456582621</v>
      </c>
      <c r="M756" s="21" t="str">
        <f t="shared" si="34"/>
        <v>10.02.2024</v>
      </c>
      <c r="N756" s="21">
        <f t="shared" si="35"/>
        <v>55.310924369747895</v>
      </c>
    </row>
    <row r="757" spans="1:14">
      <c r="A757" s="9" t="s">
        <v>1250</v>
      </c>
      <c r="B757" s="8">
        <v>24</v>
      </c>
      <c r="C757" s="8" t="s">
        <v>39</v>
      </c>
      <c r="D757" s="8" t="s">
        <v>46</v>
      </c>
      <c r="E757" s="8" t="s">
        <v>1251</v>
      </c>
      <c r="F757" s="8">
        <v>93</v>
      </c>
      <c r="G757" s="8">
        <v>46.8</v>
      </c>
      <c r="H757" s="10">
        <v>31.47</v>
      </c>
      <c r="I757" s="21">
        <f>Table1[[#This Row],[BRUTTO_monthly_bill_eur]]/1.19</f>
        <v>39.327731092436977</v>
      </c>
      <c r="J757" s="21">
        <f>Table1[[#This Row],[monthly_consumption_kwh]]*Table1[[#This Row],[NETTO_procurement_cost_ct_per_kwh]]/100</f>
        <v>29.267099999999999</v>
      </c>
      <c r="K757" s="21">
        <f>Table1[[#This Row],[NETTO_monthly_revenue(€)]]-Table1[[#This Row],[procurement_cost_(€)]]</f>
        <v>10.060631092436978</v>
      </c>
      <c r="L757" s="21">
        <f t="shared" si="33"/>
        <v>10.817882895093526</v>
      </c>
      <c r="M757" s="21" t="str">
        <f t="shared" si="34"/>
        <v>18.03.2025</v>
      </c>
      <c r="N757" s="21">
        <f t="shared" si="35"/>
        <v>39.327731092436977</v>
      </c>
    </row>
    <row r="758" spans="1:14">
      <c r="A758" s="9" t="s">
        <v>1252</v>
      </c>
      <c r="B758" s="8">
        <v>24</v>
      </c>
      <c r="C758" s="8" t="s">
        <v>35</v>
      </c>
      <c r="D758" s="8" t="s">
        <v>56</v>
      </c>
      <c r="E758" s="8" t="s">
        <v>1020</v>
      </c>
      <c r="F758" s="8">
        <v>317</v>
      </c>
      <c r="G758" s="8">
        <v>111.96</v>
      </c>
      <c r="H758" s="10">
        <v>25.71</v>
      </c>
      <c r="I758" s="21">
        <f>Table1[[#This Row],[BRUTTO_monthly_bill_eur]]/1.19</f>
        <v>94.084033613445371</v>
      </c>
      <c r="J758" s="21">
        <f>Table1[[#This Row],[monthly_consumption_kwh]]*Table1[[#This Row],[NETTO_procurement_cost_ct_per_kwh]]/100</f>
        <v>81.500700000000009</v>
      </c>
      <c r="K758" s="21">
        <f>Table1[[#This Row],[NETTO_monthly_revenue(€)]]-Table1[[#This Row],[procurement_cost_(€)]]</f>
        <v>12.583333613445362</v>
      </c>
      <c r="L758" s="21">
        <f t="shared" si="33"/>
        <v>3.9695058717493259</v>
      </c>
      <c r="M758" s="21" t="str">
        <f t="shared" si="34"/>
        <v>26.11.2024</v>
      </c>
      <c r="N758" s="21">
        <f t="shared" si="35"/>
        <v>94.084033613445371</v>
      </c>
    </row>
    <row r="759" spans="1:14">
      <c r="A759" s="9" t="s">
        <v>1253</v>
      </c>
      <c r="B759" s="8">
        <v>12</v>
      </c>
      <c r="C759" s="8" t="s">
        <v>35</v>
      </c>
      <c r="D759" s="8" t="s">
        <v>36</v>
      </c>
      <c r="E759" s="8" t="s">
        <v>1254</v>
      </c>
      <c r="F759" s="8">
        <v>178</v>
      </c>
      <c r="G759" s="8">
        <v>74.09</v>
      </c>
      <c r="H759" s="10">
        <v>23.68</v>
      </c>
      <c r="I759" s="21">
        <f>Table1[[#This Row],[BRUTTO_monthly_bill_eur]]/1.19</f>
        <v>62.260504201680675</v>
      </c>
      <c r="J759" s="21">
        <f>Table1[[#This Row],[monthly_consumption_kwh]]*Table1[[#This Row],[NETTO_procurement_cost_ct_per_kwh]]/100</f>
        <v>42.150399999999998</v>
      </c>
      <c r="K759" s="21">
        <f>Table1[[#This Row],[NETTO_monthly_revenue(€)]]-Table1[[#This Row],[procurement_cost_(€)]]</f>
        <v>20.110104201680677</v>
      </c>
      <c r="L759" s="21">
        <f t="shared" si="33"/>
        <v>11.297811349258808</v>
      </c>
      <c r="M759" s="21" t="str">
        <f t="shared" si="34"/>
        <v>13.09.2024</v>
      </c>
      <c r="N759" s="21">
        <f t="shared" si="35"/>
        <v>62.260504201680675</v>
      </c>
    </row>
    <row r="760" spans="1:14">
      <c r="A760" s="9" t="s">
        <v>1255</v>
      </c>
      <c r="B760" s="8">
        <v>24</v>
      </c>
      <c r="C760" s="8" t="s">
        <v>51</v>
      </c>
      <c r="D760" s="8" t="s">
        <v>56</v>
      </c>
      <c r="E760" s="8" t="s">
        <v>976</v>
      </c>
      <c r="F760" s="8">
        <v>511</v>
      </c>
      <c r="G760" s="8">
        <v>171.34</v>
      </c>
      <c r="H760" s="10">
        <v>16.75</v>
      </c>
      <c r="I760" s="21">
        <f>Table1[[#This Row],[BRUTTO_monthly_bill_eur]]/1.19</f>
        <v>143.98319327731093</v>
      </c>
      <c r="J760" s="21">
        <f>Table1[[#This Row],[monthly_consumption_kwh]]*Table1[[#This Row],[NETTO_procurement_cost_ct_per_kwh]]/100</f>
        <v>85.592500000000001</v>
      </c>
      <c r="K760" s="21">
        <f>Table1[[#This Row],[NETTO_monthly_revenue(€)]]-Table1[[#This Row],[procurement_cost_(€)]]</f>
        <v>58.39069327731093</v>
      </c>
      <c r="L760" s="21">
        <f t="shared" si="33"/>
        <v>11.426750152115641</v>
      </c>
      <c r="M760" s="21" t="str">
        <f t="shared" si="34"/>
        <v>27.01.2024</v>
      </c>
      <c r="N760" s="21">
        <f t="shared" si="35"/>
        <v>143.98319327731093</v>
      </c>
    </row>
    <row r="761" spans="1:14">
      <c r="A761" s="9" t="s">
        <v>1256</v>
      </c>
      <c r="B761" s="8">
        <v>24</v>
      </c>
      <c r="C761" s="8" t="s">
        <v>51</v>
      </c>
      <c r="D761" s="8" t="s">
        <v>36</v>
      </c>
      <c r="E761" s="8" t="s">
        <v>219</v>
      </c>
      <c r="F761" s="8">
        <v>380</v>
      </c>
      <c r="G761" s="8">
        <v>139.21</v>
      </c>
      <c r="H761" s="10">
        <v>16.7</v>
      </c>
      <c r="I761" s="21">
        <f>Table1[[#This Row],[BRUTTO_monthly_bill_eur]]/1.19</f>
        <v>116.98319327731093</v>
      </c>
      <c r="J761" s="21">
        <f>Table1[[#This Row],[monthly_consumption_kwh]]*Table1[[#This Row],[NETTO_procurement_cost_ct_per_kwh]]/100</f>
        <v>63.46</v>
      </c>
      <c r="K761" s="21">
        <f>Table1[[#This Row],[NETTO_monthly_revenue(€)]]-Table1[[#This Row],[procurement_cost_(€)]]</f>
        <v>53.523193277310931</v>
      </c>
      <c r="L761" s="21">
        <f t="shared" si="33"/>
        <v>14.085050862450247</v>
      </c>
      <c r="M761" s="21" t="str">
        <f t="shared" si="34"/>
        <v>03.04.2024</v>
      </c>
      <c r="N761" s="21">
        <f t="shared" si="35"/>
        <v>116.98319327731093</v>
      </c>
    </row>
    <row r="762" spans="1:14">
      <c r="A762" s="9" t="s">
        <v>1257</v>
      </c>
      <c r="B762" s="8">
        <v>12</v>
      </c>
      <c r="C762" s="8" t="s">
        <v>35</v>
      </c>
      <c r="D762" s="8" t="s">
        <v>36</v>
      </c>
      <c r="E762" s="8" t="s">
        <v>1258</v>
      </c>
      <c r="F762" s="8">
        <v>169</v>
      </c>
      <c r="G762" s="8">
        <v>67.319999999999993</v>
      </c>
      <c r="H762" s="10">
        <v>24.3</v>
      </c>
      <c r="I762" s="21">
        <f>Table1[[#This Row],[BRUTTO_monthly_bill_eur]]/1.19</f>
        <v>56.571428571428569</v>
      </c>
      <c r="J762" s="21">
        <f>Table1[[#This Row],[monthly_consumption_kwh]]*Table1[[#This Row],[NETTO_procurement_cost_ct_per_kwh]]/100</f>
        <v>41.067</v>
      </c>
      <c r="K762" s="21">
        <f>Table1[[#This Row],[NETTO_monthly_revenue(€)]]-Table1[[#This Row],[procurement_cost_(€)]]</f>
        <v>15.504428571428569</v>
      </c>
      <c r="L762" s="21">
        <f t="shared" si="33"/>
        <v>9.1742180896027037</v>
      </c>
      <c r="M762" s="21" t="str">
        <f t="shared" si="34"/>
        <v>2024-08</v>
      </c>
      <c r="N762" s="21">
        <f t="shared" si="35"/>
        <v>56.571428571428569</v>
      </c>
    </row>
    <row r="763" spans="1:14">
      <c r="A763" s="9" t="s">
        <v>1259</v>
      </c>
      <c r="B763" s="8">
        <v>12</v>
      </c>
      <c r="C763" s="8" t="s">
        <v>39</v>
      </c>
      <c r="D763" s="8" t="s">
        <v>36</v>
      </c>
      <c r="E763" s="8" t="s">
        <v>340</v>
      </c>
      <c r="F763" s="8">
        <v>118</v>
      </c>
      <c r="G763" s="8">
        <v>57.93</v>
      </c>
      <c r="H763" s="10">
        <v>29.57</v>
      </c>
      <c r="I763" s="21">
        <f>Table1[[#This Row],[BRUTTO_monthly_bill_eur]]/1.19</f>
        <v>48.680672268907564</v>
      </c>
      <c r="J763" s="21">
        <f>Table1[[#This Row],[monthly_consumption_kwh]]*Table1[[#This Row],[NETTO_procurement_cost_ct_per_kwh]]/100</f>
        <v>34.892600000000002</v>
      </c>
      <c r="K763" s="21">
        <f>Table1[[#This Row],[NETTO_monthly_revenue(€)]]-Table1[[#This Row],[procurement_cost_(€)]]</f>
        <v>13.788072268907563</v>
      </c>
      <c r="L763" s="21">
        <f t="shared" si="33"/>
        <v>11.684807007548782</v>
      </c>
      <c r="M763" s="21" t="str">
        <f t="shared" si="34"/>
        <v>22.01.2024</v>
      </c>
      <c r="N763" s="21">
        <f t="shared" si="35"/>
        <v>48.680672268907564</v>
      </c>
    </row>
    <row r="764" spans="1:14">
      <c r="A764" s="9" t="s">
        <v>1260</v>
      </c>
      <c r="B764" s="8">
        <v>12</v>
      </c>
      <c r="C764" s="8" t="s">
        <v>51</v>
      </c>
      <c r="D764" s="8" t="s">
        <v>36</v>
      </c>
      <c r="E764" s="8" t="s">
        <v>1261</v>
      </c>
      <c r="F764" s="8">
        <v>432</v>
      </c>
      <c r="G764" s="8">
        <v>148.18</v>
      </c>
      <c r="H764" s="10">
        <v>16.64</v>
      </c>
      <c r="I764" s="21">
        <f>Table1[[#This Row],[BRUTTO_monthly_bill_eur]]/1.19</f>
        <v>124.52100840336135</v>
      </c>
      <c r="J764" s="21">
        <f>Table1[[#This Row],[monthly_consumption_kwh]]*Table1[[#This Row],[NETTO_procurement_cost_ct_per_kwh]]/100</f>
        <v>71.884799999999998</v>
      </c>
      <c r="K764" s="21">
        <f>Table1[[#This Row],[NETTO_monthly_revenue(€)]]-Table1[[#This Row],[procurement_cost_(€)]]</f>
        <v>52.636208403361351</v>
      </c>
      <c r="L764" s="21">
        <f t="shared" si="33"/>
        <v>12.184307500778091</v>
      </c>
      <c r="M764" s="21" t="str">
        <f t="shared" si="34"/>
        <v>02.10.2024</v>
      </c>
      <c r="N764" s="21">
        <f t="shared" si="35"/>
        <v>124.52100840336135</v>
      </c>
    </row>
    <row r="765" spans="1:14">
      <c r="A765" s="9" t="s">
        <v>1262</v>
      </c>
      <c r="B765" s="8">
        <v>24</v>
      </c>
      <c r="C765" s="8" t="s">
        <v>39</v>
      </c>
      <c r="D765" s="8" t="s">
        <v>36</v>
      </c>
      <c r="E765" s="8" t="s">
        <v>947</v>
      </c>
      <c r="F765" s="8">
        <v>124</v>
      </c>
      <c r="G765" s="8">
        <v>53.21</v>
      </c>
      <c r="H765" s="10">
        <v>30.33</v>
      </c>
      <c r="I765" s="21">
        <f>Table1[[#This Row],[BRUTTO_monthly_bill_eur]]/1.19</f>
        <v>44.714285714285715</v>
      </c>
      <c r="J765" s="21">
        <f>Table1[[#This Row],[monthly_consumption_kwh]]*Table1[[#This Row],[NETTO_procurement_cost_ct_per_kwh]]/100</f>
        <v>37.609199999999994</v>
      </c>
      <c r="K765" s="21">
        <f>Table1[[#This Row],[NETTO_monthly_revenue(€)]]-Table1[[#This Row],[procurement_cost_(€)]]</f>
        <v>7.1050857142857211</v>
      </c>
      <c r="L765" s="21">
        <f t="shared" si="33"/>
        <v>5.7299078341013878</v>
      </c>
      <c r="M765" s="21" t="str">
        <f t="shared" si="34"/>
        <v>11.02.2024</v>
      </c>
      <c r="N765" s="21">
        <f t="shared" si="35"/>
        <v>44.714285714285715</v>
      </c>
    </row>
    <row r="766" spans="1:14">
      <c r="A766" s="9" t="s">
        <v>1263</v>
      </c>
      <c r="B766" s="8">
        <v>12</v>
      </c>
      <c r="C766" s="8" t="s">
        <v>51</v>
      </c>
      <c r="D766" s="8" t="s">
        <v>36</v>
      </c>
      <c r="E766" s="8" t="s">
        <v>1264</v>
      </c>
      <c r="F766" s="8">
        <v>526</v>
      </c>
      <c r="G766" s="8">
        <v>177.38</v>
      </c>
      <c r="H766" s="10">
        <v>18.559999999999999</v>
      </c>
      <c r="I766" s="21">
        <f>Table1[[#This Row],[BRUTTO_monthly_bill_eur]]/1.19</f>
        <v>149.05882352941177</v>
      </c>
      <c r="J766" s="21">
        <f>Table1[[#This Row],[monthly_consumption_kwh]]*Table1[[#This Row],[NETTO_procurement_cost_ct_per_kwh]]/100</f>
        <v>97.625599999999991</v>
      </c>
      <c r="K766" s="21">
        <f>Table1[[#This Row],[NETTO_monthly_revenue(€)]]-Table1[[#This Row],[procurement_cost_(€)]]</f>
        <v>51.433223529411777</v>
      </c>
      <c r="L766" s="21">
        <f t="shared" si="33"/>
        <v>9.7781793782151674</v>
      </c>
      <c r="M766" s="21" t="str">
        <f t="shared" si="34"/>
        <v>28.06.2024</v>
      </c>
      <c r="N766" s="21">
        <f t="shared" si="35"/>
        <v>149.05882352941177</v>
      </c>
    </row>
    <row r="767" spans="1:14">
      <c r="A767" s="9" t="s">
        <v>1265</v>
      </c>
      <c r="B767" s="8">
        <v>24</v>
      </c>
      <c r="C767" s="8" t="s">
        <v>35</v>
      </c>
      <c r="D767" s="8" t="s">
        <v>36</v>
      </c>
      <c r="E767" s="8" t="s">
        <v>646</v>
      </c>
      <c r="F767" s="8">
        <v>174</v>
      </c>
      <c r="G767" s="8">
        <v>71.819999999999993</v>
      </c>
      <c r="H767" s="10">
        <v>25.15</v>
      </c>
      <c r="I767" s="21">
        <f>Table1[[#This Row],[BRUTTO_monthly_bill_eur]]/1.19</f>
        <v>60.352941176470587</v>
      </c>
      <c r="J767" s="21">
        <f>Table1[[#This Row],[monthly_consumption_kwh]]*Table1[[#This Row],[NETTO_procurement_cost_ct_per_kwh]]/100</f>
        <v>43.760999999999996</v>
      </c>
      <c r="K767" s="21">
        <f>Table1[[#This Row],[NETTO_monthly_revenue(€)]]-Table1[[#This Row],[procurement_cost_(€)]]</f>
        <v>16.591941176470591</v>
      </c>
      <c r="L767" s="21">
        <f t="shared" si="33"/>
        <v>9.5355983772819499</v>
      </c>
      <c r="M767" s="21" t="str">
        <f t="shared" si="34"/>
        <v>26.04.2025</v>
      </c>
      <c r="N767" s="21">
        <f t="shared" si="35"/>
        <v>60.352941176470587</v>
      </c>
    </row>
    <row r="768" spans="1:14">
      <c r="A768" s="9" t="s">
        <v>1266</v>
      </c>
      <c r="B768" s="8">
        <v>24</v>
      </c>
      <c r="C768" s="8" t="s">
        <v>35</v>
      </c>
      <c r="D768" s="8" t="s">
        <v>56</v>
      </c>
      <c r="E768" s="8" t="s">
        <v>1267</v>
      </c>
      <c r="F768" s="8">
        <v>187</v>
      </c>
      <c r="G768" s="8">
        <v>78.78</v>
      </c>
      <c r="H768" s="10">
        <v>23.23</v>
      </c>
      <c r="I768" s="21">
        <f>Table1[[#This Row],[BRUTTO_monthly_bill_eur]]/1.19</f>
        <v>66.201680672268907</v>
      </c>
      <c r="J768" s="21">
        <f>Table1[[#This Row],[monthly_consumption_kwh]]*Table1[[#This Row],[NETTO_procurement_cost_ct_per_kwh]]/100</f>
        <v>43.440100000000001</v>
      </c>
      <c r="K768" s="21">
        <f>Table1[[#This Row],[NETTO_monthly_revenue(€)]]-Table1[[#This Row],[procurement_cost_(€)]]</f>
        <v>22.761580672268906</v>
      </c>
      <c r="L768" s="21">
        <f t="shared" si="33"/>
        <v>12.171968273940591</v>
      </c>
      <c r="M768" s="21" t="str">
        <f t="shared" si="34"/>
        <v>2025-06</v>
      </c>
      <c r="N768" s="21">
        <f t="shared" si="35"/>
        <v>66.201680672268907</v>
      </c>
    </row>
    <row r="769" spans="1:14">
      <c r="A769" s="9" t="s">
        <v>1268</v>
      </c>
      <c r="B769" s="8">
        <v>24</v>
      </c>
      <c r="C769" s="8" t="s">
        <v>39</v>
      </c>
      <c r="D769" s="8" t="s">
        <v>36</v>
      </c>
      <c r="E769" s="8" t="s">
        <v>1269</v>
      </c>
      <c r="F769" s="8">
        <v>130</v>
      </c>
      <c r="G769" s="8">
        <v>56.7</v>
      </c>
      <c r="H769" s="10">
        <v>28.16</v>
      </c>
      <c r="I769" s="21">
        <f>Table1[[#This Row],[BRUTTO_monthly_bill_eur]]/1.19</f>
        <v>47.647058823529413</v>
      </c>
      <c r="J769" s="21">
        <f>Table1[[#This Row],[monthly_consumption_kwh]]*Table1[[#This Row],[NETTO_procurement_cost_ct_per_kwh]]/100</f>
        <v>36.608000000000004</v>
      </c>
      <c r="K769" s="21">
        <f>Table1[[#This Row],[NETTO_monthly_revenue(€)]]-Table1[[#This Row],[procurement_cost_(€)]]</f>
        <v>11.039058823529409</v>
      </c>
      <c r="L769" s="21">
        <f t="shared" si="33"/>
        <v>8.4915837104072374</v>
      </c>
      <c r="M769" s="21" t="str">
        <f t="shared" si="34"/>
        <v>2025-03</v>
      </c>
      <c r="N769" s="21">
        <f t="shared" si="35"/>
        <v>47.647058823529413</v>
      </c>
    </row>
    <row r="770" spans="1:14">
      <c r="A770" s="9" t="s">
        <v>1270</v>
      </c>
      <c r="B770" s="8">
        <v>12</v>
      </c>
      <c r="C770" s="8" t="s">
        <v>35</v>
      </c>
      <c r="D770" s="8" t="s">
        <v>46</v>
      </c>
      <c r="E770" s="8" t="s">
        <v>81</v>
      </c>
      <c r="F770" s="8">
        <v>224</v>
      </c>
      <c r="G770" s="8">
        <v>89.8</v>
      </c>
      <c r="H770" s="10">
        <v>24.35</v>
      </c>
      <c r="I770" s="21">
        <f>Table1[[#This Row],[BRUTTO_monthly_bill_eur]]/1.19</f>
        <v>75.462184873949582</v>
      </c>
      <c r="J770" s="21">
        <f>Table1[[#This Row],[monthly_consumption_kwh]]*Table1[[#This Row],[NETTO_procurement_cost_ct_per_kwh]]/100</f>
        <v>54.544000000000004</v>
      </c>
      <c r="K770" s="21">
        <f>Table1[[#This Row],[NETTO_monthly_revenue(€)]]-Table1[[#This Row],[procurement_cost_(€)]]</f>
        <v>20.918184873949578</v>
      </c>
      <c r="L770" s="21">
        <f t="shared" ref="L770:L801" si="36">IF(F770=0,"",K770/F770*100)</f>
        <v>9.3384753901560611</v>
      </c>
      <c r="M770" s="21" t="str">
        <f t="shared" ref="M770:M801" si="37">TEXT(E770,"yyyy-mm")</f>
        <v>11.10.2024</v>
      </c>
      <c r="N770" s="21">
        <f t="shared" ref="N770:N801" si="38">G770/1.19</f>
        <v>75.462184873949582</v>
      </c>
    </row>
    <row r="771" spans="1:14">
      <c r="A771" s="9" t="s">
        <v>1271</v>
      </c>
      <c r="B771" s="8">
        <v>24</v>
      </c>
      <c r="C771" s="8" t="s">
        <v>35</v>
      </c>
      <c r="D771" s="8" t="s">
        <v>36</v>
      </c>
      <c r="E771" s="8" t="s">
        <v>1272</v>
      </c>
      <c r="F771" s="8">
        <v>288</v>
      </c>
      <c r="G771" s="8">
        <v>110.26</v>
      </c>
      <c r="H771" s="10">
        <v>23.59</v>
      </c>
      <c r="I771" s="21">
        <f>Table1[[#This Row],[BRUTTO_monthly_bill_eur]]/1.19</f>
        <v>92.655462184873954</v>
      </c>
      <c r="J771" s="21">
        <f>Table1[[#This Row],[monthly_consumption_kwh]]*Table1[[#This Row],[NETTO_procurement_cost_ct_per_kwh]]/100</f>
        <v>67.9392</v>
      </c>
      <c r="K771" s="21">
        <f>Table1[[#This Row],[NETTO_monthly_revenue(€)]]-Table1[[#This Row],[procurement_cost_(€)]]</f>
        <v>24.716262184873955</v>
      </c>
      <c r="L771" s="21">
        <f t="shared" si="36"/>
        <v>8.5820354808590125</v>
      </c>
      <c r="M771" s="21" t="str">
        <f t="shared" si="37"/>
        <v>04.07.2024</v>
      </c>
      <c r="N771" s="21">
        <f t="shared" si="38"/>
        <v>92.655462184873954</v>
      </c>
    </row>
    <row r="772" spans="1:14">
      <c r="A772" s="9" t="s">
        <v>1273</v>
      </c>
      <c r="B772" s="8">
        <v>12</v>
      </c>
      <c r="C772" s="8" t="s">
        <v>35</v>
      </c>
      <c r="D772" s="8" t="s">
        <v>46</v>
      </c>
      <c r="E772" s="8" t="s">
        <v>691</v>
      </c>
      <c r="F772" s="8">
        <v>275</v>
      </c>
      <c r="G772" s="8">
        <v>101.04</v>
      </c>
      <c r="H772" s="10">
        <v>25.9</v>
      </c>
      <c r="I772" s="21">
        <f>Table1[[#This Row],[BRUTTO_monthly_bill_eur]]/1.19</f>
        <v>84.907563025210095</v>
      </c>
      <c r="J772" s="21">
        <f>Table1[[#This Row],[monthly_consumption_kwh]]*Table1[[#This Row],[NETTO_procurement_cost_ct_per_kwh]]/100</f>
        <v>71.224999999999994</v>
      </c>
      <c r="K772" s="21">
        <f>Table1[[#This Row],[NETTO_monthly_revenue(€)]]-Table1[[#This Row],[procurement_cost_(€)]]</f>
        <v>13.682563025210101</v>
      </c>
      <c r="L772" s="21">
        <f t="shared" si="36"/>
        <v>4.9754774637127639</v>
      </c>
      <c r="M772" s="21" t="str">
        <f t="shared" si="37"/>
        <v>22.03.2025</v>
      </c>
      <c r="N772" s="21">
        <f t="shared" si="38"/>
        <v>84.907563025210095</v>
      </c>
    </row>
    <row r="773" spans="1:14">
      <c r="A773" s="9" t="s">
        <v>1274</v>
      </c>
      <c r="B773" s="8">
        <v>24</v>
      </c>
      <c r="C773" s="8" t="s">
        <v>39</v>
      </c>
      <c r="D773" s="8" t="s">
        <v>36</v>
      </c>
      <c r="E773" s="8" t="s">
        <v>1155</v>
      </c>
      <c r="F773" s="8">
        <v>154</v>
      </c>
      <c r="G773" s="8">
        <v>63.36</v>
      </c>
      <c r="H773" s="10">
        <v>32.18</v>
      </c>
      <c r="I773" s="21">
        <f>Table1[[#This Row],[BRUTTO_monthly_bill_eur]]/1.19</f>
        <v>53.243697478991599</v>
      </c>
      <c r="J773" s="21">
        <f>Table1[[#This Row],[monthly_consumption_kwh]]*Table1[[#This Row],[NETTO_procurement_cost_ct_per_kwh]]/100</f>
        <v>49.557200000000002</v>
      </c>
      <c r="K773" s="21">
        <f>Table1[[#This Row],[NETTO_monthly_revenue(€)]]-Table1[[#This Row],[procurement_cost_(€)]]</f>
        <v>3.6864974789915976</v>
      </c>
      <c r="L773" s="21">
        <f t="shared" si="36"/>
        <v>2.3938295318127261</v>
      </c>
      <c r="M773" s="21" t="str">
        <f t="shared" si="37"/>
        <v>18.05.2025</v>
      </c>
      <c r="N773" s="21">
        <f t="shared" si="38"/>
        <v>53.243697478991599</v>
      </c>
    </row>
    <row r="774" spans="1:14">
      <c r="A774" s="9" t="s">
        <v>1275</v>
      </c>
      <c r="B774" s="8">
        <v>12</v>
      </c>
      <c r="C774" s="8" t="s">
        <v>35</v>
      </c>
      <c r="D774" s="8" t="s">
        <v>36</v>
      </c>
      <c r="E774" s="8" t="s">
        <v>219</v>
      </c>
      <c r="F774" s="8">
        <v>282</v>
      </c>
      <c r="G774" s="8">
        <v>104.71</v>
      </c>
      <c r="H774" s="10">
        <v>23.1</v>
      </c>
      <c r="I774" s="21">
        <f>Table1[[#This Row],[BRUTTO_monthly_bill_eur]]/1.19</f>
        <v>87.991596638655466</v>
      </c>
      <c r="J774" s="21">
        <f>Table1[[#This Row],[monthly_consumption_kwh]]*Table1[[#This Row],[NETTO_procurement_cost_ct_per_kwh]]/100</f>
        <v>65.14200000000001</v>
      </c>
      <c r="K774" s="21">
        <f>Table1[[#This Row],[NETTO_monthly_revenue(€)]]-Table1[[#This Row],[procurement_cost_(€)]]</f>
        <v>22.849596638655456</v>
      </c>
      <c r="L774" s="21">
        <f t="shared" si="36"/>
        <v>8.1026938434948423</v>
      </c>
      <c r="M774" s="21" t="str">
        <f t="shared" si="37"/>
        <v>03.04.2024</v>
      </c>
      <c r="N774" s="21">
        <f t="shared" si="38"/>
        <v>87.991596638655466</v>
      </c>
    </row>
    <row r="775" spans="1:14">
      <c r="A775" s="9" t="s">
        <v>1276</v>
      </c>
      <c r="B775" s="8">
        <v>12</v>
      </c>
      <c r="C775" s="8" t="s">
        <v>51</v>
      </c>
      <c r="D775" s="8" t="s">
        <v>36</v>
      </c>
      <c r="E775" s="8" t="s">
        <v>646</v>
      </c>
      <c r="F775" s="8">
        <v>477</v>
      </c>
      <c r="G775" s="8">
        <v>165.51</v>
      </c>
      <c r="H775" s="10">
        <v>20.05</v>
      </c>
      <c r="I775" s="21">
        <f>Table1[[#This Row],[BRUTTO_monthly_bill_eur]]/1.19</f>
        <v>139.08403361344537</v>
      </c>
      <c r="J775" s="21">
        <f>Table1[[#This Row],[monthly_consumption_kwh]]*Table1[[#This Row],[NETTO_procurement_cost_ct_per_kwh]]/100</f>
        <v>95.638500000000008</v>
      </c>
      <c r="K775" s="21">
        <f>Table1[[#This Row],[NETTO_monthly_revenue(€)]]-Table1[[#This Row],[procurement_cost_(€)]]</f>
        <v>43.445533613445363</v>
      </c>
      <c r="L775" s="21">
        <f t="shared" si="36"/>
        <v>9.1080783256698865</v>
      </c>
      <c r="M775" s="21" t="str">
        <f t="shared" si="37"/>
        <v>26.04.2025</v>
      </c>
      <c r="N775" s="21">
        <f t="shared" si="38"/>
        <v>139.08403361344537</v>
      </c>
    </row>
    <row r="776" spans="1:14">
      <c r="A776" s="9" t="s">
        <v>1277</v>
      </c>
      <c r="B776" s="8">
        <v>24</v>
      </c>
      <c r="C776" s="8" t="s">
        <v>39</v>
      </c>
      <c r="D776" s="8" t="s">
        <v>36</v>
      </c>
      <c r="E776" s="8" t="s">
        <v>1278</v>
      </c>
      <c r="F776" s="8">
        <v>140</v>
      </c>
      <c r="G776" s="8">
        <v>60.76</v>
      </c>
      <c r="H776" s="10">
        <v>29.09</v>
      </c>
      <c r="I776" s="21">
        <f>Table1[[#This Row],[BRUTTO_monthly_bill_eur]]/1.19</f>
        <v>51.058823529411768</v>
      </c>
      <c r="J776" s="21">
        <f>Table1[[#This Row],[monthly_consumption_kwh]]*Table1[[#This Row],[NETTO_procurement_cost_ct_per_kwh]]/100</f>
        <v>40.725999999999999</v>
      </c>
      <c r="K776" s="21">
        <f>Table1[[#This Row],[NETTO_monthly_revenue(€)]]-Table1[[#This Row],[procurement_cost_(€)]]</f>
        <v>10.332823529411769</v>
      </c>
      <c r="L776" s="21">
        <f t="shared" si="36"/>
        <v>7.3805882352941206</v>
      </c>
      <c r="M776" s="21" t="str">
        <f t="shared" si="37"/>
        <v>22.12.2024</v>
      </c>
      <c r="N776" s="21">
        <f t="shared" si="38"/>
        <v>51.058823529411768</v>
      </c>
    </row>
    <row r="777" spans="1:14">
      <c r="A777" s="9" t="s">
        <v>1279</v>
      </c>
      <c r="B777" s="8">
        <v>12</v>
      </c>
      <c r="C777" s="8" t="s">
        <v>39</v>
      </c>
      <c r="D777" s="8" t="s">
        <v>36</v>
      </c>
      <c r="E777" s="8" t="s">
        <v>1201</v>
      </c>
      <c r="F777" s="8">
        <v>106</v>
      </c>
      <c r="G777" s="8">
        <v>48.61</v>
      </c>
      <c r="H777" s="10">
        <v>31.62</v>
      </c>
      <c r="I777" s="21">
        <f>Table1[[#This Row],[BRUTTO_monthly_bill_eur]]/1.19</f>
        <v>40.84873949579832</v>
      </c>
      <c r="J777" s="21">
        <f>Table1[[#This Row],[monthly_consumption_kwh]]*Table1[[#This Row],[NETTO_procurement_cost_ct_per_kwh]]/100</f>
        <v>33.517200000000003</v>
      </c>
      <c r="K777" s="21">
        <f>Table1[[#This Row],[NETTO_monthly_revenue(€)]]-Table1[[#This Row],[procurement_cost_(€)]]</f>
        <v>7.3315394957983173</v>
      </c>
      <c r="L777" s="21">
        <f t="shared" si="36"/>
        <v>6.9165466941493561</v>
      </c>
      <c r="M777" s="21" t="str">
        <f t="shared" si="37"/>
        <v>22.02.2025</v>
      </c>
      <c r="N777" s="21">
        <f t="shared" si="38"/>
        <v>40.84873949579832</v>
      </c>
    </row>
    <row r="778" spans="1:14">
      <c r="A778" s="9" t="s">
        <v>1280</v>
      </c>
      <c r="B778" s="8">
        <v>12</v>
      </c>
      <c r="C778" s="8" t="s">
        <v>39</v>
      </c>
      <c r="D778" s="8" t="s">
        <v>46</v>
      </c>
      <c r="E778" s="8" t="s">
        <v>583</v>
      </c>
      <c r="F778" s="8">
        <v>109</v>
      </c>
      <c r="G778" s="8">
        <v>48.83</v>
      </c>
      <c r="H778" s="10">
        <v>29.5</v>
      </c>
      <c r="I778" s="21">
        <f>Table1[[#This Row],[BRUTTO_monthly_bill_eur]]/1.19</f>
        <v>41.033613445378151</v>
      </c>
      <c r="J778" s="21">
        <f>Table1[[#This Row],[monthly_consumption_kwh]]*Table1[[#This Row],[NETTO_procurement_cost_ct_per_kwh]]/100</f>
        <v>32.155000000000001</v>
      </c>
      <c r="K778" s="21">
        <f>Table1[[#This Row],[NETTO_monthly_revenue(€)]]-Table1[[#This Row],[procurement_cost_(€)]]</f>
        <v>8.87861344537815</v>
      </c>
      <c r="L778" s="21">
        <f t="shared" si="36"/>
        <v>8.1455169223652764</v>
      </c>
      <c r="M778" s="21" t="str">
        <f t="shared" si="37"/>
        <v>07.12.2024</v>
      </c>
      <c r="N778" s="21">
        <f t="shared" si="38"/>
        <v>41.033613445378151</v>
      </c>
    </row>
    <row r="779" spans="1:14">
      <c r="A779" s="9" t="s">
        <v>1281</v>
      </c>
      <c r="B779" s="8">
        <v>24</v>
      </c>
      <c r="C779" s="8" t="s">
        <v>35</v>
      </c>
      <c r="D779" s="8" t="s">
        <v>56</v>
      </c>
      <c r="E779" s="8" t="s">
        <v>1282</v>
      </c>
      <c r="F779" s="8">
        <v>298</v>
      </c>
      <c r="G779" s="8">
        <v>113.21</v>
      </c>
      <c r="H779" s="10">
        <v>24.2</v>
      </c>
      <c r="I779" s="21">
        <f>Table1[[#This Row],[BRUTTO_monthly_bill_eur]]/1.19</f>
        <v>95.134453781512605</v>
      </c>
      <c r="J779" s="21">
        <f>Table1[[#This Row],[monthly_consumption_kwh]]*Table1[[#This Row],[NETTO_procurement_cost_ct_per_kwh]]/100</f>
        <v>72.116</v>
      </c>
      <c r="K779" s="21">
        <f>Table1[[#This Row],[NETTO_monthly_revenue(€)]]-Table1[[#This Row],[procurement_cost_(€)]]</f>
        <v>23.018453781512605</v>
      </c>
      <c r="L779" s="21">
        <f t="shared" si="36"/>
        <v>7.7243133495008749</v>
      </c>
      <c r="M779" s="21" t="str">
        <f t="shared" si="37"/>
        <v>24.11.2024</v>
      </c>
      <c r="N779" s="21">
        <f t="shared" si="38"/>
        <v>95.134453781512605</v>
      </c>
    </row>
    <row r="780" spans="1:14">
      <c r="A780" s="9" t="s">
        <v>1283</v>
      </c>
      <c r="B780" s="8">
        <v>24</v>
      </c>
      <c r="C780" s="8" t="s">
        <v>35</v>
      </c>
      <c r="D780" s="8" t="s">
        <v>56</v>
      </c>
      <c r="E780" s="8" t="s">
        <v>1284</v>
      </c>
      <c r="F780" s="8">
        <v>241</v>
      </c>
      <c r="G780" s="8">
        <v>93.39</v>
      </c>
      <c r="H780" s="10">
        <v>22.2</v>
      </c>
      <c r="I780" s="21">
        <f>Table1[[#This Row],[BRUTTO_monthly_bill_eur]]/1.19</f>
        <v>78.478991596638664</v>
      </c>
      <c r="J780" s="21">
        <f>Table1[[#This Row],[monthly_consumption_kwh]]*Table1[[#This Row],[NETTO_procurement_cost_ct_per_kwh]]/100</f>
        <v>53.501999999999995</v>
      </c>
      <c r="K780" s="21">
        <f>Table1[[#This Row],[NETTO_monthly_revenue(€)]]-Table1[[#This Row],[procurement_cost_(€)]]</f>
        <v>24.976991596638669</v>
      </c>
      <c r="L780" s="21">
        <f t="shared" si="36"/>
        <v>10.363896928065838</v>
      </c>
      <c r="M780" s="21" t="str">
        <f t="shared" si="37"/>
        <v>17.04.2024</v>
      </c>
      <c r="N780" s="21">
        <f t="shared" si="38"/>
        <v>78.478991596638664</v>
      </c>
    </row>
    <row r="781" spans="1:14">
      <c r="A781" s="9" t="s">
        <v>1285</v>
      </c>
      <c r="B781" s="8">
        <v>24</v>
      </c>
      <c r="C781" s="8" t="s">
        <v>35</v>
      </c>
      <c r="D781" s="8" t="s">
        <v>46</v>
      </c>
      <c r="E781" s="8" t="s">
        <v>1286</v>
      </c>
      <c r="F781" s="8">
        <v>300</v>
      </c>
      <c r="G781" s="8">
        <v>110.34</v>
      </c>
      <c r="H781" s="10">
        <v>25.7</v>
      </c>
      <c r="I781" s="21">
        <f>Table1[[#This Row],[BRUTTO_monthly_bill_eur]]/1.19</f>
        <v>92.722689075630257</v>
      </c>
      <c r="J781" s="21">
        <f>Table1[[#This Row],[monthly_consumption_kwh]]*Table1[[#This Row],[NETTO_procurement_cost_ct_per_kwh]]/100</f>
        <v>77.099999999999994</v>
      </c>
      <c r="K781" s="21">
        <f>Table1[[#This Row],[NETTO_monthly_revenue(€)]]-Table1[[#This Row],[procurement_cost_(€)]]</f>
        <v>15.622689075630262</v>
      </c>
      <c r="L781" s="21">
        <f t="shared" si="36"/>
        <v>5.2075630252100868</v>
      </c>
      <c r="M781" s="21" t="str">
        <f t="shared" si="37"/>
        <v>13.06.2024</v>
      </c>
      <c r="N781" s="21">
        <f t="shared" si="38"/>
        <v>92.722689075630257</v>
      </c>
    </row>
    <row r="782" spans="1:14">
      <c r="A782" s="9" t="s">
        <v>1287</v>
      </c>
      <c r="B782" s="8">
        <v>24</v>
      </c>
      <c r="C782" s="8" t="s">
        <v>39</v>
      </c>
      <c r="D782" s="8" t="s">
        <v>36</v>
      </c>
      <c r="E782" s="8" t="s">
        <v>1288</v>
      </c>
      <c r="F782" s="8">
        <v>152</v>
      </c>
      <c r="G782" s="8">
        <v>60.75</v>
      </c>
      <c r="H782" s="10">
        <v>31.33</v>
      </c>
      <c r="I782" s="21">
        <f>Table1[[#This Row],[BRUTTO_monthly_bill_eur]]/1.19</f>
        <v>51.050420168067227</v>
      </c>
      <c r="J782" s="21">
        <f>Table1[[#This Row],[monthly_consumption_kwh]]*Table1[[#This Row],[NETTO_procurement_cost_ct_per_kwh]]/100</f>
        <v>47.621600000000001</v>
      </c>
      <c r="K782" s="21">
        <f>Table1[[#This Row],[NETTO_monthly_revenue(€)]]-Table1[[#This Row],[procurement_cost_(€)]]</f>
        <v>3.4288201680672259</v>
      </c>
      <c r="L782" s="21">
        <f t="shared" si="36"/>
        <v>2.2558027421494908</v>
      </c>
      <c r="M782" s="21" t="str">
        <f t="shared" si="37"/>
        <v>03.12.2024</v>
      </c>
      <c r="N782" s="21">
        <f t="shared" si="38"/>
        <v>51.050420168067227</v>
      </c>
    </row>
    <row r="783" spans="1:14">
      <c r="A783" s="9" t="s">
        <v>1289</v>
      </c>
      <c r="B783" s="8">
        <v>12</v>
      </c>
      <c r="C783" s="8" t="s">
        <v>35</v>
      </c>
      <c r="D783" s="8" t="s">
        <v>36</v>
      </c>
      <c r="E783" s="8" t="s">
        <v>635</v>
      </c>
      <c r="F783" s="8">
        <v>309</v>
      </c>
      <c r="G783" s="8">
        <v>110.88</v>
      </c>
      <c r="H783" s="10">
        <v>25.22</v>
      </c>
      <c r="I783" s="21">
        <f>Table1[[#This Row],[BRUTTO_monthly_bill_eur]]/1.19</f>
        <v>93.17647058823529</v>
      </c>
      <c r="J783" s="21">
        <f>Table1[[#This Row],[monthly_consumption_kwh]]*Table1[[#This Row],[NETTO_procurement_cost_ct_per_kwh]]/100</f>
        <v>77.9298</v>
      </c>
      <c r="K783" s="21">
        <f>Table1[[#This Row],[NETTO_monthly_revenue(€)]]-Table1[[#This Row],[procurement_cost_(€)]]</f>
        <v>15.24667058823529</v>
      </c>
      <c r="L783" s="21">
        <f t="shared" si="36"/>
        <v>4.9341976013706441</v>
      </c>
      <c r="M783" s="21" t="str">
        <f t="shared" si="37"/>
        <v>25.02.2025</v>
      </c>
      <c r="N783" s="21">
        <f t="shared" si="38"/>
        <v>93.17647058823529</v>
      </c>
    </row>
    <row r="784" spans="1:14">
      <c r="A784" s="9" t="s">
        <v>1290</v>
      </c>
      <c r="B784" s="8">
        <v>12</v>
      </c>
      <c r="C784" s="8" t="s">
        <v>35</v>
      </c>
      <c r="D784" s="8" t="s">
        <v>36</v>
      </c>
      <c r="E784" s="8" t="s">
        <v>1291</v>
      </c>
      <c r="F784" s="8">
        <v>319</v>
      </c>
      <c r="G784" s="8">
        <v>120.46</v>
      </c>
      <c r="H784" s="10">
        <v>24.9</v>
      </c>
      <c r="I784" s="21">
        <f>Table1[[#This Row],[BRUTTO_monthly_bill_eur]]/1.19</f>
        <v>101.22689075630252</v>
      </c>
      <c r="J784" s="21">
        <f>Table1[[#This Row],[monthly_consumption_kwh]]*Table1[[#This Row],[NETTO_procurement_cost_ct_per_kwh]]/100</f>
        <v>79.430999999999997</v>
      </c>
      <c r="K784" s="21">
        <f>Table1[[#This Row],[NETTO_monthly_revenue(€)]]-Table1[[#This Row],[procurement_cost_(€)]]</f>
        <v>21.795890756302526</v>
      </c>
      <c r="L784" s="21">
        <f t="shared" si="36"/>
        <v>6.832567635204553</v>
      </c>
      <c r="M784" s="21" t="str">
        <f t="shared" si="37"/>
        <v>22.05.2025</v>
      </c>
      <c r="N784" s="21">
        <f t="shared" si="38"/>
        <v>101.22689075630252</v>
      </c>
    </row>
    <row r="785" spans="1:14">
      <c r="A785" s="9" t="s">
        <v>1292</v>
      </c>
      <c r="B785" s="8">
        <v>12</v>
      </c>
      <c r="C785" s="8" t="s">
        <v>35</v>
      </c>
      <c r="D785" s="8" t="s">
        <v>36</v>
      </c>
      <c r="E785" s="8" t="s">
        <v>1211</v>
      </c>
      <c r="F785" s="8">
        <v>238</v>
      </c>
      <c r="G785" s="8">
        <v>90.54</v>
      </c>
      <c r="H785" s="10">
        <v>22.9</v>
      </c>
      <c r="I785" s="21">
        <f>Table1[[#This Row],[BRUTTO_monthly_bill_eur]]/1.19</f>
        <v>76.084033613445385</v>
      </c>
      <c r="J785" s="21">
        <f>Table1[[#This Row],[monthly_consumption_kwh]]*Table1[[#This Row],[NETTO_procurement_cost_ct_per_kwh]]/100</f>
        <v>54.501999999999995</v>
      </c>
      <c r="K785" s="21">
        <f>Table1[[#This Row],[NETTO_monthly_revenue(€)]]-Table1[[#This Row],[procurement_cost_(€)]]</f>
        <v>21.58203361344539</v>
      </c>
      <c r="L785" s="21">
        <f t="shared" si="36"/>
        <v>9.0680813501871391</v>
      </c>
      <c r="M785" s="21" t="str">
        <f t="shared" si="37"/>
        <v>22.10.2024</v>
      </c>
      <c r="N785" s="21">
        <f t="shared" si="38"/>
        <v>76.084033613445385</v>
      </c>
    </row>
    <row r="786" spans="1:14">
      <c r="A786" s="9" t="s">
        <v>1293</v>
      </c>
      <c r="B786" s="8">
        <v>12</v>
      </c>
      <c r="C786" s="8" t="s">
        <v>51</v>
      </c>
      <c r="D786" s="8" t="s">
        <v>36</v>
      </c>
      <c r="E786" s="8" t="s">
        <v>179</v>
      </c>
      <c r="F786" s="8">
        <v>440</v>
      </c>
      <c r="G786" s="8">
        <v>146.38</v>
      </c>
      <c r="H786" s="10">
        <v>20.59</v>
      </c>
      <c r="I786" s="21">
        <f>Table1[[#This Row],[BRUTTO_monthly_bill_eur]]/1.19</f>
        <v>123.00840336134453</v>
      </c>
      <c r="J786" s="21">
        <f>Table1[[#This Row],[monthly_consumption_kwh]]*Table1[[#This Row],[NETTO_procurement_cost_ct_per_kwh]]/100</f>
        <v>90.596000000000004</v>
      </c>
      <c r="K786" s="21">
        <f>Table1[[#This Row],[NETTO_monthly_revenue(€)]]-Table1[[#This Row],[procurement_cost_(€)]]</f>
        <v>32.412403361344531</v>
      </c>
      <c r="L786" s="21">
        <f t="shared" si="36"/>
        <v>7.3664553093964846</v>
      </c>
      <c r="M786" s="21" t="str">
        <f t="shared" si="37"/>
        <v>14.02.2025</v>
      </c>
      <c r="N786" s="21">
        <f t="shared" si="38"/>
        <v>123.00840336134453</v>
      </c>
    </row>
    <row r="787" spans="1:14">
      <c r="A787" s="9" t="s">
        <v>1294</v>
      </c>
      <c r="B787" s="8">
        <v>24</v>
      </c>
      <c r="C787" s="8" t="s">
        <v>39</v>
      </c>
      <c r="D787" s="8" t="s">
        <v>36</v>
      </c>
      <c r="E787" s="8" t="s">
        <v>1295</v>
      </c>
      <c r="F787" s="8">
        <v>132</v>
      </c>
      <c r="G787" s="8">
        <v>55.5</v>
      </c>
      <c r="H787" s="10">
        <v>31.72</v>
      </c>
      <c r="I787" s="21">
        <f>Table1[[#This Row],[BRUTTO_monthly_bill_eur]]/1.19</f>
        <v>46.638655462184879</v>
      </c>
      <c r="J787" s="21">
        <f>Table1[[#This Row],[monthly_consumption_kwh]]*Table1[[#This Row],[NETTO_procurement_cost_ct_per_kwh]]/100</f>
        <v>41.870399999999997</v>
      </c>
      <c r="K787" s="21">
        <f>Table1[[#This Row],[NETTO_monthly_revenue(€)]]-Table1[[#This Row],[procurement_cost_(€)]]</f>
        <v>4.7682554621848823</v>
      </c>
      <c r="L787" s="21">
        <f t="shared" si="36"/>
        <v>3.6123147440794563</v>
      </c>
      <c r="M787" s="21" t="str">
        <f t="shared" si="37"/>
        <v>07.02.2024</v>
      </c>
      <c r="N787" s="21">
        <f t="shared" si="38"/>
        <v>46.638655462184879</v>
      </c>
    </row>
    <row r="788" spans="1:14">
      <c r="A788" s="9" t="s">
        <v>1296</v>
      </c>
      <c r="B788" s="8">
        <v>24</v>
      </c>
      <c r="C788" s="8" t="s">
        <v>35</v>
      </c>
      <c r="D788" s="8" t="s">
        <v>36</v>
      </c>
      <c r="E788" s="8" t="s">
        <v>448</v>
      </c>
      <c r="F788" s="8">
        <v>229</v>
      </c>
      <c r="G788" s="8">
        <v>92.16</v>
      </c>
      <c r="H788" s="10">
        <v>22.38</v>
      </c>
      <c r="I788" s="21">
        <f>Table1[[#This Row],[BRUTTO_monthly_bill_eur]]/1.19</f>
        <v>77.445378151260499</v>
      </c>
      <c r="J788" s="21">
        <f>Table1[[#This Row],[monthly_consumption_kwh]]*Table1[[#This Row],[NETTO_procurement_cost_ct_per_kwh]]/100</f>
        <v>51.250199999999992</v>
      </c>
      <c r="K788" s="21">
        <f>Table1[[#This Row],[NETTO_monthly_revenue(€)]]-Table1[[#This Row],[procurement_cost_(€)]]</f>
        <v>26.195178151260507</v>
      </c>
      <c r="L788" s="21">
        <f t="shared" si="36"/>
        <v>11.438942424131225</v>
      </c>
      <c r="M788" s="21" t="str">
        <f t="shared" si="37"/>
        <v>10.04.2025</v>
      </c>
      <c r="N788" s="21">
        <f t="shared" si="38"/>
        <v>77.445378151260499</v>
      </c>
    </row>
    <row r="789" spans="1:14">
      <c r="A789" s="9" t="s">
        <v>1297</v>
      </c>
      <c r="B789" s="8">
        <v>12</v>
      </c>
      <c r="C789" s="8" t="s">
        <v>35</v>
      </c>
      <c r="D789" s="8" t="s">
        <v>36</v>
      </c>
      <c r="E789" s="8" t="s">
        <v>1298</v>
      </c>
      <c r="F789" s="8">
        <v>267</v>
      </c>
      <c r="G789" s="8">
        <v>104.53</v>
      </c>
      <c r="H789" s="10">
        <v>23.8</v>
      </c>
      <c r="I789" s="21">
        <f>Table1[[#This Row],[BRUTTO_monthly_bill_eur]]/1.19</f>
        <v>87.840336134453793</v>
      </c>
      <c r="J789" s="21">
        <f>Table1[[#This Row],[monthly_consumption_kwh]]*Table1[[#This Row],[NETTO_procurement_cost_ct_per_kwh]]/100</f>
        <v>63.546000000000006</v>
      </c>
      <c r="K789" s="21">
        <f>Table1[[#This Row],[NETTO_monthly_revenue(€)]]-Table1[[#This Row],[procurement_cost_(€)]]</f>
        <v>24.294336134453786</v>
      </c>
      <c r="L789" s="21">
        <f t="shared" si="36"/>
        <v>9.0990022975482354</v>
      </c>
      <c r="M789" s="21" t="str">
        <f t="shared" si="37"/>
        <v>31.03.2024</v>
      </c>
      <c r="N789" s="21">
        <f t="shared" si="38"/>
        <v>87.840336134453793</v>
      </c>
    </row>
    <row r="790" spans="1:14">
      <c r="A790" s="9" t="s">
        <v>1299</v>
      </c>
      <c r="B790" s="8">
        <v>12</v>
      </c>
      <c r="C790" s="8" t="s">
        <v>35</v>
      </c>
      <c r="D790" s="8" t="s">
        <v>56</v>
      </c>
      <c r="E790" s="8" t="s">
        <v>1300</v>
      </c>
      <c r="F790" s="8">
        <v>284</v>
      </c>
      <c r="G790" s="8">
        <v>108.53</v>
      </c>
      <c r="H790" s="10">
        <v>23.35</v>
      </c>
      <c r="I790" s="21">
        <f>Table1[[#This Row],[BRUTTO_monthly_bill_eur]]/1.19</f>
        <v>91.201680672268907</v>
      </c>
      <c r="J790" s="21">
        <f>Table1[[#This Row],[monthly_consumption_kwh]]*Table1[[#This Row],[NETTO_procurement_cost_ct_per_kwh]]/100</f>
        <v>66.314000000000007</v>
      </c>
      <c r="K790" s="21">
        <f>Table1[[#This Row],[NETTO_monthly_revenue(€)]]-Table1[[#This Row],[procurement_cost_(€)]]</f>
        <v>24.8876806722689</v>
      </c>
      <c r="L790" s="21">
        <f t="shared" si="36"/>
        <v>8.7632678423482044</v>
      </c>
      <c r="M790" s="21" t="str">
        <f t="shared" si="37"/>
        <v>18.11.2024</v>
      </c>
      <c r="N790" s="21">
        <f t="shared" si="38"/>
        <v>91.201680672268907</v>
      </c>
    </row>
    <row r="791" spans="1:14">
      <c r="A791" s="9" t="s">
        <v>1301</v>
      </c>
      <c r="B791" s="8">
        <v>24</v>
      </c>
      <c r="C791" s="8" t="s">
        <v>35</v>
      </c>
      <c r="D791" s="8" t="s">
        <v>46</v>
      </c>
      <c r="E791" s="8" t="s">
        <v>936</v>
      </c>
      <c r="F791" s="8">
        <v>281</v>
      </c>
      <c r="G791" s="8">
        <v>106.26</v>
      </c>
      <c r="H791" s="10">
        <v>25.48</v>
      </c>
      <c r="I791" s="21">
        <f>Table1[[#This Row],[BRUTTO_monthly_bill_eur]]/1.19</f>
        <v>89.294117647058826</v>
      </c>
      <c r="J791" s="21">
        <f>Table1[[#This Row],[monthly_consumption_kwh]]*Table1[[#This Row],[NETTO_procurement_cost_ct_per_kwh]]/100</f>
        <v>71.598799999999997</v>
      </c>
      <c r="K791" s="21">
        <f>Table1[[#This Row],[NETTO_monthly_revenue(€)]]-Table1[[#This Row],[procurement_cost_(€)]]</f>
        <v>17.695317647058829</v>
      </c>
      <c r="L791" s="21">
        <f t="shared" si="36"/>
        <v>6.2972660665689784</v>
      </c>
      <c r="M791" s="21" t="str">
        <f t="shared" si="37"/>
        <v>15.09.2024</v>
      </c>
      <c r="N791" s="21">
        <f t="shared" si="38"/>
        <v>89.294117647058826</v>
      </c>
    </row>
    <row r="792" spans="1:14">
      <c r="A792" s="9" t="s">
        <v>1302</v>
      </c>
      <c r="B792" s="8">
        <v>12</v>
      </c>
      <c r="C792" s="8" t="s">
        <v>35</v>
      </c>
      <c r="D792" s="8" t="s">
        <v>36</v>
      </c>
      <c r="E792" s="8" t="s">
        <v>279</v>
      </c>
      <c r="F792" s="8">
        <v>229</v>
      </c>
      <c r="G792" s="8">
        <v>84.16</v>
      </c>
      <c r="H792" s="10">
        <v>22.33</v>
      </c>
      <c r="I792" s="21">
        <f>Table1[[#This Row],[BRUTTO_monthly_bill_eur]]/1.19</f>
        <v>70.722689075630257</v>
      </c>
      <c r="J792" s="21">
        <f>Table1[[#This Row],[monthly_consumption_kwh]]*Table1[[#This Row],[NETTO_procurement_cost_ct_per_kwh]]/100</f>
        <v>51.1357</v>
      </c>
      <c r="K792" s="21">
        <f>Table1[[#This Row],[NETTO_monthly_revenue(€)]]-Table1[[#This Row],[procurement_cost_(€)]]</f>
        <v>19.586989075630257</v>
      </c>
      <c r="L792" s="21">
        <f t="shared" si="36"/>
        <v>8.5532703387031681</v>
      </c>
      <c r="M792" s="21" t="str">
        <f t="shared" si="37"/>
        <v>27.11.2024</v>
      </c>
      <c r="N792" s="21">
        <f t="shared" si="38"/>
        <v>70.722689075630257</v>
      </c>
    </row>
    <row r="793" spans="1:14">
      <c r="A793" s="9" t="s">
        <v>1303</v>
      </c>
      <c r="B793" s="8">
        <v>24</v>
      </c>
      <c r="C793" s="8" t="s">
        <v>51</v>
      </c>
      <c r="D793" s="8" t="s">
        <v>56</v>
      </c>
      <c r="E793" s="8" t="s">
        <v>553</v>
      </c>
      <c r="F793" s="8">
        <v>389</v>
      </c>
      <c r="G793" s="8">
        <v>140.88999999999999</v>
      </c>
      <c r="H793" s="10">
        <v>17.559999999999999</v>
      </c>
      <c r="I793" s="21">
        <f>Table1[[#This Row],[BRUTTO_monthly_bill_eur]]/1.19</f>
        <v>118.39495798319327</v>
      </c>
      <c r="J793" s="21">
        <f>Table1[[#This Row],[monthly_consumption_kwh]]*Table1[[#This Row],[NETTO_procurement_cost_ct_per_kwh]]/100</f>
        <v>68.308399999999992</v>
      </c>
      <c r="K793" s="21">
        <f>Table1[[#This Row],[NETTO_monthly_revenue(€)]]-Table1[[#This Row],[procurement_cost_(€)]]</f>
        <v>50.086557983193273</v>
      </c>
      <c r="L793" s="21">
        <f t="shared" si="36"/>
        <v>12.875721846579246</v>
      </c>
      <c r="M793" s="21" t="str">
        <f t="shared" si="37"/>
        <v>28.04.2024</v>
      </c>
      <c r="N793" s="21">
        <f t="shared" si="38"/>
        <v>118.39495798319327</v>
      </c>
    </row>
    <row r="794" spans="1:14">
      <c r="A794" s="9" t="s">
        <v>1304</v>
      </c>
      <c r="B794" s="8">
        <v>12</v>
      </c>
      <c r="C794" s="8" t="s">
        <v>39</v>
      </c>
      <c r="D794" s="8" t="s">
        <v>56</v>
      </c>
      <c r="E794" s="8" t="s">
        <v>486</v>
      </c>
      <c r="F794" s="8">
        <v>119</v>
      </c>
      <c r="G794" s="8">
        <v>49.8</v>
      </c>
      <c r="H794" s="10">
        <v>31.01</v>
      </c>
      <c r="I794" s="21">
        <f>Table1[[#This Row],[BRUTTO_monthly_bill_eur]]/1.19</f>
        <v>41.84873949579832</v>
      </c>
      <c r="J794" s="21">
        <f>Table1[[#This Row],[monthly_consumption_kwh]]*Table1[[#This Row],[NETTO_procurement_cost_ct_per_kwh]]/100</f>
        <v>36.901899999999998</v>
      </c>
      <c r="K794" s="21">
        <f>Table1[[#This Row],[NETTO_monthly_revenue(€)]]-Table1[[#This Row],[procurement_cost_(€)]]</f>
        <v>4.9468394957983222</v>
      </c>
      <c r="L794" s="21">
        <f t="shared" si="36"/>
        <v>4.1570079796624553</v>
      </c>
      <c r="M794" s="21" t="str">
        <f t="shared" si="37"/>
        <v>17.02.2025</v>
      </c>
      <c r="N794" s="21">
        <f t="shared" si="38"/>
        <v>41.84873949579832</v>
      </c>
    </row>
    <row r="795" spans="1:14">
      <c r="A795" s="9" t="s">
        <v>1305</v>
      </c>
      <c r="B795" s="8">
        <v>24</v>
      </c>
      <c r="C795" s="8" t="s">
        <v>39</v>
      </c>
      <c r="D795" s="8" t="s">
        <v>36</v>
      </c>
      <c r="E795" s="8" t="s">
        <v>357</v>
      </c>
      <c r="F795" s="8">
        <v>95</v>
      </c>
      <c r="G795" s="8">
        <v>46.81</v>
      </c>
      <c r="H795" s="10">
        <v>28.21</v>
      </c>
      <c r="I795" s="21">
        <f>Table1[[#This Row],[BRUTTO_monthly_bill_eur]]/1.19</f>
        <v>39.336134453781519</v>
      </c>
      <c r="J795" s="21">
        <f>Table1[[#This Row],[monthly_consumption_kwh]]*Table1[[#This Row],[NETTO_procurement_cost_ct_per_kwh]]/100</f>
        <v>26.799500000000002</v>
      </c>
      <c r="K795" s="21">
        <f>Table1[[#This Row],[NETTO_monthly_revenue(€)]]-Table1[[#This Row],[procurement_cost_(€)]]</f>
        <v>12.536634453781517</v>
      </c>
      <c r="L795" s="21">
        <f t="shared" si="36"/>
        <v>13.196457319770015</v>
      </c>
      <c r="M795" s="21" t="str">
        <f t="shared" si="37"/>
        <v>10.06.2025</v>
      </c>
      <c r="N795" s="21">
        <f t="shared" si="38"/>
        <v>39.336134453781519</v>
      </c>
    </row>
    <row r="796" spans="1:14">
      <c r="A796" s="9" t="s">
        <v>1306</v>
      </c>
      <c r="B796" s="8">
        <v>12</v>
      </c>
      <c r="C796" s="8" t="s">
        <v>35</v>
      </c>
      <c r="D796" s="8" t="s">
        <v>36</v>
      </c>
      <c r="E796" s="8" t="s">
        <v>703</v>
      </c>
      <c r="F796" s="8">
        <v>315</v>
      </c>
      <c r="G796" s="8">
        <v>113.84</v>
      </c>
      <c r="H796" s="10">
        <v>23.97</v>
      </c>
      <c r="I796" s="21">
        <f>Table1[[#This Row],[BRUTTO_monthly_bill_eur]]/1.19</f>
        <v>95.663865546218489</v>
      </c>
      <c r="J796" s="21">
        <f>Table1[[#This Row],[monthly_consumption_kwh]]*Table1[[#This Row],[NETTO_procurement_cost_ct_per_kwh]]/100</f>
        <v>75.505499999999998</v>
      </c>
      <c r="K796" s="21">
        <f>Table1[[#This Row],[NETTO_monthly_revenue(€)]]-Table1[[#This Row],[procurement_cost_(€)]]</f>
        <v>20.158365546218491</v>
      </c>
      <c r="L796" s="21">
        <f t="shared" si="36"/>
        <v>6.3994811257836473</v>
      </c>
      <c r="M796" s="21" t="str">
        <f t="shared" si="37"/>
        <v>02.01.2024</v>
      </c>
      <c r="N796" s="21">
        <f t="shared" si="38"/>
        <v>95.663865546218489</v>
      </c>
    </row>
    <row r="797" spans="1:14">
      <c r="A797" s="9" t="s">
        <v>1307</v>
      </c>
      <c r="B797" s="8">
        <v>24</v>
      </c>
      <c r="C797" s="8" t="s">
        <v>35</v>
      </c>
      <c r="D797" s="8" t="s">
        <v>36</v>
      </c>
      <c r="E797" s="8" t="s">
        <v>162</v>
      </c>
      <c r="F797" s="8">
        <v>224</v>
      </c>
      <c r="G797" s="8">
        <v>86.46</v>
      </c>
      <c r="H797" s="10">
        <v>23.77</v>
      </c>
      <c r="I797" s="21">
        <f>Table1[[#This Row],[BRUTTO_monthly_bill_eur]]/1.19</f>
        <v>72.655462184873954</v>
      </c>
      <c r="J797" s="21">
        <f>Table1[[#This Row],[monthly_consumption_kwh]]*Table1[[#This Row],[NETTO_procurement_cost_ct_per_kwh]]/100</f>
        <v>53.244799999999998</v>
      </c>
      <c r="K797" s="21">
        <f>Table1[[#This Row],[NETTO_monthly_revenue(€)]]-Table1[[#This Row],[procurement_cost_(€)]]</f>
        <v>19.410662184873956</v>
      </c>
      <c r="L797" s="21">
        <f t="shared" si="36"/>
        <v>8.6654741896758729</v>
      </c>
      <c r="M797" s="21" t="str">
        <f t="shared" si="37"/>
        <v>18.04.2025</v>
      </c>
      <c r="N797" s="21">
        <f t="shared" si="38"/>
        <v>72.655462184873954</v>
      </c>
    </row>
    <row r="798" spans="1:14">
      <c r="A798" s="9" t="s">
        <v>1308</v>
      </c>
      <c r="B798" s="8">
        <v>24</v>
      </c>
      <c r="C798" s="8" t="s">
        <v>39</v>
      </c>
      <c r="D798" s="8" t="s">
        <v>56</v>
      </c>
      <c r="E798" s="8" t="s">
        <v>1309</v>
      </c>
      <c r="F798" s="8">
        <v>96</v>
      </c>
      <c r="G798" s="8">
        <v>43.76</v>
      </c>
      <c r="H798" s="10">
        <v>29.34</v>
      </c>
      <c r="I798" s="21">
        <f>Table1[[#This Row],[BRUTTO_monthly_bill_eur]]/1.19</f>
        <v>36.773109243697476</v>
      </c>
      <c r="J798" s="21">
        <f>Table1[[#This Row],[monthly_consumption_kwh]]*Table1[[#This Row],[NETTO_procurement_cost_ct_per_kwh]]/100</f>
        <v>28.166399999999999</v>
      </c>
      <c r="K798" s="21">
        <f>Table1[[#This Row],[NETTO_monthly_revenue(€)]]-Table1[[#This Row],[procurement_cost_(€)]]</f>
        <v>8.6067092436974768</v>
      </c>
      <c r="L798" s="21">
        <f t="shared" si="36"/>
        <v>8.9653221288515379</v>
      </c>
      <c r="M798" s="21" t="str">
        <f t="shared" si="37"/>
        <v>27.02.2025</v>
      </c>
      <c r="N798" s="21">
        <f t="shared" si="38"/>
        <v>36.773109243697476</v>
      </c>
    </row>
    <row r="799" spans="1:14">
      <c r="A799" s="9" t="s">
        <v>1310</v>
      </c>
      <c r="B799" s="8">
        <v>24</v>
      </c>
      <c r="C799" s="8" t="s">
        <v>39</v>
      </c>
      <c r="D799" s="8" t="s">
        <v>56</v>
      </c>
      <c r="E799" s="8" t="s">
        <v>1311</v>
      </c>
      <c r="F799" s="8">
        <v>85</v>
      </c>
      <c r="G799" s="8">
        <v>43.5</v>
      </c>
      <c r="H799" s="10">
        <v>29.58</v>
      </c>
      <c r="I799" s="21">
        <f>Table1[[#This Row],[BRUTTO_monthly_bill_eur]]/1.19</f>
        <v>36.554621848739501</v>
      </c>
      <c r="J799" s="21">
        <f>Table1[[#This Row],[monthly_consumption_kwh]]*Table1[[#This Row],[NETTO_procurement_cost_ct_per_kwh]]/100</f>
        <v>25.142999999999997</v>
      </c>
      <c r="K799" s="21">
        <f>Table1[[#This Row],[NETTO_monthly_revenue(€)]]-Table1[[#This Row],[procurement_cost_(€)]]</f>
        <v>11.411621848739504</v>
      </c>
      <c r="L799" s="21">
        <f t="shared" si="36"/>
        <v>13.425437469105297</v>
      </c>
      <c r="M799" s="21" t="str">
        <f t="shared" si="37"/>
        <v>2024-02</v>
      </c>
      <c r="N799" s="21">
        <f t="shared" si="38"/>
        <v>36.554621848739501</v>
      </c>
    </row>
    <row r="800" spans="1:14">
      <c r="A800" s="9" t="s">
        <v>1312</v>
      </c>
      <c r="B800" s="8">
        <v>24</v>
      </c>
      <c r="C800" s="8" t="s">
        <v>39</v>
      </c>
      <c r="D800" s="8" t="s">
        <v>36</v>
      </c>
      <c r="E800" s="8" t="s">
        <v>1313</v>
      </c>
      <c r="F800" s="8">
        <v>137</v>
      </c>
      <c r="G800" s="8">
        <v>58.99</v>
      </c>
      <c r="H800" s="10">
        <v>30.12</v>
      </c>
      <c r="I800" s="21">
        <f>Table1[[#This Row],[BRUTTO_monthly_bill_eur]]/1.19</f>
        <v>49.571428571428577</v>
      </c>
      <c r="J800" s="21">
        <f>Table1[[#This Row],[monthly_consumption_kwh]]*Table1[[#This Row],[NETTO_procurement_cost_ct_per_kwh]]/100</f>
        <v>41.264400000000002</v>
      </c>
      <c r="K800" s="21">
        <f>Table1[[#This Row],[NETTO_monthly_revenue(€)]]-Table1[[#This Row],[procurement_cost_(€)]]</f>
        <v>8.3070285714285745</v>
      </c>
      <c r="L800" s="21">
        <f t="shared" si="36"/>
        <v>6.0635245046923902</v>
      </c>
      <c r="M800" s="21" t="str">
        <f t="shared" si="37"/>
        <v>11.07.2024</v>
      </c>
      <c r="N800" s="21">
        <f t="shared" si="38"/>
        <v>49.571428571428577</v>
      </c>
    </row>
    <row r="801" spans="1:14">
      <c r="A801" s="14" t="s">
        <v>1314</v>
      </c>
      <c r="B801" s="15">
        <v>24</v>
      </c>
      <c r="C801" s="15" t="s">
        <v>51</v>
      </c>
      <c r="D801" s="15" t="s">
        <v>36</v>
      </c>
      <c r="E801" s="15" t="s">
        <v>803</v>
      </c>
      <c r="F801" s="15">
        <v>546</v>
      </c>
      <c r="G801" s="15">
        <v>187.61</v>
      </c>
      <c r="H801" s="16">
        <v>17.309999999999999</v>
      </c>
      <c r="I801" s="22">
        <f>Table1[[#This Row],[BRUTTO_monthly_bill_eur]]/1.19</f>
        <v>157.65546218487395</v>
      </c>
      <c r="J801" s="22">
        <f>Table1[[#This Row],[monthly_consumption_kwh]]*Table1[[#This Row],[NETTO_procurement_cost_ct_per_kwh]]/100</f>
        <v>94.512599999999978</v>
      </c>
      <c r="K801" s="22">
        <f>Table1[[#This Row],[NETTO_monthly_revenue(€)]]-Table1[[#This Row],[procurement_cost_(€)]]</f>
        <v>63.142862184873977</v>
      </c>
      <c r="L801" s="22">
        <f t="shared" si="36"/>
        <v>11.564626773786442</v>
      </c>
      <c r="M801" s="22" t="str">
        <f t="shared" si="37"/>
        <v>14.06.2025</v>
      </c>
      <c r="N801" s="22">
        <f t="shared" si="38"/>
        <v>157.65546218487395</v>
      </c>
    </row>
  </sheetData>
  <conditionalFormatting sqref="A1:A1048576">
    <cfRule type="duplicateValues" dxfId="1" priority="1"/>
  </conditionalFormatting>
  <pageMargins left="0.75" right="0.75" top="1" bottom="1" header="0.5" footer="0.5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DF79FF-800F-4A30-81C7-F239AF601099}">
  <dimension ref="A3:B6"/>
  <sheetViews>
    <sheetView workbookViewId="0">
      <selection activeCell="A4" sqref="A4:A5"/>
      <pivotSelection pane="bottomRight" showHeader="1" axis="axisRow" activeRow="3" previousRow="3" click="1" r:id="rId1">
        <pivotArea dataOnly="0" labelOnly="1" fieldPosition="0">
          <references count="1">
            <reference field="1" count="0"/>
          </references>
        </pivotArea>
      </pivotSelection>
    </sheetView>
  </sheetViews>
  <sheetFormatPr defaultRowHeight="14.4"/>
  <cols>
    <col min="1" max="1" width="12.5546875" bestFit="1" customWidth="1"/>
    <col min="2" max="2" width="15.5546875" bestFit="1" customWidth="1"/>
  </cols>
  <sheetData>
    <row r="3" spans="1:2">
      <c r="A3" s="26" t="s">
        <v>1327</v>
      </c>
      <c r="B3" t="s">
        <v>1341</v>
      </c>
    </row>
    <row r="4" spans="1:2">
      <c r="A4" s="27">
        <v>12</v>
      </c>
      <c r="B4" s="28">
        <v>-15878.975686554624</v>
      </c>
    </row>
    <row r="5" spans="1:2">
      <c r="A5" s="27">
        <v>24</v>
      </c>
      <c r="B5" s="28">
        <v>8906.7178000000004</v>
      </c>
    </row>
    <row r="6" spans="1:2">
      <c r="A6" s="27" t="s">
        <v>1328</v>
      </c>
      <c r="B6" s="28">
        <v>-6972.2578865546238</v>
      </c>
    </row>
  </sheetData>
  <pageMargins left="0.7" right="0.7" top="0.75" bottom="0.75" header="0.3" footer="0.3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376E95-636D-4903-8E8D-31E8086C4E04}">
  <dimension ref="A3:B7"/>
  <sheetViews>
    <sheetView workbookViewId="0">
      <selection activeCell="F2" sqref="F2"/>
    </sheetView>
  </sheetViews>
  <sheetFormatPr defaultRowHeight="14.4"/>
  <cols>
    <col min="1" max="1" width="18" bestFit="1" customWidth="1"/>
    <col min="2" max="2" width="18.77734375" style="20" bestFit="1" customWidth="1"/>
  </cols>
  <sheetData>
    <row r="3" spans="1:2">
      <c r="A3" s="26" t="s">
        <v>1327</v>
      </c>
      <c r="B3" s="20" t="s">
        <v>1342</v>
      </c>
    </row>
    <row r="4" spans="1:2">
      <c r="A4" s="27" t="s">
        <v>36</v>
      </c>
      <c r="B4" s="20">
        <v>22.652564293250926</v>
      </c>
    </row>
    <row r="5" spans="1:2">
      <c r="A5" s="27" t="s">
        <v>56</v>
      </c>
      <c r="B5" s="20">
        <v>-61.376467248031268</v>
      </c>
    </row>
    <row r="6" spans="1:2">
      <c r="A6" s="27" t="s">
        <v>46</v>
      </c>
      <c r="B6" s="20">
        <v>-37.520221891833671</v>
      </c>
    </row>
    <row r="7" spans="1:2">
      <c r="A7" s="27" t="s">
        <v>1328</v>
      </c>
      <c r="B7" s="20">
        <v>-8.7153223581932746</v>
      </c>
    </row>
  </sheetData>
  <pageMargins left="0.7" right="0.7" top="0.75" bottom="0.75" header="0.3" footer="0.3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8522F2-4DA8-493C-A5B2-6BD6815AD88E}">
  <dimension ref="A1:L801"/>
  <sheetViews>
    <sheetView topLeftCell="D1" workbookViewId="0">
      <selection activeCell="L2" sqref="L2"/>
    </sheetView>
  </sheetViews>
  <sheetFormatPr defaultRowHeight="14.4"/>
  <cols>
    <col min="1" max="1" width="13.6640625" customWidth="1"/>
    <col min="2" max="2" width="26.109375" customWidth="1"/>
    <col min="3" max="3" width="18.109375" customWidth="1"/>
    <col min="4" max="5" width="20.109375" customWidth="1"/>
    <col min="6" max="6" width="26.77734375" customWidth="1"/>
    <col min="7" max="7" width="25.88671875" customWidth="1"/>
    <col min="8" max="8" width="37.21875" customWidth="1"/>
    <col min="9" max="9" width="12.21875" bestFit="1" customWidth="1"/>
    <col min="10" max="10" width="20.77734375" bestFit="1" customWidth="1"/>
    <col min="11" max="11" width="24.33203125" bestFit="1" customWidth="1"/>
    <col min="12" max="12" width="16.33203125" style="20" bestFit="1" customWidth="1"/>
  </cols>
  <sheetData>
    <row r="1" spans="1:12">
      <c r="A1" s="11" t="s">
        <v>27</v>
      </c>
      <c r="B1" s="12" t="s">
        <v>11</v>
      </c>
      <c r="C1" s="12" t="s">
        <v>28</v>
      </c>
      <c r="D1" s="12" t="s">
        <v>29</v>
      </c>
      <c r="E1" s="12" t="s">
        <v>30</v>
      </c>
      <c r="F1" s="12" t="s">
        <v>31</v>
      </c>
      <c r="G1" s="12" t="s">
        <v>32</v>
      </c>
      <c r="H1" s="13" t="s">
        <v>33</v>
      </c>
      <c r="I1" s="17" t="s">
        <v>1322</v>
      </c>
      <c r="J1" s="17" t="s">
        <v>1323</v>
      </c>
      <c r="K1" s="17" t="s">
        <v>1321</v>
      </c>
      <c r="L1" s="19" t="s">
        <v>1320</v>
      </c>
    </row>
    <row r="2" spans="1:12">
      <c r="A2" s="9" t="s">
        <v>34</v>
      </c>
      <c r="B2" s="8">
        <v>12</v>
      </c>
      <c r="C2" s="8" t="s">
        <v>35</v>
      </c>
      <c r="D2" s="8" t="s">
        <v>36</v>
      </c>
      <c r="E2" s="8" t="s">
        <v>37</v>
      </c>
      <c r="F2" s="8">
        <v>199</v>
      </c>
      <c r="G2" s="8">
        <v>76.88</v>
      </c>
      <c r="H2" s="10">
        <v>24.21</v>
      </c>
      <c r="I2" s="18">
        <f t="shared" ref="I2:I65" si="0">COUNTIF($A:$A,A2)</f>
        <v>1</v>
      </c>
      <c r="J2" s="18" t="str">
        <f t="shared" ref="J2:J65" si="1">IF(F2=0,"Yes","No")</f>
        <v>No</v>
      </c>
      <c r="K2" s="18" t="str">
        <f t="shared" ref="K2:K65" si="2">IF(F2&lt;0,"Yes","No")</f>
        <v>No</v>
      </c>
      <c r="L2" s="24">
        <f t="shared" ref="L2:L65" si="3">G2/1.19</f>
        <v>64.605042016806721</v>
      </c>
    </row>
    <row r="3" spans="1:12">
      <c r="A3" s="9" t="s">
        <v>38</v>
      </c>
      <c r="B3" s="8">
        <v>24</v>
      </c>
      <c r="C3" s="8" t="s">
        <v>39</v>
      </c>
      <c r="D3" s="8" t="s">
        <v>36</v>
      </c>
      <c r="E3" s="8" t="s">
        <v>40</v>
      </c>
      <c r="F3" s="8">
        <v>110</v>
      </c>
      <c r="G3" s="8">
        <v>49.75</v>
      </c>
      <c r="H3" s="10">
        <v>30.01</v>
      </c>
      <c r="I3" s="8">
        <f t="shared" si="0"/>
        <v>1</v>
      </c>
      <c r="J3" s="8" t="str">
        <f t="shared" si="1"/>
        <v>No</v>
      </c>
      <c r="K3" s="5" t="str">
        <f t="shared" si="2"/>
        <v>No</v>
      </c>
      <c r="L3" s="25">
        <f t="shared" si="3"/>
        <v>41.806722689075634</v>
      </c>
    </row>
    <row r="4" spans="1:12">
      <c r="A4" s="9" t="s">
        <v>41</v>
      </c>
      <c r="B4" s="8">
        <v>24</v>
      </c>
      <c r="C4" s="8" t="s">
        <v>35</v>
      </c>
      <c r="D4" s="8" t="s">
        <v>36</v>
      </c>
      <c r="E4" s="8" t="s">
        <v>42</v>
      </c>
      <c r="F4" s="8">
        <v>205</v>
      </c>
      <c r="G4" s="8">
        <v>85.14</v>
      </c>
      <c r="H4" s="10">
        <v>22.78</v>
      </c>
      <c r="I4" s="8">
        <f t="shared" si="0"/>
        <v>1</v>
      </c>
      <c r="J4" s="8" t="str">
        <f t="shared" si="1"/>
        <v>No</v>
      </c>
      <c r="K4" s="5" t="str">
        <f t="shared" si="2"/>
        <v>No</v>
      </c>
      <c r="L4" s="25">
        <f t="shared" si="3"/>
        <v>71.546218487394967</v>
      </c>
    </row>
    <row r="5" spans="1:12">
      <c r="A5" s="9" t="s">
        <v>43</v>
      </c>
      <c r="B5" s="8">
        <v>24</v>
      </c>
      <c r="C5" s="8" t="s">
        <v>35</v>
      </c>
      <c r="D5" s="8" t="s">
        <v>36</v>
      </c>
      <c r="E5" s="8" t="s">
        <v>44</v>
      </c>
      <c r="F5" s="8">
        <v>226</v>
      </c>
      <c r="G5" s="8">
        <v>84.24</v>
      </c>
      <c r="H5" s="10">
        <v>25.44</v>
      </c>
      <c r="I5" s="8">
        <f t="shared" si="0"/>
        <v>1</v>
      </c>
      <c r="J5" s="8" t="str">
        <f t="shared" si="1"/>
        <v>No</v>
      </c>
      <c r="K5" s="5" t="str">
        <f t="shared" si="2"/>
        <v>No</v>
      </c>
      <c r="L5" s="25">
        <f t="shared" si="3"/>
        <v>70.789915966386559</v>
      </c>
    </row>
    <row r="6" spans="1:12">
      <c r="A6" s="9" t="s">
        <v>45</v>
      </c>
      <c r="B6" s="8">
        <v>12</v>
      </c>
      <c r="C6" s="8" t="s">
        <v>35</v>
      </c>
      <c r="D6" s="8" t="s">
        <v>46</v>
      </c>
      <c r="E6" s="8" t="s">
        <v>47</v>
      </c>
      <c r="F6" s="8">
        <v>178</v>
      </c>
      <c r="G6" s="8">
        <v>70.680000000000007</v>
      </c>
      <c r="H6" s="10">
        <v>24.71</v>
      </c>
      <c r="I6" s="8">
        <f t="shared" si="0"/>
        <v>1</v>
      </c>
      <c r="J6" s="8" t="str">
        <f t="shared" si="1"/>
        <v>No</v>
      </c>
      <c r="K6" s="5" t="str">
        <f t="shared" si="2"/>
        <v>No</v>
      </c>
      <c r="L6" s="25">
        <f t="shared" si="3"/>
        <v>59.394957983193287</v>
      </c>
    </row>
    <row r="7" spans="1:12">
      <c r="A7" s="9" t="s">
        <v>48</v>
      </c>
      <c r="B7" s="8">
        <v>12</v>
      </c>
      <c r="C7" s="8" t="s">
        <v>35</v>
      </c>
      <c r="D7" s="8" t="s">
        <v>46</v>
      </c>
      <c r="E7" s="8" t="s">
        <v>49</v>
      </c>
      <c r="F7" s="8">
        <v>253</v>
      </c>
      <c r="G7" s="8">
        <v>94.37</v>
      </c>
      <c r="H7" s="10">
        <v>25.35</v>
      </c>
      <c r="I7" s="8">
        <f t="shared" si="0"/>
        <v>1</v>
      </c>
      <c r="J7" s="8" t="str">
        <f t="shared" si="1"/>
        <v>No</v>
      </c>
      <c r="K7" s="5" t="str">
        <f t="shared" si="2"/>
        <v>No</v>
      </c>
      <c r="L7" s="25">
        <f t="shared" si="3"/>
        <v>79.302521008403374</v>
      </c>
    </row>
    <row r="8" spans="1:12">
      <c r="A8" s="9" t="s">
        <v>50</v>
      </c>
      <c r="B8" s="8">
        <v>12</v>
      </c>
      <c r="C8" s="8" t="s">
        <v>51</v>
      </c>
      <c r="D8" s="8" t="s">
        <v>36</v>
      </c>
      <c r="E8" s="8" t="s">
        <v>52</v>
      </c>
      <c r="F8" s="8">
        <v>356</v>
      </c>
      <c r="G8" s="8">
        <v>118.13</v>
      </c>
      <c r="H8" s="10">
        <v>20.79</v>
      </c>
      <c r="I8" s="8">
        <f t="shared" si="0"/>
        <v>1</v>
      </c>
      <c r="J8" s="8" t="str">
        <f t="shared" si="1"/>
        <v>No</v>
      </c>
      <c r="K8" s="5" t="str">
        <f t="shared" si="2"/>
        <v>No</v>
      </c>
      <c r="L8" s="25">
        <f t="shared" si="3"/>
        <v>99.268907563025209</v>
      </c>
    </row>
    <row r="9" spans="1:12">
      <c r="A9" s="9" t="s">
        <v>53</v>
      </c>
      <c r="B9" s="8">
        <v>24</v>
      </c>
      <c r="C9" s="8" t="s">
        <v>51</v>
      </c>
      <c r="D9" s="8" t="s">
        <v>36</v>
      </c>
      <c r="E9" s="8" t="s">
        <v>54</v>
      </c>
      <c r="F9" s="8">
        <v>600</v>
      </c>
      <c r="G9" s="8">
        <v>201.44</v>
      </c>
      <c r="H9" s="10">
        <v>20.239999999999998</v>
      </c>
      <c r="I9" s="8">
        <f t="shared" si="0"/>
        <v>1</v>
      </c>
      <c r="J9" s="8" t="str">
        <f t="shared" si="1"/>
        <v>No</v>
      </c>
      <c r="K9" s="5" t="str">
        <f t="shared" si="2"/>
        <v>No</v>
      </c>
      <c r="L9" s="25">
        <f t="shared" si="3"/>
        <v>169.27731092436974</v>
      </c>
    </row>
    <row r="10" spans="1:12">
      <c r="A10" s="9" t="s">
        <v>55</v>
      </c>
      <c r="B10" s="8">
        <v>24</v>
      </c>
      <c r="C10" s="8" t="s">
        <v>35</v>
      </c>
      <c r="D10" s="8" t="s">
        <v>56</v>
      </c>
      <c r="E10" s="8" t="s">
        <v>57</v>
      </c>
      <c r="F10" s="8">
        <v>206</v>
      </c>
      <c r="G10" s="8">
        <v>81.819999999999993</v>
      </c>
      <c r="H10" s="10">
        <v>23.76</v>
      </c>
      <c r="I10" s="8">
        <f t="shared" si="0"/>
        <v>1</v>
      </c>
      <c r="J10" s="8" t="str">
        <f t="shared" si="1"/>
        <v>No</v>
      </c>
      <c r="K10" s="5" t="str">
        <f t="shared" si="2"/>
        <v>No</v>
      </c>
      <c r="L10" s="25">
        <f t="shared" si="3"/>
        <v>68.756302521008408</v>
      </c>
    </row>
    <row r="11" spans="1:12">
      <c r="A11" s="9" t="s">
        <v>58</v>
      </c>
      <c r="B11" s="8">
        <v>24</v>
      </c>
      <c r="C11" s="8" t="s">
        <v>39</v>
      </c>
      <c r="D11" s="8" t="s">
        <v>36</v>
      </c>
      <c r="E11" s="8" t="s">
        <v>59</v>
      </c>
      <c r="F11" s="8">
        <v>128</v>
      </c>
      <c r="G11" s="8">
        <v>56.66</v>
      </c>
      <c r="H11" s="10">
        <v>30.44</v>
      </c>
      <c r="I11" s="8">
        <f t="shared" si="0"/>
        <v>1</v>
      </c>
      <c r="J11" s="8" t="str">
        <f t="shared" si="1"/>
        <v>No</v>
      </c>
      <c r="K11" s="5" t="str">
        <f t="shared" si="2"/>
        <v>No</v>
      </c>
      <c r="L11" s="25">
        <f t="shared" si="3"/>
        <v>47.613445378151262</v>
      </c>
    </row>
    <row r="12" spans="1:12">
      <c r="A12" s="9" t="s">
        <v>60</v>
      </c>
      <c r="B12" s="8">
        <v>12</v>
      </c>
      <c r="C12" s="8" t="s">
        <v>51</v>
      </c>
      <c r="D12" s="8" t="s">
        <v>46</v>
      </c>
      <c r="E12" s="8" t="s">
        <v>61</v>
      </c>
      <c r="F12" s="8">
        <v>627</v>
      </c>
      <c r="G12" s="8">
        <v>193.85</v>
      </c>
      <c r="H12" s="10">
        <v>17.3</v>
      </c>
      <c r="I12" s="8">
        <f t="shared" si="0"/>
        <v>1</v>
      </c>
      <c r="J12" s="8" t="str">
        <f t="shared" si="1"/>
        <v>No</v>
      </c>
      <c r="K12" s="5" t="str">
        <f t="shared" si="2"/>
        <v>No</v>
      </c>
      <c r="L12" s="25">
        <f t="shared" si="3"/>
        <v>162.89915966386556</v>
      </c>
    </row>
    <row r="13" spans="1:12">
      <c r="A13" s="9" t="s">
        <v>62</v>
      </c>
      <c r="B13" s="8">
        <v>24</v>
      </c>
      <c r="C13" s="8" t="s">
        <v>51</v>
      </c>
      <c r="D13" s="8" t="s">
        <v>36</v>
      </c>
      <c r="E13" s="8" t="s">
        <v>63</v>
      </c>
      <c r="F13" s="8">
        <v>550</v>
      </c>
      <c r="G13" s="8">
        <v>185.06</v>
      </c>
      <c r="H13" s="10">
        <v>19.87</v>
      </c>
      <c r="I13" s="8">
        <f t="shared" si="0"/>
        <v>1</v>
      </c>
      <c r="J13" s="8" t="str">
        <f t="shared" si="1"/>
        <v>No</v>
      </c>
      <c r="K13" s="5" t="str">
        <f t="shared" si="2"/>
        <v>No</v>
      </c>
      <c r="L13" s="25">
        <f t="shared" si="3"/>
        <v>155.51260504201682</v>
      </c>
    </row>
    <row r="14" spans="1:12">
      <c r="A14" s="9" t="s">
        <v>64</v>
      </c>
      <c r="B14" s="8">
        <v>24</v>
      </c>
      <c r="C14" s="8" t="s">
        <v>39</v>
      </c>
      <c r="D14" s="8" t="s">
        <v>36</v>
      </c>
      <c r="E14" s="8" t="s">
        <v>65</v>
      </c>
      <c r="F14" s="8">
        <v>128</v>
      </c>
      <c r="G14" s="8">
        <v>55.34</v>
      </c>
      <c r="H14" s="10">
        <v>28.72</v>
      </c>
      <c r="I14" s="8">
        <f t="shared" si="0"/>
        <v>1</v>
      </c>
      <c r="J14" s="8" t="str">
        <f t="shared" si="1"/>
        <v>No</v>
      </c>
      <c r="K14" s="5" t="str">
        <f t="shared" si="2"/>
        <v>No</v>
      </c>
      <c r="L14" s="25">
        <f t="shared" si="3"/>
        <v>46.504201680672274</v>
      </c>
    </row>
    <row r="15" spans="1:12">
      <c r="A15" s="9" t="s">
        <v>66</v>
      </c>
      <c r="B15" s="8">
        <v>12</v>
      </c>
      <c r="C15" s="8" t="s">
        <v>51</v>
      </c>
      <c r="D15" s="8" t="s">
        <v>36</v>
      </c>
      <c r="E15" s="8" t="s">
        <v>67</v>
      </c>
      <c r="F15" s="8">
        <v>441</v>
      </c>
      <c r="G15" s="8">
        <v>143.66999999999999</v>
      </c>
      <c r="H15" s="10">
        <v>19.97</v>
      </c>
      <c r="I15" s="8">
        <f t="shared" si="0"/>
        <v>1</v>
      </c>
      <c r="J15" s="8" t="str">
        <f t="shared" si="1"/>
        <v>No</v>
      </c>
      <c r="K15" s="5" t="str">
        <f t="shared" si="2"/>
        <v>No</v>
      </c>
      <c r="L15" s="25">
        <f t="shared" si="3"/>
        <v>120.73109243697479</v>
      </c>
    </row>
    <row r="16" spans="1:12">
      <c r="A16" s="9" t="s">
        <v>68</v>
      </c>
      <c r="B16" s="8">
        <v>12</v>
      </c>
      <c r="C16" s="8" t="s">
        <v>51</v>
      </c>
      <c r="D16" s="8" t="s">
        <v>36</v>
      </c>
      <c r="E16" s="8" t="s">
        <v>69</v>
      </c>
      <c r="F16" s="8">
        <v>444</v>
      </c>
      <c r="G16" s="8">
        <v>152.84</v>
      </c>
      <c r="H16" s="10">
        <v>17.649999999999999</v>
      </c>
      <c r="I16" s="8">
        <f t="shared" si="0"/>
        <v>1</v>
      </c>
      <c r="J16" s="8" t="str">
        <f t="shared" si="1"/>
        <v>No</v>
      </c>
      <c r="K16" s="5" t="str">
        <f t="shared" si="2"/>
        <v>No</v>
      </c>
      <c r="L16" s="25">
        <f t="shared" si="3"/>
        <v>128.43697478991598</v>
      </c>
    </row>
    <row r="17" spans="1:12">
      <c r="A17" s="9" t="s">
        <v>70</v>
      </c>
      <c r="B17" s="8">
        <v>12</v>
      </c>
      <c r="C17" s="8" t="s">
        <v>35</v>
      </c>
      <c r="D17" s="8" t="s">
        <v>56</v>
      </c>
      <c r="E17" s="8" t="s">
        <v>71</v>
      </c>
      <c r="F17" s="8">
        <v>278</v>
      </c>
      <c r="G17" s="8">
        <v>104.25</v>
      </c>
      <c r="H17" s="10">
        <v>22.47</v>
      </c>
      <c r="I17" s="8">
        <f t="shared" si="0"/>
        <v>1</v>
      </c>
      <c r="J17" s="8" t="str">
        <f t="shared" si="1"/>
        <v>No</v>
      </c>
      <c r="K17" s="5" t="str">
        <f t="shared" si="2"/>
        <v>No</v>
      </c>
      <c r="L17" s="25">
        <f t="shared" si="3"/>
        <v>87.605042016806721</v>
      </c>
    </row>
    <row r="18" spans="1:12">
      <c r="A18" s="9" t="s">
        <v>72</v>
      </c>
      <c r="B18" s="8">
        <v>12</v>
      </c>
      <c r="C18" s="8" t="s">
        <v>35</v>
      </c>
      <c r="D18" s="8" t="s">
        <v>36</v>
      </c>
      <c r="E18" s="8" t="s">
        <v>73</v>
      </c>
      <c r="F18" s="8">
        <v>332</v>
      </c>
      <c r="G18" s="8">
        <v>129.06</v>
      </c>
      <c r="H18" s="10">
        <v>22.66</v>
      </c>
      <c r="I18" s="8">
        <f t="shared" si="0"/>
        <v>1</v>
      </c>
      <c r="J18" s="8" t="str">
        <f t="shared" si="1"/>
        <v>No</v>
      </c>
      <c r="K18" s="5" t="str">
        <f t="shared" si="2"/>
        <v>No</v>
      </c>
      <c r="L18" s="25">
        <f t="shared" si="3"/>
        <v>108.45378151260505</v>
      </c>
    </row>
    <row r="19" spans="1:12">
      <c r="A19" s="9" t="s">
        <v>74</v>
      </c>
      <c r="B19" s="8">
        <v>12</v>
      </c>
      <c r="C19" s="8" t="s">
        <v>35</v>
      </c>
      <c r="D19" s="8" t="s">
        <v>36</v>
      </c>
      <c r="E19" s="8" t="s">
        <v>75</v>
      </c>
      <c r="F19" s="8">
        <v>277</v>
      </c>
      <c r="G19" s="8">
        <v>109.61</v>
      </c>
      <c r="H19" s="10">
        <v>22.01</v>
      </c>
      <c r="I19" s="8">
        <f t="shared" si="0"/>
        <v>1</v>
      </c>
      <c r="J19" s="8" t="str">
        <f t="shared" si="1"/>
        <v>No</v>
      </c>
      <c r="K19" s="5" t="str">
        <f t="shared" si="2"/>
        <v>No</v>
      </c>
      <c r="L19" s="25">
        <f t="shared" si="3"/>
        <v>92.109243697479002</v>
      </c>
    </row>
    <row r="20" spans="1:12">
      <c r="A20" s="9" t="s">
        <v>76</v>
      </c>
      <c r="B20" s="8">
        <v>12</v>
      </c>
      <c r="C20" s="8" t="s">
        <v>39</v>
      </c>
      <c r="D20" s="8" t="s">
        <v>36</v>
      </c>
      <c r="E20" s="8" t="s">
        <v>77</v>
      </c>
      <c r="F20" s="8">
        <v>130</v>
      </c>
      <c r="G20" s="8">
        <v>58.4</v>
      </c>
      <c r="H20" s="10">
        <v>30.87</v>
      </c>
      <c r="I20" s="8">
        <f t="shared" si="0"/>
        <v>1</v>
      </c>
      <c r="J20" s="8" t="str">
        <f t="shared" si="1"/>
        <v>No</v>
      </c>
      <c r="K20" s="5" t="str">
        <f t="shared" si="2"/>
        <v>No</v>
      </c>
      <c r="L20" s="25">
        <f t="shared" si="3"/>
        <v>49.075630252100844</v>
      </c>
    </row>
    <row r="21" spans="1:12">
      <c r="A21" s="9" t="s">
        <v>78</v>
      </c>
      <c r="B21" s="8">
        <v>12</v>
      </c>
      <c r="C21" s="8" t="s">
        <v>39</v>
      </c>
      <c r="D21" s="8" t="s">
        <v>36</v>
      </c>
      <c r="E21" s="8" t="s">
        <v>79</v>
      </c>
      <c r="F21" s="8">
        <v>144</v>
      </c>
      <c r="G21" s="8">
        <v>59.77</v>
      </c>
      <c r="H21" s="10">
        <v>30.93</v>
      </c>
      <c r="I21" s="8">
        <f t="shared" si="0"/>
        <v>1</v>
      </c>
      <c r="J21" s="8" t="str">
        <f t="shared" si="1"/>
        <v>No</v>
      </c>
      <c r="K21" s="5" t="str">
        <f t="shared" si="2"/>
        <v>No</v>
      </c>
      <c r="L21" s="25">
        <f t="shared" si="3"/>
        <v>50.226890756302524</v>
      </c>
    </row>
    <row r="22" spans="1:12">
      <c r="A22" s="9" t="s">
        <v>80</v>
      </c>
      <c r="B22" s="8">
        <v>24</v>
      </c>
      <c r="C22" s="8" t="s">
        <v>51</v>
      </c>
      <c r="D22" s="8" t="s">
        <v>36</v>
      </c>
      <c r="E22" s="8" t="s">
        <v>81</v>
      </c>
      <c r="F22" s="8">
        <v>488</v>
      </c>
      <c r="G22" s="8">
        <v>163.32</v>
      </c>
      <c r="H22" s="10">
        <v>19.07</v>
      </c>
      <c r="I22" s="8">
        <f t="shared" si="0"/>
        <v>1</v>
      </c>
      <c r="J22" s="8" t="str">
        <f t="shared" si="1"/>
        <v>No</v>
      </c>
      <c r="K22" s="5" t="str">
        <f t="shared" si="2"/>
        <v>No</v>
      </c>
      <c r="L22" s="25">
        <f t="shared" si="3"/>
        <v>137.24369747899161</v>
      </c>
    </row>
    <row r="23" spans="1:12">
      <c r="A23" s="9" t="s">
        <v>82</v>
      </c>
      <c r="B23" s="8">
        <v>12</v>
      </c>
      <c r="C23" s="8" t="s">
        <v>39</v>
      </c>
      <c r="D23" s="8" t="s">
        <v>36</v>
      </c>
      <c r="E23" s="8" t="s">
        <v>83</v>
      </c>
      <c r="F23" s="8">
        <v>88</v>
      </c>
      <c r="G23" s="8">
        <v>41.01</v>
      </c>
      <c r="H23" s="10">
        <v>28.65</v>
      </c>
      <c r="I23" s="8">
        <f t="shared" si="0"/>
        <v>1</v>
      </c>
      <c r="J23" s="8" t="str">
        <f t="shared" si="1"/>
        <v>No</v>
      </c>
      <c r="K23" s="5" t="str">
        <f t="shared" si="2"/>
        <v>No</v>
      </c>
      <c r="L23" s="25">
        <f t="shared" si="3"/>
        <v>34.462184873949582</v>
      </c>
    </row>
    <row r="24" spans="1:12">
      <c r="A24" s="9" t="s">
        <v>84</v>
      </c>
      <c r="B24" s="8">
        <v>12</v>
      </c>
      <c r="C24" s="8" t="s">
        <v>39</v>
      </c>
      <c r="D24" s="8" t="s">
        <v>46</v>
      </c>
      <c r="E24" s="8" t="s">
        <v>85</v>
      </c>
      <c r="F24" s="8">
        <v>130</v>
      </c>
      <c r="G24" s="8">
        <v>57.83</v>
      </c>
      <c r="H24" s="10">
        <v>30.33</v>
      </c>
      <c r="I24" s="8">
        <f t="shared" si="0"/>
        <v>1</v>
      </c>
      <c r="J24" s="8" t="str">
        <f t="shared" si="1"/>
        <v>No</v>
      </c>
      <c r="K24" s="5" t="str">
        <f t="shared" si="2"/>
        <v>No</v>
      </c>
      <c r="L24" s="25">
        <f t="shared" si="3"/>
        <v>48.596638655462186</v>
      </c>
    </row>
    <row r="25" spans="1:12">
      <c r="A25" s="9" t="s">
        <v>86</v>
      </c>
      <c r="B25" s="8">
        <v>12</v>
      </c>
      <c r="C25" s="8" t="s">
        <v>35</v>
      </c>
      <c r="D25" s="8" t="s">
        <v>36</v>
      </c>
      <c r="E25" s="8" t="s">
        <v>57</v>
      </c>
      <c r="F25" s="8">
        <v>326</v>
      </c>
      <c r="G25" s="8">
        <v>123.81</v>
      </c>
      <c r="H25" s="10">
        <v>22.08</v>
      </c>
      <c r="I25" s="8">
        <f t="shared" si="0"/>
        <v>1</v>
      </c>
      <c r="J25" s="8" t="str">
        <f t="shared" si="1"/>
        <v>No</v>
      </c>
      <c r="K25" s="5" t="str">
        <f t="shared" si="2"/>
        <v>No</v>
      </c>
      <c r="L25" s="25">
        <f t="shared" si="3"/>
        <v>104.0420168067227</v>
      </c>
    </row>
    <row r="26" spans="1:12">
      <c r="A26" s="9" t="s">
        <v>87</v>
      </c>
      <c r="B26" s="8">
        <v>12</v>
      </c>
      <c r="C26" s="8" t="s">
        <v>35</v>
      </c>
      <c r="D26" s="8" t="s">
        <v>36</v>
      </c>
      <c r="E26" s="8" t="s">
        <v>88</v>
      </c>
      <c r="F26" s="8">
        <v>196</v>
      </c>
      <c r="G26" s="8">
        <v>78.67</v>
      </c>
      <c r="H26" s="10">
        <v>22.66</v>
      </c>
      <c r="I26" s="8">
        <f t="shared" si="0"/>
        <v>1</v>
      </c>
      <c r="J26" s="8" t="str">
        <f t="shared" si="1"/>
        <v>No</v>
      </c>
      <c r="K26" s="5" t="str">
        <f t="shared" si="2"/>
        <v>No</v>
      </c>
      <c r="L26" s="25">
        <f t="shared" si="3"/>
        <v>66.109243697479002</v>
      </c>
    </row>
    <row r="27" spans="1:12">
      <c r="A27" s="9" t="s">
        <v>89</v>
      </c>
      <c r="B27" s="8">
        <v>24</v>
      </c>
      <c r="C27" s="8" t="s">
        <v>51</v>
      </c>
      <c r="D27" s="8" t="s">
        <v>56</v>
      </c>
      <c r="E27" s="8" t="s">
        <v>81</v>
      </c>
      <c r="F27" s="8">
        <v>564</v>
      </c>
      <c r="G27" s="8">
        <v>194.49</v>
      </c>
      <c r="H27" s="10">
        <v>20.95</v>
      </c>
      <c r="I27" s="8">
        <f t="shared" si="0"/>
        <v>1</v>
      </c>
      <c r="J27" s="8" t="str">
        <f t="shared" si="1"/>
        <v>No</v>
      </c>
      <c r="K27" s="5" t="str">
        <f t="shared" si="2"/>
        <v>No</v>
      </c>
      <c r="L27" s="25">
        <f t="shared" si="3"/>
        <v>163.43697478991598</v>
      </c>
    </row>
    <row r="28" spans="1:12">
      <c r="A28" s="9" t="s">
        <v>90</v>
      </c>
      <c r="B28" s="8">
        <v>12</v>
      </c>
      <c r="C28" s="8" t="s">
        <v>39</v>
      </c>
      <c r="D28" s="8" t="s">
        <v>36</v>
      </c>
      <c r="E28" s="8" t="s">
        <v>91</v>
      </c>
      <c r="F28" s="8">
        <v>100</v>
      </c>
      <c r="G28" s="8">
        <v>47.51</v>
      </c>
      <c r="H28" s="10">
        <v>30.97</v>
      </c>
      <c r="I28" s="8">
        <f t="shared" si="0"/>
        <v>1</v>
      </c>
      <c r="J28" s="8" t="str">
        <f t="shared" si="1"/>
        <v>No</v>
      </c>
      <c r="K28" s="5" t="str">
        <f t="shared" si="2"/>
        <v>No</v>
      </c>
      <c r="L28" s="25">
        <f t="shared" si="3"/>
        <v>39.924369747899156</v>
      </c>
    </row>
    <row r="29" spans="1:12">
      <c r="A29" s="9" t="s">
        <v>92</v>
      </c>
      <c r="B29" s="8">
        <v>12</v>
      </c>
      <c r="C29" s="8" t="s">
        <v>39</v>
      </c>
      <c r="D29" s="8" t="s">
        <v>56</v>
      </c>
      <c r="E29" s="8" t="s">
        <v>93</v>
      </c>
      <c r="F29" s="8">
        <v>128</v>
      </c>
      <c r="G29" s="8">
        <v>53.68</v>
      </c>
      <c r="H29" s="10">
        <v>29.42</v>
      </c>
      <c r="I29" s="8">
        <f t="shared" si="0"/>
        <v>1</v>
      </c>
      <c r="J29" s="8" t="str">
        <f t="shared" si="1"/>
        <v>No</v>
      </c>
      <c r="K29" s="5" t="str">
        <f t="shared" si="2"/>
        <v>No</v>
      </c>
      <c r="L29" s="25">
        <f t="shared" si="3"/>
        <v>45.109243697478995</v>
      </c>
    </row>
    <row r="30" spans="1:12">
      <c r="A30" s="9" t="s">
        <v>94</v>
      </c>
      <c r="B30" s="8">
        <v>24</v>
      </c>
      <c r="C30" s="8" t="s">
        <v>35</v>
      </c>
      <c r="D30" s="8" t="s">
        <v>36</v>
      </c>
      <c r="E30" s="8" t="s">
        <v>95</v>
      </c>
      <c r="F30" s="8">
        <v>183</v>
      </c>
      <c r="G30" s="8">
        <v>74.61</v>
      </c>
      <c r="H30" s="10">
        <v>22.42</v>
      </c>
      <c r="I30" s="8">
        <f t="shared" si="0"/>
        <v>1</v>
      </c>
      <c r="J30" s="8" t="str">
        <f t="shared" si="1"/>
        <v>No</v>
      </c>
      <c r="K30" s="5" t="str">
        <f t="shared" si="2"/>
        <v>No</v>
      </c>
      <c r="L30" s="25">
        <f t="shared" si="3"/>
        <v>62.69747899159664</v>
      </c>
    </row>
    <row r="31" spans="1:12">
      <c r="A31" s="9" t="s">
        <v>96</v>
      </c>
      <c r="B31" s="8">
        <v>12</v>
      </c>
      <c r="C31" s="8" t="s">
        <v>35</v>
      </c>
      <c r="D31" s="8" t="s">
        <v>56</v>
      </c>
      <c r="E31" s="8" t="s">
        <v>52</v>
      </c>
      <c r="F31" s="8">
        <v>242</v>
      </c>
      <c r="G31" s="8">
        <v>91.27</v>
      </c>
      <c r="H31" s="10">
        <v>22.89</v>
      </c>
      <c r="I31" s="8">
        <f t="shared" si="0"/>
        <v>1</v>
      </c>
      <c r="J31" s="8" t="str">
        <f t="shared" si="1"/>
        <v>No</v>
      </c>
      <c r="K31" s="5" t="str">
        <f t="shared" si="2"/>
        <v>No</v>
      </c>
      <c r="L31" s="25">
        <f t="shared" si="3"/>
        <v>76.69747899159664</v>
      </c>
    </row>
    <row r="32" spans="1:12">
      <c r="A32" s="9" t="s">
        <v>97</v>
      </c>
      <c r="B32" s="8">
        <v>24</v>
      </c>
      <c r="C32" s="8" t="s">
        <v>39</v>
      </c>
      <c r="D32" s="8" t="s">
        <v>46</v>
      </c>
      <c r="E32" s="8" t="s">
        <v>98</v>
      </c>
      <c r="F32" s="8">
        <v>146</v>
      </c>
      <c r="G32" s="8">
        <v>65.63</v>
      </c>
      <c r="H32" s="10">
        <v>30.08</v>
      </c>
      <c r="I32" s="8">
        <f t="shared" si="0"/>
        <v>1</v>
      </c>
      <c r="J32" s="8" t="str">
        <f t="shared" si="1"/>
        <v>No</v>
      </c>
      <c r="K32" s="5" t="str">
        <f t="shared" si="2"/>
        <v>No</v>
      </c>
      <c r="L32" s="25">
        <f t="shared" si="3"/>
        <v>55.15126050420168</v>
      </c>
    </row>
    <row r="33" spans="1:12">
      <c r="A33" s="9" t="s">
        <v>99</v>
      </c>
      <c r="B33" s="8">
        <v>12</v>
      </c>
      <c r="C33" s="8" t="s">
        <v>35</v>
      </c>
      <c r="D33" s="8" t="s">
        <v>56</v>
      </c>
      <c r="E33" s="8" t="s">
        <v>100</v>
      </c>
      <c r="F33" s="8">
        <v>225</v>
      </c>
      <c r="G33" s="8">
        <v>86.07</v>
      </c>
      <c r="H33" s="10">
        <v>24.43</v>
      </c>
      <c r="I33" s="8">
        <f t="shared" si="0"/>
        <v>1</v>
      </c>
      <c r="J33" s="8" t="str">
        <f t="shared" si="1"/>
        <v>No</v>
      </c>
      <c r="K33" s="5" t="str">
        <f t="shared" si="2"/>
        <v>No</v>
      </c>
      <c r="L33" s="25">
        <f t="shared" si="3"/>
        <v>72.327731092436977</v>
      </c>
    </row>
    <row r="34" spans="1:12">
      <c r="A34" s="9" t="s">
        <v>101</v>
      </c>
      <c r="B34" s="8">
        <v>12</v>
      </c>
      <c r="C34" s="8" t="s">
        <v>39</v>
      </c>
      <c r="D34" s="8" t="s">
        <v>56</v>
      </c>
      <c r="E34" s="8" t="s">
        <v>102</v>
      </c>
      <c r="F34" s="8">
        <v>139</v>
      </c>
      <c r="G34" s="8">
        <v>59.27</v>
      </c>
      <c r="H34" s="10">
        <v>28.98</v>
      </c>
      <c r="I34" s="8">
        <f t="shared" si="0"/>
        <v>1</v>
      </c>
      <c r="J34" s="8" t="str">
        <f t="shared" si="1"/>
        <v>No</v>
      </c>
      <c r="K34" s="5" t="str">
        <f t="shared" si="2"/>
        <v>No</v>
      </c>
      <c r="L34" s="25">
        <f t="shared" si="3"/>
        <v>49.806722689075634</v>
      </c>
    </row>
    <row r="35" spans="1:12">
      <c r="A35" s="9" t="s">
        <v>103</v>
      </c>
      <c r="B35" s="8">
        <v>24</v>
      </c>
      <c r="C35" s="8" t="s">
        <v>39</v>
      </c>
      <c r="D35" s="8" t="s">
        <v>36</v>
      </c>
      <c r="E35" s="8" t="s">
        <v>104</v>
      </c>
      <c r="F35" s="8">
        <v>150</v>
      </c>
      <c r="G35" s="8">
        <v>65.48</v>
      </c>
      <c r="H35" s="10">
        <v>28.23</v>
      </c>
      <c r="I35" s="8">
        <f t="shared" si="0"/>
        <v>1</v>
      </c>
      <c r="J35" s="8" t="str">
        <f t="shared" si="1"/>
        <v>No</v>
      </c>
      <c r="K35" s="5" t="str">
        <f t="shared" si="2"/>
        <v>No</v>
      </c>
      <c r="L35" s="25">
        <f t="shared" si="3"/>
        <v>55.025210084033617</v>
      </c>
    </row>
    <row r="36" spans="1:12">
      <c r="A36" s="9" t="s">
        <v>105</v>
      </c>
      <c r="B36" s="8">
        <v>24</v>
      </c>
      <c r="C36" s="8" t="s">
        <v>35</v>
      </c>
      <c r="D36" s="8" t="s">
        <v>56</v>
      </c>
      <c r="E36" s="8" t="s">
        <v>106</v>
      </c>
      <c r="F36" s="8">
        <v>321</v>
      </c>
      <c r="G36" s="8">
        <v>117.03</v>
      </c>
      <c r="H36" s="10">
        <v>23.56</v>
      </c>
      <c r="I36" s="8">
        <f t="shared" si="0"/>
        <v>1</v>
      </c>
      <c r="J36" s="8" t="str">
        <f t="shared" si="1"/>
        <v>No</v>
      </c>
      <c r="K36" s="5" t="str">
        <f t="shared" si="2"/>
        <v>No</v>
      </c>
      <c r="L36" s="25">
        <f t="shared" si="3"/>
        <v>98.34453781512606</v>
      </c>
    </row>
    <row r="37" spans="1:12">
      <c r="A37" s="9" t="s">
        <v>107</v>
      </c>
      <c r="B37" s="8">
        <v>24</v>
      </c>
      <c r="C37" s="8" t="s">
        <v>35</v>
      </c>
      <c r="D37" s="8" t="s">
        <v>36</v>
      </c>
      <c r="E37" s="8" t="s">
        <v>108</v>
      </c>
      <c r="F37" s="8">
        <v>206</v>
      </c>
      <c r="G37" s="8">
        <v>83.4</v>
      </c>
      <c r="H37" s="10">
        <v>22.94</v>
      </c>
      <c r="I37" s="8">
        <f t="shared" si="0"/>
        <v>1</v>
      </c>
      <c r="J37" s="8" t="str">
        <f t="shared" si="1"/>
        <v>No</v>
      </c>
      <c r="K37" s="5" t="str">
        <f t="shared" si="2"/>
        <v>No</v>
      </c>
      <c r="L37" s="25">
        <f t="shared" si="3"/>
        <v>70.084033613445385</v>
      </c>
    </row>
    <row r="38" spans="1:12">
      <c r="A38" s="9" t="s">
        <v>109</v>
      </c>
      <c r="B38" s="8">
        <v>12</v>
      </c>
      <c r="C38" s="8" t="s">
        <v>51</v>
      </c>
      <c r="D38" s="8" t="s">
        <v>36</v>
      </c>
      <c r="E38" s="8" t="s">
        <v>110</v>
      </c>
      <c r="F38" s="8">
        <v>466</v>
      </c>
      <c r="G38" s="8">
        <v>163.56</v>
      </c>
      <c r="H38" s="10">
        <v>17.600000000000001</v>
      </c>
      <c r="I38" s="8">
        <f t="shared" si="0"/>
        <v>1</v>
      </c>
      <c r="J38" s="8" t="str">
        <f t="shared" si="1"/>
        <v>No</v>
      </c>
      <c r="K38" s="5" t="str">
        <f t="shared" si="2"/>
        <v>No</v>
      </c>
      <c r="L38" s="25">
        <f t="shared" si="3"/>
        <v>137.44537815126051</v>
      </c>
    </row>
    <row r="39" spans="1:12">
      <c r="A39" s="9" t="s">
        <v>111</v>
      </c>
      <c r="B39" s="8">
        <v>12</v>
      </c>
      <c r="C39" s="8" t="s">
        <v>35</v>
      </c>
      <c r="D39" s="8" t="s">
        <v>36</v>
      </c>
      <c r="E39" s="8" t="s">
        <v>112</v>
      </c>
      <c r="F39" s="8">
        <v>192</v>
      </c>
      <c r="G39" s="8">
        <v>77.569999999999993</v>
      </c>
      <c r="H39" s="10">
        <v>25.84</v>
      </c>
      <c r="I39" s="8">
        <f t="shared" si="0"/>
        <v>1</v>
      </c>
      <c r="J39" s="8" t="str">
        <f t="shared" si="1"/>
        <v>No</v>
      </c>
      <c r="K39" s="5" t="str">
        <f t="shared" si="2"/>
        <v>No</v>
      </c>
      <c r="L39" s="25">
        <f t="shared" si="3"/>
        <v>65.184873949579824</v>
      </c>
    </row>
    <row r="40" spans="1:12">
      <c r="A40" s="9" t="s">
        <v>113</v>
      </c>
      <c r="B40" s="8">
        <v>24</v>
      </c>
      <c r="C40" s="8" t="s">
        <v>35</v>
      </c>
      <c r="D40" s="8" t="s">
        <v>36</v>
      </c>
      <c r="E40" s="8" t="s">
        <v>114</v>
      </c>
      <c r="F40" s="8">
        <v>332</v>
      </c>
      <c r="G40" s="8">
        <v>124.14</v>
      </c>
      <c r="H40" s="10">
        <v>24.47</v>
      </c>
      <c r="I40" s="8">
        <f t="shared" si="0"/>
        <v>1</v>
      </c>
      <c r="J40" s="8" t="str">
        <f t="shared" si="1"/>
        <v>No</v>
      </c>
      <c r="K40" s="5" t="str">
        <f t="shared" si="2"/>
        <v>No</v>
      </c>
      <c r="L40" s="25">
        <f t="shared" si="3"/>
        <v>104.31932773109244</v>
      </c>
    </row>
    <row r="41" spans="1:12">
      <c r="A41" s="9" t="s">
        <v>115</v>
      </c>
      <c r="B41" s="8">
        <v>12</v>
      </c>
      <c r="C41" s="8" t="s">
        <v>35</v>
      </c>
      <c r="D41" s="8" t="s">
        <v>36</v>
      </c>
      <c r="E41" s="8" t="s">
        <v>116</v>
      </c>
      <c r="F41" s="8">
        <v>321</v>
      </c>
      <c r="G41" s="8">
        <v>118.63</v>
      </c>
      <c r="H41" s="10">
        <v>24.23</v>
      </c>
      <c r="I41" s="8">
        <f t="shared" si="0"/>
        <v>1</v>
      </c>
      <c r="J41" s="8" t="str">
        <f t="shared" si="1"/>
        <v>No</v>
      </c>
      <c r="K41" s="5" t="str">
        <f t="shared" si="2"/>
        <v>No</v>
      </c>
      <c r="L41" s="25">
        <f t="shared" si="3"/>
        <v>99.689075630252105</v>
      </c>
    </row>
    <row r="42" spans="1:12">
      <c r="A42" s="9" t="s">
        <v>117</v>
      </c>
      <c r="B42" s="8">
        <v>12</v>
      </c>
      <c r="C42" s="8" t="s">
        <v>39</v>
      </c>
      <c r="D42" s="8" t="s">
        <v>46</v>
      </c>
      <c r="E42" s="8" t="s">
        <v>118</v>
      </c>
      <c r="F42" s="8">
        <v>128</v>
      </c>
      <c r="G42" s="8">
        <v>60.82</v>
      </c>
      <c r="H42" s="10">
        <v>29.66</v>
      </c>
      <c r="I42" s="8">
        <f t="shared" si="0"/>
        <v>1</v>
      </c>
      <c r="J42" s="8" t="str">
        <f t="shared" si="1"/>
        <v>No</v>
      </c>
      <c r="K42" s="5" t="str">
        <f t="shared" si="2"/>
        <v>No</v>
      </c>
      <c r="L42" s="25">
        <f t="shared" si="3"/>
        <v>51.109243697478995</v>
      </c>
    </row>
    <row r="43" spans="1:12">
      <c r="A43" s="9" t="s">
        <v>119</v>
      </c>
      <c r="B43" s="8">
        <v>12</v>
      </c>
      <c r="C43" s="8" t="s">
        <v>35</v>
      </c>
      <c r="D43" s="8" t="s">
        <v>36</v>
      </c>
      <c r="E43" s="8" t="s">
        <v>120</v>
      </c>
      <c r="F43" s="8">
        <v>307</v>
      </c>
      <c r="G43" s="8">
        <v>113.98</v>
      </c>
      <c r="H43" s="10">
        <v>23.72</v>
      </c>
      <c r="I43" s="8">
        <f t="shared" si="0"/>
        <v>1</v>
      </c>
      <c r="J43" s="8" t="str">
        <f t="shared" si="1"/>
        <v>No</v>
      </c>
      <c r="K43" s="5" t="str">
        <f t="shared" si="2"/>
        <v>No</v>
      </c>
      <c r="L43" s="25">
        <f t="shared" si="3"/>
        <v>95.781512605042025</v>
      </c>
    </row>
    <row r="44" spans="1:12">
      <c r="A44" s="9" t="s">
        <v>121</v>
      </c>
      <c r="B44" s="8">
        <v>12</v>
      </c>
      <c r="C44" s="8" t="s">
        <v>39</v>
      </c>
      <c r="D44" s="8" t="s">
        <v>46</v>
      </c>
      <c r="E44" s="8" t="s">
        <v>122</v>
      </c>
      <c r="F44" s="8">
        <v>127</v>
      </c>
      <c r="G44" s="8">
        <v>55.56</v>
      </c>
      <c r="H44" s="10">
        <v>30.16</v>
      </c>
      <c r="I44" s="8">
        <f t="shared" si="0"/>
        <v>1</v>
      </c>
      <c r="J44" s="8" t="str">
        <f t="shared" si="1"/>
        <v>No</v>
      </c>
      <c r="K44" s="5" t="str">
        <f t="shared" si="2"/>
        <v>No</v>
      </c>
      <c r="L44" s="25">
        <f t="shared" si="3"/>
        <v>46.689075630252105</v>
      </c>
    </row>
    <row r="45" spans="1:12">
      <c r="A45" s="9" t="s">
        <v>123</v>
      </c>
      <c r="B45" s="8">
        <v>24</v>
      </c>
      <c r="C45" s="8" t="s">
        <v>51</v>
      </c>
      <c r="D45" s="8" t="s">
        <v>56</v>
      </c>
      <c r="E45" s="8" t="s">
        <v>124</v>
      </c>
      <c r="F45" s="8">
        <v>541</v>
      </c>
      <c r="G45" s="8">
        <v>182.74</v>
      </c>
      <c r="H45" s="10">
        <v>19.98</v>
      </c>
      <c r="I45" s="8">
        <f t="shared" si="0"/>
        <v>1</v>
      </c>
      <c r="J45" s="8" t="str">
        <f t="shared" si="1"/>
        <v>No</v>
      </c>
      <c r="K45" s="5" t="str">
        <f t="shared" si="2"/>
        <v>No</v>
      </c>
      <c r="L45" s="25">
        <f t="shared" si="3"/>
        <v>153.56302521008405</v>
      </c>
    </row>
    <row r="46" spans="1:12">
      <c r="A46" s="9" t="s">
        <v>125</v>
      </c>
      <c r="B46" s="8">
        <v>12</v>
      </c>
      <c r="C46" s="8" t="s">
        <v>39</v>
      </c>
      <c r="D46" s="8" t="s">
        <v>36</v>
      </c>
      <c r="E46" s="8" t="s">
        <v>126</v>
      </c>
      <c r="F46" s="8">
        <v>90</v>
      </c>
      <c r="G46" s="8">
        <v>41.86</v>
      </c>
      <c r="H46" s="10">
        <v>30.81</v>
      </c>
      <c r="I46" s="8">
        <f t="shared" si="0"/>
        <v>1</v>
      </c>
      <c r="J46" s="8" t="str">
        <f t="shared" si="1"/>
        <v>No</v>
      </c>
      <c r="K46" s="5" t="str">
        <f t="shared" si="2"/>
        <v>No</v>
      </c>
      <c r="L46" s="25">
        <f t="shared" si="3"/>
        <v>35.176470588235297</v>
      </c>
    </row>
    <row r="47" spans="1:12">
      <c r="A47" s="9" t="s">
        <v>127</v>
      </c>
      <c r="B47" s="8">
        <v>24</v>
      </c>
      <c r="C47" s="8" t="s">
        <v>35</v>
      </c>
      <c r="D47" s="8" t="s">
        <v>36</v>
      </c>
      <c r="E47" s="8" t="s">
        <v>128</v>
      </c>
      <c r="F47" s="8">
        <v>292</v>
      </c>
      <c r="G47" s="8">
        <v>109.79</v>
      </c>
      <c r="H47" s="10">
        <v>22.69</v>
      </c>
      <c r="I47" s="8">
        <f t="shared" si="0"/>
        <v>1</v>
      </c>
      <c r="J47" s="8" t="str">
        <f t="shared" si="1"/>
        <v>No</v>
      </c>
      <c r="K47" s="5" t="str">
        <f t="shared" si="2"/>
        <v>No</v>
      </c>
      <c r="L47" s="25">
        <f t="shared" si="3"/>
        <v>92.260504201680675</v>
      </c>
    </row>
    <row r="48" spans="1:12">
      <c r="A48" s="9" t="s">
        <v>129</v>
      </c>
      <c r="B48" s="8">
        <v>12</v>
      </c>
      <c r="C48" s="8" t="s">
        <v>39</v>
      </c>
      <c r="D48" s="8" t="s">
        <v>36</v>
      </c>
      <c r="E48" s="8" t="s">
        <v>130</v>
      </c>
      <c r="F48" s="8">
        <v>94</v>
      </c>
      <c r="G48" s="8">
        <v>46.35</v>
      </c>
      <c r="H48" s="10">
        <v>30</v>
      </c>
      <c r="I48" s="8">
        <f t="shared" si="0"/>
        <v>1</v>
      </c>
      <c r="J48" s="8" t="str">
        <f t="shared" si="1"/>
        <v>No</v>
      </c>
      <c r="K48" s="5" t="str">
        <f t="shared" si="2"/>
        <v>No</v>
      </c>
      <c r="L48" s="25">
        <f t="shared" si="3"/>
        <v>38.949579831932773</v>
      </c>
    </row>
    <row r="49" spans="1:12">
      <c r="A49" s="9" t="s">
        <v>131</v>
      </c>
      <c r="B49" s="8">
        <v>12</v>
      </c>
      <c r="C49" s="8" t="s">
        <v>51</v>
      </c>
      <c r="D49" s="8" t="s">
        <v>36</v>
      </c>
      <c r="E49" s="8" t="s">
        <v>132</v>
      </c>
      <c r="F49" s="8">
        <v>609</v>
      </c>
      <c r="G49" s="8">
        <v>199.96</v>
      </c>
      <c r="H49" s="10">
        <v>18.559999999999999</v>
      </c>
      <c r="I49" s="8">
        <f t="shared" si="0"/>
        <v>1</v>
      </c>
      <c r="J49" s="8" t="str">
        <f t="shared" si="1"/>
        <v>No</v>
      </c>
      <c r="K49" s="5" t="str">
        <f t="shared" si="2"/>
        <v>No</v>
      </c>
      <c r="L49" s="25">
        <f t="shared" si="3"/>
        <v>168.03361344537817</v>
      </c>
    </row>
    <row r="50" spans="1:12">
      <c r="A50" s="9" t="s">
        <v>133</v>
      </c>
      <c r="B50" s="8">
        <v>12</v>
      </c>
      <c r="C50" s="8" t="s">
        <v>35</v>
      </c>
      <c r="D50" s="8" t="s">
        <v>36</v>
      </c>
      <c r="E50" s="8" t="s">
        <v>134</v>
      </c>
      <c r="F50" s="8">
        <v>297</v>
      </c>
      <c r="G50" s="8">
        <v>115.75</v>
      </c>
      <c r="H50" s="10">
        <v>25.48</v>
      </c>
      <c r="I50" s="8">
        <f t="shared" si="0"/>
        <v>1</v>
      </c>
      <c r="J50" s="8" t="str">
        <f t="shared" si="1"/>
        <v>No</v>
      </c>
      <c r="K50" s="5" t="str">
        <f t="shared" si="2"/>
        <v>No</v>
      </c>
      <c r="L50" s="25">
        <f t="shared" si="3"/>
        <v>97.268907563025209</v>
      </c>
    </row>
    <row r="51" spans="1:12">
      <c r="A51" s="9" t="s">
        <v>135</v>
      </c>
      <c r="B51" s="8">
        <v>12</v>
      </c>
      <c r="C51" s="8" t="s">
        <v>35</v>
      </c>
      <c r="D51" s="8" t="s">
        <v>36</v>
      </c>
      <c r="E51" s="8" t="s">
        <v>67</v>
      </c>
      <c r="F51" s="8">
        <v>285</v>
      </c>
      <c r="G51" s="8">
        <v>101.84</v>
      </c>
      <c r="H51" s="10">
        <v>24.53</v>
      </c>
      <c r="I51" s="8">
        <f t="shared" si="0"/>
        <v>1</v>
      </c>
      <c r="J51" s="8" t="str">
        <f t="shared" si="1"/>
        <v>No</v>
      </c>
      <c r="K51" s="5" t="str">
        <f t="shared" si="2"/>
        <v>No</v>
      </c>
      <c r="L51" s="25">
        <f t="shared" si="3"/>
        <v>85.579831932773118</v>
      </c>
    </row>
    <row r="52" spans="1:12">
      <c r="A52" s="9" t="s">
        <v>136</v>
      </c>
      <c r="B52" s="8">
        <v>24</v>
      </c>
      <c r="C52" s="8" t="s">
        <v>39</v>
      </c>
      <c r="D52" s="8" t="s">
        <v>36</v>
      </c>
      <c r="E52" s="8" t="s">
        <v>137</v>
      </c>
      <c r="F52" s="8">
        <v>86</v>
      </c>
      <c r="G52" s="8">
        <v>45.72</v>
      </c>
      <c r="H52" s="10">
        <v>30.13</v>
      </c>
      <c r="I52" s="8">
        <f t="shared" si="0"/>
        <v>1</v>
      </c>
      <c r="J52" s="8" t="str">
        <f t="shared" si="1"/>
        <v>No</v>
      </c>
      <c r="K52" s="5" t="str">
        <f t="shared" si="2"/>
        <v>No</v>
      </c>
      <c r="L52" s="25">
        <f t="shared" si="3"/>
        <v>38.420168067226889</v>
      </c>
    </row>
    <row r="53" spans="1:12">
      <c r="A53" s="9" t="s">
        <v>138</v>
      </c>
      <c r="B53" s="8">
        <v>24</v>
      </c>
      <c r="C53" s="8" t="s">
        <v>35</v>
      </c>
      <c r="D53" s="8" t="s">
        <v>56</v>
      </c>
      <c r="E53" s="8" t="s">
        <v>100</v>
      </c>
      <c r="F53" s="8">
        <v>217</v>
      </c>
      <c r="G53" s="8">
        <v>86.51</v>
      </c>
      <c r="H53" s="10">
        <v>22.46</v>
      </c>
      <c r="I53" s="8">
        <f t="shared" si="0"/>
        <v>1</v>
      </c>
      <c r="J53" s="8" t="str">
        <f t="shared" si="1"/>
        <v>No</v>
      </c>
      <c r="K53" s="5" t="str">
        <f t="shared" si="2"/>
        <v>No</v>
      </c>
      <c r="L53" s="25">
        <f t="shared" si="3"/>
        <v>72.69747899159664</v>
      </c>
    </row>
    <row r="54" spans="1:12">
      <c r="A54" s="9" t="s">
        <v>139</v>
      </c>
      <c r="B54" s="8">
        <v>24</v>
      </c>
      <c r="C54" s="8" t="s">
        <v>39</v>
      </c>
      <c r="D54" s="8" t="s">
        <v>46</v>
      </c>
      <c r="E54" s="8" t="s">
        <v>81</v>
      </c>
      <c r="F54" s="8">
        <v>105</v>
      </c>
      <c r="G54" s="8">
        <v>51.32</v>
      </c>
      <c r="H54" s="10">
        <v>30.42</v>
      </c>
      <c r="I54" s="8">
        <f t="shared" si="0"/>
        <v>1</v>
      </c>
      <c r="J54" s="8" t="str">
        <f t="shared" si="1"/>
        <v>No</v>
      </c>
      <c r="K54" s="5" t="str">
        <f t="shared" si="2"/>
        <v>No</v>
      </c>
      <c r="L54" s="25">
        <f t="shared" si="3"/>
        <v>43.12605042016807</v>
      </c>
    </row>
    <row r="55" spans="1:12">
      <c r="A55" s="9" t="s">
        <v>140</v>
      </c>
      <c r="B55" s="8">
        <v>24</v>
      </c>
      <c r="C55" s="8" t="s">
        <v>51</v>
      </c>
      <c r="D55" s="8" t="s">
        <v>36</v>
      </c>
      <c r="E55" s="8" t="s">
        <v>141</v>
      </c>
      <c r="F55" s="8">
        <v>453</v>
      </c>
      <c r="G55" s="8">
        <v>155.02000000000001</v>
      </c>
      <c r="H55" s="10">
        <v>17.09</v>
      </c>
      <c r="I55" s="8">
        <f t="shared" si="0"/>
        <v>1</v>
      </c>
      <c r="J55" s="8" t="str">
        <f t="shared" si="1"/>
        <v>No</v>
      </c>
      <c r="K55" s="5" t="str">
        <f t="shared" si="2"/>
        <v>No</v>
      </c>
      <c r="L55" s="25">
        <f t="shared" si="3"/>
        <v>130.26890756302524</v>
      </c>
    </row>
    <row r="56" spans="1:12">
      <c r="A56" s="9" t="s">
        <v>142</v>
      </c>
      <c r="B56" s="8">
        <v>24</v>
      </c>
      <c r="C56" s="8" t="s">
        <v>39</v>
      </c>
      <c r="D56" s="8" t="s">
        <v>46</v>
      </c>
      <c r="E56" s="8" t="s">
        <v>143</v>
      </c>
      <c r="F56" s="8">
        <v>90</v>
      </c>
      <c r="G56" s="8">
        <v>45.15</v>
      </c>
      <c r="H56" s="10">
        <v>29.35</v>
      </c>
      <c r="I56" s="8">
        <f t="shared" si="0"/>
        <v>1</v>
      </c>
      <c r="J56" s="8" t="str">
        <f t="shared" si="1"/>
        <v>No</v>
      </c>
      <c r="K56" s="5" t="str">
        <f t="shared" si="2"/>
        <v>No</v>
      </c>
      <c r="L56" s="25">
        <f t="shared" si="3"/>
        <v>37.941176470588239</v>
      </c>
    </row>
    <row r="57" spans="1:12">
      <c r="A57" s="9" t="s">
        <v>144</v>
      </c>
      <c r="B57" s="8">
        <v>24</v>
      </c>
      <c r="C57" s="8" t="s">
        <v>39</v>
      </c>
      <c r="D57" s="8" t="s">
        <v>36</v>
      </c>
      <c r="E57" s="8" t="s">
        <v>145</v>
      </c>
      <c r="F57" s="8">
        <v>162</v>
      </c>
      <c r="G57" s="8">
        <v>64.41</v>
      </c>
      <c r="H57" s="10">
        <v>30.57</v>
      </c>
      <c r="I57" s="8">
        <f t="shared" si="0"/>
        <v>1</v>
      </c>
      <c r="J57" s="8" t="str">
        <f t="shared" si="1"/>
        <v>No</v>
      </c>
      <c r="K57" s="5" t="str">
        <f t="shared" si="2"/>
        <v>No</v>
      </c>
      <c r="L57" s="25">
        <f t="shared" si="3"/>
        <v>54.12605042016807</v>
      </c>
    </row>
    <row r="58" spans="1:12">
      <c r="A58" s="9" t="s">
        <v>146</v>
      </c>
      <c r="B58" s="8">
        <v>12</v>
      </c>
      <c r="C58" s="8" t="s">
        <v>39</v>
      </c>
      <c r="D58" s="8" t="s">
        <v>36</v>
      </c>
      <c r="E58" s="8" t="s">
        <v>147</v>
      </c>
      <c r="F58" s="8">
        <v>130</v>
      </c>
      <c r="G58" s="8">
        <v>57.15</v>
      </c>
      <c r="H58" s="10">
        <v>30.77</v>
      </c>
      <c r="I58" s="8">
        <f t="shared" si="0"/>
        <v>1</v>
      </c>
      <c r="J58" s="8" t="str">
        <f t="shared" si="1"/>
        <v>No</v>
      </c>
      <c r="K58" s="5" t="str">
        <f t="shared" si="2"/>
        <v>No</v>
      </c>
      <c r="L58" s="25">
        <f t="shared" si="3"/>
        <v>48.025210084033617</v>
      </c>
    </row>
    <row r="59" spans="1:12">
      <c r="A59" s="9" t="s">
        <v>148</v>
      </c>
      <c r="B59" s="8">
        <v>12</v>
      </c>
      <c r="C59" s="8" t="s">
        <v>35</v>
      </c>
      <c r="D59" s="8" t="s">
        <v>46</v>
      </c>
      <c r="E59" s="8" t="s">
        <v>149</v>
      </c>
      <c r="F59" s="8">
        <v>218</v>
      </c>
      <c r="G59" s="8">
        <v>82.95</v>
      </c>
      <c r="H59" s="10">
        <v>22.83</v>
      </c>
      <c r="I59" s="8">
        <f t="shared" si="0"/>
        <v>1</v>
      </c>
      <c r="J59" s="8" t="str">
        <f t="shared" si="1"/>
        <v>No</v>
      </c>
      <c r="K59" s="5" t="str">
        <f t="shared" si="2"/>
        <v>No</v>
      </c>
      <c r="L59" s="25">
        <f t="shared" si="3"/>
        <v>69.705882352941188</v>
      </c>
    </row>
    <row r="60" spans="1:12">
      <c r="A60" s="9" t="s">
        <v>150</v>
      </c>
      <c r="B60" s="8">
        <v>12</v>
      </c>
      <c r="C60" s="8" t="s">
        <v>35</v>
      </c>
      <c r="D60" s="8" t="s">
        <v>36</v>
      </c>
      <c r="E60" s="8" t="s">
        <v>151</v>
      </c>
      <c r="F60" s="8">
        <v>233</v>
      </c>
      <c r="G60" s="8">
        <v>94.73</v>
      </c>
      <c r="H60" s="10">
        <v>23.57</v>
      </c>
      <c r="I60" s="8">
        <f t="shared" si="0"/>
        <v>1</v>
      </c>
      <c r="J60" s="8" t="str">
        <f t="shared" si="1"/>
        <v>No</v>
      </c>
      <c r="K60" s="5" t="str">
        <f t="shared" si="2"/>
        <v>No</v>
      </c>
      <c r="L60" s="25">
        <f t="shared" si="3"/>
        <v>79.605042016806735</v>
      </c>
    </row>
    <row r="61" spans="1:12">
      <c r="A61" s="9" t="s">
        <v>152</v>
      </c>
      <c r="B61" s="8">
        <v>12</v>
      </c>
      <c r="C61" s="8" t="s">
        <v>39</v>
      </c>
      <c r="D61" s="8" t="s">
        <v>36</v>
      </c>
      <c r="E61" s="8" t="s">
        <v>153</v>
      </c>
      <c r="F61" s="8">
        <v>121</v>
      </c>
      <c r="G61" s="8">
        <v>58.21</v>
      </c>
      <c r="H61" s="10">
        <v>31.58</v>
      </c>
      <c r="I61" s="8">
        <f t="shared" si="0"/>
        <v>1</v>
      </c>
      <c r="J61" s="8" t="str">
        <f t="shared" si="1"/>
        <v>No</v>
      </c>
      <c r="K61" s="5" t="str">
        <f t="shared" si="2"/>
        <v>No</v>
      </c>
      <c r="L61" s="25">
        <f t="shared" si="3"/>
        <v>48.915966386554622</v>
      </c>
    </row>
    <row r="62" spans="1:12">
      <c r="A62" s="9" t="s">
        <v>154</v>
      </c>
      <c r="B62" s="8">
        <v>12</v>
      </c>
      <c r="C62" s="8" t="s">
        <v>51</v>
      </c>
      <c r="D62" s="8" t="s">
        <v>56</v>
      </c>
      <c r="E62" s="8" t="s">
        <v>155</v>
      </c>
      <c r="F62" s="8">
        <v>534</v>
      </c>
      <c r="G62" s="8">
        <v>173.65</v>
      </c>
      <c r="H62" s="10">
        <v>17.52</v>
      </c>
      <c r="I62" s="8">
        <f t="shared" si="0"/>
        <v>1</v>
      </c>
      <c r="J62" s="8" t="str">
        <f t="shared" si="1"/>
        <v>No</v>
      </c>
      <c r="K62" s="5" t="str">
        <f t="shared" si="2"/>
        <v>No</v>
      </c>
      <c r="L62" s="25">
        <f t="shared" si="3"/>
        <v>145.92436974789916</v>
      </c>
    </row>
    <row r="63" spans="1:12">
      <c r="A63" s="9" t="s">
        <v>156</v>
      </c>
      <c r="B63" s="8">
        <v>12</v>
      </c>
      <c r="C63" s="8" t="s">
        <v>35</v>
      </c>
      <c r="D63" s="8" t="s">
        <v>56</v>
      </c>
      <c r="E63" s="8" t="s">
        <v>157</v>
      </c>
      <c r="F63" s="8">
        <v>253</v>
      </c>
      <c r="G63" s="8">
        <v>94.91</v>
      </c>
      <c r="H63" s="10">
        <v>26.03</v>
      </c>
      <c r="I63" s="8">
        <f t="shared" si="0"/>
        <v>1</v>
      </c>
      <c r="J63" s="8" t="str">
        <f t="shared" si="1"/>
        <v>No</v>
      </c>
      <c r="K63" s="5" t="str">
        <f t="shared" si="2"/>
        <v>No</v>
      </c>
      <c r="L63" s="25">
        <f t="shared" si="3"/>
        <v>79.756302521008408</v>
      </c>
    </row>
    <row r="64" spans="1:12">
      <c r="A64" s="9" t="s">
        <v>158</v>
      </c>
      <c r="B64" s="8">
        <v>24</v>
      </c>
      <c r="C64" s="8" t="s">
        <v>35</v>
      </c>
      <c r="D64" s="8" t="s">
        <v>46</v>
      </c>
      <c r="E64" s="8" t="s">
        <v>44</v>
      </c>
      <c r="F64" s="8">
        <v>320</v>
      </c>
      <c r="G64" s="8">
        <v>121.29</v>
      </c>
      <c r="H64" s="10">
        <v>23.68</v>
      </c>
      <c r="I64" s="8">
        <f t="shared" si="0"/>
        <v>1</v>
      </c>
      <c r="J64" s="8" t="str">
        <f t="shared" si="1"/>
        <v>No</v>
      </c>
      <c r="K64" s="5" t="str">
        <f t="shared" si="2"/>
        <v>No</v>
      </c>
      <c r="L64" s="25">
        <f t="shared" si="3"/>
        <v>101.92436974789916</v>
      </c>
    </row>
    <row r="65" spans="1:12">
      <c r="A65" s="9" t="s">
        <v>159</v>
      </c>
      <c r="B65" s="8">
        <v>12</v>
      </c>
      <c r="C65" s="8" t="s">
        <v>35</v>
      </c>
      <c r="D65" s="8" t="s">
        <v>46</v>
      </c>
      <c r="E65" s="8" t="s">
        <v>160</v>
      </c>
      <c r="F65" s="8">
        <v>250</v>
      </c>
      <c r="G65" s="8">
        <v>92.05</v>
      </c>
      <c r="H65" s="10">
        <v>24.07</v>
      </c>
      <c r="I65" s="8">
        <f t="shared" si="0"/>
        <v>1</v>
      </c>
      <c r="J65" s="8" t="str">
        <f t="shared" si="1"/>
        <v>No</v>
      </c>
      <c r="K65" s="5" t="str">
        <f t="shared" si="2"/>
        <v>No</v>
      </c>
      <c r="L65" s="25">
        <f t="shared" si="3"/>
        <v>77.352941176470594</v>
      </c>
    </row>
    <row r="66" spans="1:12">
      <c r="A66" s="9" t="s">
        <v>161</v>
      </c>
      <c r="B66" s="8">
        <v>12</v>
      </c>
      <c r="C66" s="8" t="s">
        <v>35</v>
      </c>
      <c r="D66" s="8" t="s">
        <v>46</v>
      </c>
      <c r="E66" s="8" t="s">
        <v>162</v>
      </c>
      <c r="F66" s="8">
        <v>332</v>
      </c>
      <c r="G66" s="8">
        <v>125.87</v>
      </c>
      <c r="H66" s="10">
        <v>25.17</v>
      </c>
      <c r="I66" s="8">
        <f t="shared" ref="I66:I129" si="4">COUNTIF($A:$A,A66)</f>
        <v>1</v>
      </c>
      <c r="J66" s="8" t="str">
        <f t="shared" ref="J66:J129" si="5">IF(F66=0,"Yes","No")</f>
        <v>No</v>
      </c>
      <c r="K66" s="5" t="str">
        <f t="shared" ref="K66:K129" si="6">IF(F66&lt;0,"Yes","No")</f>
        <v>No</v>
      </c>
      <c r="L66" s="25">
        <f t="shared" ref="L66:L129" si="7">G66/1.19</f>
        <v>105.77310924369749</v>
      </c>
    </row>
    <row r="67" spans="1:12">
      <c r="A67" s="9" t="s">
        <v>163</v>
      </c>
      <c r="B67" s="8">
        <v>12</v>
      </c>
      <c r="C67" s="8" t="s">
        <v>35</v>
      </c>
      <c r="D67" s="8" t="s">
        <v>36</v>
      </c>
      <c r="E67" s="8" t="s">
        <v>164</v>
      </c>
      <c r="F67" s="8">
        <v>308</v>
      </c>
      <c r="G67" s="8">
        <v>110.9</v>
      </c>
      <c r="H67" s="10">
        <v>22.28</v>
      </c>
      <c r="I67" s="8">
        <f t="shared" si="4"/>
        <v>1</v>
      </c>
      <c r="J67" s="8" t="str">
        <f t="shared" si="5"/>
        <v>No</v>
      </c>
      <c r="K67" s="5" t="str">
        <f t="shared" si="6"/>
        <v>No</v>
      </c>
      <c r="L67" s="25">
        <f t="shared" si="7"/>
        <v>93.193277310924373</v>
      </c>
    </row>
    <row r="68" spans="1:12">
      <c r="A68" s="9" t="s">
        <v>165</v>
      </c>
      <c r="B68" s="8">
        <v>12</v>
      </c>
      <c r="C68" s="8" t="s">
        <v>39</v>
      </c>
      <c r="D68" s="8" t="s">
        <v>36</v>
      </c>
      <c r="E68" s="8" t="s">
        <v>166</v>
      </c>
      <c r="F68" s="8">
        <v>100</v>
      </c>
      <c r="G68" s="8">
        <v>45.15</v>
      </c>
      <c r="H68" s="10">
        <v>29.9</v>
      </c>
      <c r="I68" s="8">
        <f t="shared" si="4"/>
        <v>1</v>
      </c>
      <c r="J68" s="8" t="str">
        <f t="shared" si="5"/>
        <v>No</v>
      </c>
      <c r="K68" s="5" t="str">
        <f t="shared" si="6"/>
        <v>No</v>
      </c>
      <c r="L68" s="25">
        <f t="shared" si="7"/>
        <v>37.941176470588239</v>
      </c>
    </row>
    <row r="69" spans="1:12">
      <c r="A69" s="9" t="s">
        <v>167</v>
      </c>
      <c r="B69" s="8">
        <v>24</v>
      </c>
      <c r="C69" s="8" t="s">
        <v>39</v>
      </c>
      <c r="D69" s="8" t="s">
        <v>36</v>
      </c>
      <c r="E69" s="8" t="s">
        <v>168</v>
      </c>
      <c r="F69" s="8">
        <v>161</v>
      </c>
      <c r="G69" s="8">
        <v>69.569999999999993</v>
      </c>
      <c r="H69" s="10">
        <v>30.24</v>
      </c>
      <c r="I69" s="8">
        <f t="shared" si="4"/>
        <v>1</v>
      </c>
      <c r="J69" s="8" t="str">
        <f t="shared" si="5"/>
        <v>No</v>
      </c>
      <c r="K69" s="5" t="str">
        <f t="shared" si="6"/>
        <v>No</v>
      </c>
      <c r="L69" s="25">
        <f t="shared" si="7"/>
        <v>58.462184873949575</v>
      </c>
    </row>
    <row r="70" spans="1:12">
      <c r="A70" s="9" t="s">
        <v>169</v>
      </c>
      <c r="B70" s="8">
        <v>12</v>
      </c>
      <c r="C70" s="8" t="s">
        <v>51</v>
      </c>
      <c r="D70" s="8" t="s">
        <v>36</v>
      </c>
      <c r="E70" s="8" t="s">
        <v>170</v>
      </c>
      <c r="F70" s="8">
        <v>372</v>
      </c>
      <c r="G70" s="8">
        <v>129.72999999999999</v>
      </c>
      <c r="H70" s="10">
        <v>19.64</v>
      </c>
      <c r="I70" s="8">
        <f t="shared" si="4"/>
        <v>1</v>
      </c>
      <c r="J70" s="8" t="str">
        <f t="shared" si="5"/>
        <v>No</v>
      </c>
      <c r="K70" s="5" t="str">
        <f t="shared" si="6"/>
        <v>No</v>
      </c>
      <c r="L70" s="25">
        <f t="shared" si="7"/>
        <v>109.01680672268907</v>
      </c>
    </row>
    <row r="71" spans="1:12">
      <c r="A71" s="9" t="s">
        <v>171</v>
      </c>
      <c r="B71" s="8">
        <v>24</v>
      </c>
      <c r="C71" s="8" t="s">
        <v>51</v>
      </c>
      <c r="D71" s="8" t="s">
        <v>36</v>
      </c>
      <c r="E71" s="8" t="s">
        <v>172</v>
      </c>
      <c r="F71" s="8">
        <v>606</v>
      </c>
      <c r="G71" s="8">
        <v>212</v>
      </c>
      <c r="H71" s="10">
        <v>19.940000000000001</v>
      </c>
      <c r="I71" s="8">
        <f t="shared" si="4"/>
        <v>1</v>
      </c>
      <c r="J71" s="8" t="str">
        <f t="shared" si="5"/>
        <v>No</v>
      </c>
      <c r="K71" s="5" t="str">
        <f t="shared" si="6"/>
        <v>No</v>
      </c>
      <c r="L71" s="25">
        <f t="shared" si="7"/>
        <v>178.1512605042017</v>
      </c>
    </row>
    <row r="72" spans="1:12">
      <c r="A72" s="9" t="s">
        <v>173</v>
      </c>
      <c r="B72" s="8">
        <v>24</v>
      </c>
      <c r="C72" s="8" t="s">
        <v>35</v>
      </c>
      <c r="D72" s="8" t="s">
        <v>36</v>
      </c>
      <c r="E72" s="8" t="s">
        <v>174</v>
      </c>
      <c r="F72" s="8">
        <v>230</v>
      </c>
      <c r="G72" s="8">
        <v>87.96</v>
      </c>
      <c r="H72" s="10">
        <v>23.01</v>
      </c>
      <c r="I72" s="8">
        <f t="shared" si="4"/>
        <v>1</v>
      </c>
      <c r="J72" s="8" t="str">
        <f t="shared" si="5"/>
        <v>No</v>
      </c>
      <c r="K72" s="5" t="str">
        <f t="shared" si="6"/>
        <v>No</v>
      </c>
      <c r="L72" s="25">
        <f t="shared" si="7"/>
        <v>73.915966386554615</v>
      </c>
    </row>
    <row r="73" spans="1:12">
      <c r="A73" s="9" t="s">
        <v>175</v>
      </c>
      <c r="B73" s="8">
        <v>12</v>
      </c>
      <c r="C73" s="8" t="s">
        <v>39</v>
      </c>
      <c r="D73" s="8" t="s">
        <v>56</v>
      </c>
      <c r="E73" s="8" t="s">
        <v>59</v>
      </c>
      <c r="F73" s="8">
        <v>157</v>
      </c>
      <c r="G73" s="8">
        <v>66.150000000000006</v>
      </c>
      <c r="H73" s="10">
        <v>28.04</v>
      </c>
      <c r="I73" s="8">
        <f t="shared" si="4"/>
        <v>1</v>
      </c>
      <c r="J73" s="8" t="str">
        <f t="shared" si="5"/>
        <v>No</v>
      </c>
      <c r="K73" s="5" t="str">
        <f t="shared" si="6"/>
        <v>No</v>
      </c>
      <c r="L73" s="25">
        <f t="shared" si="7"/>
        <v>55.588235294117652</v>
      </c>
    </row>
    <row r="74" spans="1:12">
      <c r="A74" s="9" t="s">
        <v>176</v>
      </c>
      <c r="B74" s="8">
        <v>12</v>
      </c>
      <c r="C74" s="8" t="s">
        <v>35</v>
      </c>
      <c r="D74" s="8" t="s">
        <v>56</v>
      </c>
      <c r="E74" s="8" t="s">
        <v>177</v>
      </c>
      <c r="F74" s="8">
        <v>311</v>
      </c>
      <c r="G74" s="8">
        <v>115.16</v>
      </c>
      <c r="H74" s="10">
        <v>24.89</v>
      </c>
      <c r="I74" s="8">
        <f t="shared" si="4"/>
        <v>1</v>
      </c>
      <c r="J74" s="8" t="str">
        <f t="shared" si="5"/>
        <v>No</v>
      </c>
      <c r="K74" s="5" t="str">
        <f t="shared" si="6"/>
        <v>No</v>
      </c>
      <c r="L74" s="25">
        <f t="shared" si="7"/>
        <v>96.773109243697476</v>
      </c>
    </row>
    <row r="75" spans="1:12">
      <c r="A75" s="9" t="s">
        <v>178</v>
      </c>
      <c r="B75" s="8">
        <v>24</v>
      </c>
      <c r="C75" s="8" t="s">
        <v>35</v>
      </c>
      <c r="D75" s="8" t="s">
        <v>46</v>
      </c>
      <c r="E75" s="8" t="s">
        <v>179</v>
      </c>
      <c r="F75" s="8">
        <v>301</v>
      </c>
      <c r="G75" s="8">
        <v>113.78</v>
      </c>
      <c r="H75" s="10">
        <v>24.14</v>
      </c>
      <c r="I75" s="8">
        <f t="shared" si="4"/>
        <v>1</v>
      </c>
      <c r="J75" s="8" t="str">
        <f t="shared" si="5"/>
        <v>No</v>
      </c>
      <c r="K75" s="5" t="str">
        <f t="shared" si="6"/>
        <v>No</v>
      </c>
      <c r="L75" s="25">
        <f t="shared" si="7"/>
        <v>95.613445378151269</v>
      </c>
    </row>
    <row r="76" spans="1:12">
      <c r="A76" s="9" t="s">
        <v>180</v>
      </c>
      <c r="B76" s="8">
        <v>24</v>
      </c>
      <c r="C76" s="8" t="s">
        <v>39</v>
      </c>
      <c r="D76" s="8" t="s">
        <v>36</v>
      </c>
      <c r="E76" s="8" t="s">
        <v>181</v>
      </c>
      <c r="F76" s="8">
        <v>149</v>
      </c>
      <c r="G76" s="8">
        <v>64.37</v>
      </c>
      <c r="H76" s="10">
        <v>31.34</v>
      </c>
      <c r="I76" s="8">
        <f t="shared" si="4"/>
        <v>1</v>
      </c>
      <c r="J76" s="8" t="str">
        <f t="shared" si="5"/>
        <v>No</v>
      </c>
      <c r="K76" s="5" t="str">
        <f t="shared" si="6"/>
        <v>No</v>
      </c>
      <c r="L76" s="25">
        <f t="shared" si="7"/>
        <v>54.092436974789919</v>
      </c>
    </row>
    <row r="77" spans="1:12">
      <c r="A77" s="9" t="s">
        <v>182</v>
      </c>
      <c r="B77" s="8">
        <v>24</v>
      </c>
      <c r="C77" s="8" t="s">
        <v>39</v>
      </c>
      <c r="D77" s="8" t="s">
        <v>56</v>
      </c>
      <c r="E77" s="8" t="s">
        <v>183</v>
      </c>
      <c r="F77" s="8">
        <v>109</v>
      </c>
      <c r="G77" s="8">
        <v>51</v>
      </c>
      <c r="H77" s="10">
        <v>31.29</v>
      </c>
      <c r="I77" s="8">
        <f t="shared" si="4"/>
        <v>1</v>
      </c>
      <c r="J77" s="8" t="str">
        <f t="shared" si="5"/>
        <v>No</v>
      </c>
      <c r="K77" s="5" t="str">
        <f t="shared" si="6"/>
        <v>No</v>
      </c>
      <c r="L77" s="25">
        <f t="shared" si="7"/>
        <v>42.857142857142861</v>
      </c>
    </row>
    <row r="78" spans="1:12">
      <c r="A78" s="9" t="s">
        <v>184</v>
      </c>
      <c r="B78" s="8">
        <v>24</v>
      </c>
      <c r="C78" s="8" t="s">
        <v>35</v>
      </c>
      <c r="D78" s="8" t="s">
        <v>36</v>
      </c>
      <c r="E78" s="8" t="s">
        <v>185</v>
      </c>
      <c r="F78" s="8">
        <v>180</v>
      </c>
      <c r="G78" s="8">
        <v>73.11</v>
      </c>
      <c r="H78" s="10">
        <v>25.37</v>
      </c>
      <c r="I78" s="8">
        <f t="shared" si="4"/>
        <v>1</v>
      </c>
      <c r="J78" s="8" t="str">
        <f t="shared" si="5"/>
        <v>No</v>
      </c>
      <c r="K78" s="5" t="str">
        <f t="shared" si="6"/>
        <v>No</v>
      </c>
      <c r="L78" s="25">
        <f t="shared" si="7"/>
        <v>61.436974789915972</v>
      </c>
    </row>
    <row r="79" spans="1:12">
      <c r="A79" s="9" t="s">
        <v>186</v>
      </c>
      <c r="B79" s="8">
        <v>12</v>
      </c>
      <c r="C79" s="8" t="s">
        <v>35</v>
      </c>
      <c r="D79" s="8" t="s">
        <v>46</v>
      </c>
      <c r="E79" s="8" t="s">
        <v>187</v>
      </c>
      <c r="F79" s="8">
        <v>234</v>
      </c>
      <c r="G79" s="8">
        <v>88.9</v>
      </c>
      <c r="H79" s="10">
        <v>23.94</v>
      </c>
      <c r="I79" s="8">
        <f t="shared" si="4"/>
        <v>1</v>
      </c>
      <c r="J79" s="8" t="str">
        <f t="shared" si="5"/>
        <v>No</v>
      </c>
      <c r="K79" s="5" t="str">
        <f t="shared" si="6"/>
        <v>No</v>
      </c>
      <c r="L79" s="25">
        <f t="shared" si="7"/>
        <v>74.705882352941188</v>
      </c>
    </row>
    <row r="80" spans="1:12">
      <c r="A80" s="9" t="s">
        <v>188</v>
      </c>
      <c r="B80" s="8">
        <v>12</v>
      </c>
      <c r="C80" s="8" t="s">
        <v>39</v>
      </c>
      <c r="D80" s="8" t="s">
        <v>36</v>
      </c>
      <c r="E80" s="8" t="s">
        <v>189</v>
      </c>
      <c r="F80" s="8">
        <v>98</v>
      </c>
      <c r="G80" s="8">
        <v>46.45</v>
      </c>
      <c r="H80" s="10">
        <v>29.33</v>
      </c>
      <c r="I80" s="8">
        <f t="shared" si="4"/>
        <v>1</v>
      </c>
      <c r="J80" s="8" t="str">
        <f t="shared" si="5"/>
        <v>No</v>
      </c>
      <c r="K80" s="5" t="str">
        <f t="shared" si="6"/>
        <v>No</v>
      </c>
      <c r="L80" s="25">
        <f t="shared" si="7"/>
        <v>39.033613445378158</v>
      </c>
    </row>
    <row r="81" spans="1:12">
      <c r="A81" s="9" t="s">
        <v>190</v>
      </c>
      <c r="B81" s="8">
        <v>12</v>
      </c>
      <c r="C81" s="8" t="s">
        <v>39</v>
      </c>
      <c r="D81" s="8" t="s">
        <v>46</v>
      </c>
      <c r="E81" s="8" t="s">
        <v>191</v>
      </c>
      <c r="F81" s="8">
        <v>141</v>
      </c>
      <c r="G81" s="8">
        <v>61.71</v>
      </c>
      <c r="H81" s="10">
        <v>33.17</v>
      </c>
      <c r="I81" s="8">
        <f t="shared" si="4"/>
        <v>1</v>
      </c>
      <c r="J81" s="8" t="str">
        <f t="shared" si="5"/>
        <v>No</v>
      </c>
      <c r="K81" s="5" t="str">
        <f t="shared" si="6"/>
        <v>No</v>
      </c>
      <c r="L81" s="25">
        <f t="shared" si="7"/>
        <v>51.857142857142861</v>
      </c>
    </row>
    <row r="82" spans="1:12">
      <c r="A82" s="9" t="s">
        <v>192</v>
      </c>
      <c r="B82" s="8">
        <v>24</v>
      </c>
      <c r="C82" s="8" t="s">
        <v>39</v>
      </c>
      <c r="D82" s="8" t="s">
        <v>36</v>
      </c>
      <c r="E82" s="8" t="s">
        <v>193</v>
      </c>
      <c r="F82" s="8">
        <v>112</v>
      </c>
      <c r="G82" s="8">
        <v>50.62</v>
      </c>
      <c r="H82" s="10">
        <v>29.81</v>
      </c>
      <c r="I82" s="8">
        <f t="shared" si="4"/>
        <v>1</v>
      </c>
      <c r="J82" s="8" t="str">
        <f t="shared" si="5"/>
        <v>No</v>
      </c>
      <c r="K82" s="5" t="str">
        <f t="shared" si="6"/>
        <v>No</v>
      </c>
      <c r="L82" s="25">
        <f t="shared" si="7"/>
        <v>42.537815126050418</v>
      </c>
    </row>
    <row r="83" spans="1:12">
      <c r="A83" s="9" t="s">
        <v>194</v>
      </c>
      <c r="B83" s="8">
        <v>24</v>
      </c>
      <c r="C83" s="8" t="s">
        <v>35</v>
      </c>
      <c r="D83" s="8" t="s">
        <v>56</v>
      </c>
      <c r="E83" s="8" t="s">
        <v>195</v>
      </c>
      <c r="F83" s="8">
        <v>329</v>
      </c>
      <c r="G83" s="8">
        <v>120.21</v>
      </c>
      <c r="H83" s="10">
        <v>22.73</v>
      </c>
      <c r="I83" s="8">
        <f t="shared" si="4"/>
        <v>1</v>
      </c>
      <c r="J83" s="8" t="str">
        <f t="shared" si="5"/>
        <v>No</v>
      </c>
      <c r="K83" s="5" t="str">
        <f t="shared" si="6"/>
        <v>No</v>
      </c>
      <c r="L83" s="25">
        <f t="shared" si="7"/>
        <v>101.01680672268907</v>
      </c>
    </row>
    <row r="84" spans="1:12">
      <c r="A84" s="9" t="s">
        <v>196</v>
      </c>
      <c r="B84" s="8">
        <v>12</v>
      </c>
      <c r="C84" s="8" t="s">
        <v>39</v>
      </c>
      <c r="D84" s="8" t="s">
        <v>56</v>
      </c>
      <c r="E84" s="8" t="s">
        <v>197</v>
      </c>
      <c r="F84" s="8">
        <v>137</v>
      </c>
      <c r="G84" s="8">
        <v>61.97</v>
      </c>
      <c r="H84" s="10">
        <v>31.42</v>
      </c>
      <c r="I84" s="8">
        <f t="shared" si="4"/>
        <v>1</v>
      </c>
      <c r="J84" s="8" t="str">
        <f t="shared" si="5"/>
        <v>No</v>
      </c>
      <c r="K84" s="5" t="str">
        <f t="shared" si="6"/>
        <v>No</v>
      </c>
      <c r="L84" s="25">
        <f t="shared" si="7"/>
        <v>52.075630252100844</v>
      </c>
    </row>
    <row r="85" spans="1:12">
      <c r="A85" s="9" t="s">
        <v>198</v>
      </c>
      <c r="B85" s="8">
        <v>12</v>
      </c>
      <c r="C85" s="8" t="s">
        <v>39</v>
      </c>
      <c r="D85" s="8" t="s">
        <v>36</v>
      </c>
      <c r="E85" s="8" t="s">
        <v>199</v>
      </c>
      <c r="F85" s="8">
        <v>152</v>
      </c>
      <c r="G85" s="8">
        <v>65.11</v>
      </c>
      <c r="H85" s="10">
        <v>31.53</v>
      </c>
      <c r="I85" s="8">
        <f t="shared" si="4"/>
        <v>1</v>
      </c>
      <c r="J85" s="8" t="str">
        <f t="shared" si="5"/>
        <v>No</v>
      </c>
      <c r="K85" s="5" t="str">
        <f t="shared" si="6"/>
        <v>No</v>
      </c>
      <c r="L85" s="25">
        <f t="shared" si="7"/>
        <v>54.714285714285715</v>
      </c>
    </row>
    <row r="86" spans="1:12">
      <c r="A86" s="9" t="s">
        <v>200</v>
      </c>
      <c r="B86" s="8">
        <v>12</v>
      </c>
      <c r="C86" s="8" t="s">
        <v>51</v>
      </c>
      <c r="D86" s="8" t="s">
        <v>36</v>
      </c>
      <c r="E86" s="8" t="s">
        <v>49</v>
      </c>
      <c r="F86" s="8">
        <v>377</v>
      </c>
      <c r="G86" s="8">
        <v>123.01</v>
      </c>
      <c r="H86" s="10">
        <v>18.829999999999998</v>
      </c>
      <c r="I86" s="8">
        <f t="shared" si="4"/>
        <v>1</v>
      </c>
      <c r="J86" s="8" t="str">
        <f t="shared" si="5"/>
        <v>No</v>
      </c>
      <c r="K86" s="5" t="str">
        <f t="shared" si="6"/>
        <v>No</v>
      </c>
      <c r="L86" s="25">
        <f t="shared" si="7"/>
        <v>103.36974789915968</v>
      </c>
    </row>
    <row r="87" spans="1:12">
      <c r="A87" s="9" t="s">
        <v>201</v>
      </c>
      <c r="B87" s="8">
        <v>12</v>
      </c>
      <c r="C87" s="8" t="s">
        <v>39</v>
      </c>
      <c r="D87" s="8" t="s">
        <v>56</v>
      </c>
      <c r="E87" s="8" t="s">
        <v>202</v>
      </c>
      <c r="F87" s="8">
        <v>155</v>
      </c>
      <c r="G87" s="8">
        <v>65.83</v>
      </c>
      <c r="H87" s="10">
        <v>28.3</v>
      </c>
      <c r="I87" s="8">
        <f t="shared" si="4"/>
        <v>1</v>
      </c>
      <c r="J87" s="8" t="str">
        <f t="shared" si="5"/>
        <v>No</v>
      </c>
      <c r="K87" s="5" t="str">
        <f t="shared" si="6"/>
        <v>No</v>
      </c>
      <c r="L87" s="25">
        <f t="shared" si="7"/>
        <v>55.319327731092436</v>
      </c>
    </row>
    <row r="88" spans="1:12">
      <c r="A88" s="9" t="s">
        <v>203</v>
      </c>
      <c r="B88" s="8">
        <v>24</v>
      </c>
      <c r="C88" s="8" t="s">
        <v>35</v>
      </c>
      <c r="D88" s="8" t="s">
        <v>36</v>
      </c>
      <c r="E88" s="8" t="s">
        <v>204</v>
      </c>
      <c r="F88" s="8">
        <v>320</v>
      </c>
      <c r="G88" s="8">
        <v>115.52</v>
      </c>
      <c r="H88" s="10">
        <v>23.55</v>
      </c>
      <c r="I88" s="8">
        <f t="shared" si="4"/>
        <v>1</v>
      </c>
      <c r="J88" s="8" t="str">
        <f t="shared" si="5"/>
        <v>No</v>
      </c>
      <c r="K88" s="5" t="str">
        <f t="shared" si="6"/>
        <v>No</v>
      </c>
      <c r="L88" s="25">
        <f t="shared" si="7"/>
        <v>97.075630252100837</v>
      </c>
    </row>
    <row r="89" spans="1:12">
      <c r="A89" s="9" t="s">
        <v>205</v>
      </c>
      <c r="B89" s="8">
        <v>24</v>
      </c>
      <c r="C89" s="8" t="s">
        <v>39</v>
      </c>
      <c r="D89" s="8" t="s">
        <v>56</v>
      </c>
      <c r="E89" s="8" t="s">
        <v>206</v>
      </c>
      <c r="F89" s="8">
        <v>124</v>
      </c>
      <c r="G89" s="8">
        <v>56.75</v>
      </c>
      <c r="H89" s="10">
        <v>31.21</v>
      </c>
      <c r="I89" s="8">
        <f t="shared" si="4"/>
        <v>1</v>
      </c>
      <c r="J89" s="8" t="str">
        <f t="shared" si="5"/>
        <v>No</v>
      </c>
      <c r="K89" s="5" t="str">
        <f t="shared" si="6"/>
        <v>No</v>
      </c>
      <c r="L89" s="25">
        <f t="shared" si="7"/>
        <v>47.689075630252105</v>
      </c>
    </row>
    <row r="90" spans="1:12">
      <c r="A90" s="9" t="s">
        <v>207</v>
      </c>
      <c r="B90" s="8">
        <v>24</v>
      </c>
      <c r="C90" s="8" t="s">
        <v>39</v>
      </c>
      <c r="D90" s="8" t="s">
        <v>46</v>
      </c>
      <c r="E90" s="8" t="s">
        <v>208</v>
      </c>
      <c r="F90" s="8">
        <v>134</v>
      </c>
      <c r="G90" s="8">
        <v>58.32</v>
      </c>
      <c r="H90" s="10">
        <v>31.61</v>
      </c>
      <c r="I90" s="8">
        <f t="shared" si="4"/>
        <v>1</v>
      </c>
      <c r="J90" s="8" t="str">
        <f t="shared" si="5"/>
        <v>No</v>
      </c>
      <c r="K90" s="5" t="str">
        <f t="shared" si="6"/>
        <v>No</v>
      </c>
      <c r="L90" s="25">
        <f t="shared" si="7"/>
        <v>49.008403361344541</v>
      </c>
    </row>
    <row r="91" spans="1:12">
      <c r="A91" s="9" t="s">
        <v>209</v>
      </c>
      <c r="B91" s="8">
        <v>12</v>
      </c>
      <c r="C91" s="8" t="s">
        <v>39</v>
      </c>
      <c r="D91" s="8" t="s">
        <v>36</v>
      </c>
      <c r="E91" s="8" t="s">
        <v>210</v>
      </c>
      <c r="F91" s="8">
        <v>147</v>
      </c>
      <c r="G91" s="8">
        <v>62.08</v>
      </c>
      <c r="H91" s="10">
        <v>28.81</v>
      </c>
      <c r="I91" s="8">
        <f t="shared" si="4"/>
        <v>1</v>
      </c>
      <c r="J91" s="8" t="str">
        <f t="shared" si="5"/>
        <v>No</v>
      </c>
      <c r="K91" s="5" t="str">
        <f t="shared" si="6"/>
        <v>No</v>
      </c>
      <c r="L91" s="25">
        <f t="shared" si="7"/>
        <v>52.168067226890756</v>
      </c>
    </row>
    <row r="92" spans="1:12">
      <c r="A92" s="9" t="s">
        <v>211</v>
      </c>
      <c r="B92" s="8">
        <v>12</v>
      </c>
      <c r="C92" s="8" t="s">
        <v>35</v>
      </c>
      <c r="D92" s="8" t="s">
        <v>36</v>
      </c>
      <c r="E92" s="8" t="s">
        <v>168</v>
      </c>
      <c r="F92" s="8">
        <v>196</v>
      </c>
      <c r="G92" s="8">
        <v>77.959999999999994</v>
      </c>
      <c r="H92" s="10">
        <v>22.27</v>
      </c>
      <c r="I92" s="8">
        <f t="shared" si="4"/>
        <v>1</v>
      </c>
      <c r="J92" s="8" t="str">
        <f t="shared" si="5"/>
        <v>No</v>
      </c>
      <c r="K92" s="5" t="str">
        <f t="shared" si="6"/>
        <v>No</v>
      </c>
      <c r="L92" s="25">
        <f t="shared" si="7"/>
        <v>65.512605042016801</v>
      </c>
    </row>
    <row r="93" spans="1:12">
      <c r="A93" s="9" t="s">
        <v>212</v>
      </c>
      <c r="B93" s="8">
        <v>24</v>
      </c>
      <c r="C93" s="8" t="s">
        <v>51</v>
      </c>
      <c r="D93" s="8" t="s">
        <v>36</v>
      </c>
      <c r="E93" s="8" t="s">
        <v>213</v>
      </c>
      <c r="F93" s="8">
        <v>501</v>
      </c>
      <c r="G93" s="8">
        <v>164.88</v>
      </c>
      <c r="H93" s="10">
        <v>20.89</v>
      </c>
      <c r="I93" s="8">
        <f t="shared" si="4"/>
        <v>1</v>
      </c>
      <c r="J93" s="8" t="str">
        <f t="shared" si="5"/>
        <v>No</v>
      </c>
      <c r="K93" s="5" t="str">
        <f t="shared" si="6"/>
        <v>No</v>
      </c>
      <c r="L93" s="25">
        <f t="shared" si="7"/>
        <v>138.55462184873949</v>
      </c>
    </row>
    <row r="94" spans="1:12">
      <c r="A94" s="9" t="s">
        <v>214</v>
      </c>
      <c r="B94" s="8">
        <v>24</v>
      </c>
      <c r="C94" s="8" t="s">
        <v>51</v>
      </c>
      <c r="D94" s="8" t="s">
        <v>46</v>
      </c>
      <c r="E94" s="8" t="s">
        <v>215</v>
      </c>
      <c r="F94" s="8">
        <v>466</v>
      </c>
      <c r="G94" s="8">
        <v>159.11000000000001</v>
      </c>
      <c r="H94" s="10">
        <v>18.45</v>
      </c>
      <c r="I94" s="8">
        <f t="shared" si="4"/>
        <v>1</v>
      </c>
      <c r="J94" s="8" t="str">
        <f t="shared" si="5"/>
        <v>No</v>
      </c>
      <c r="K94" s="5" t="str">
        <f t="shared" si="6"/>
        <v>No</v>
      </c>
      <c r="L94" s="25">
        <f t="shared" si="7"/>
        <v>133.70588235294119</v>
      </c>
    </row>
    <row r="95" spans="1:12">
      <c r="A95" s="9" t="s">
        <v>216</v>
      </c>
      <c r="B95" s="8">
        <v>24</v>
      </c>
      <c r="C95" s="8" t="s">
        <v>35</v>
      </c>
      <c r="D95" s="8" t="s">
        <v>36</v>
      </c>
      <c r="E95" s="8" t="s">
        <v>217</v>
      </c>
      <c r="F95" s="8">
        <v>191</v>
      </c>
      <c r="G95" s="8">
        <v>78.48</v>
      </c>
      <c r="H95" s="10">
        <v>26.17</v>
      </c>
      <c r="I95" s="8">
        <f t="shared" si="4"/>
        <v>1</v>
      </c>
      <c r="J95" s="8" t="str">
        <f t="shared" si="5"/>
        <v>No</v>
      </c>
      <c r="K95" s="5" t="str">
        <f t="shared" si="6"/>
        <v>No</v>
      </c>
      <c r="L95" s="25">
        <f t="shared" si="7"/>
        <v>65.94957983193278</v>
      </c>
    </row>
    <row r="96" spans="1:12">
      <c r="A96" s="9" t="s">
        <v>218</v>
      </c>
      <c r="B96" s="8">
        <v>24</v>
      </c>
      <c r="C96" s="8" t="s">
        <v>35</v>
      </c>
      <c r="D96" s="8" t="s">
        <v>36</v>
      </c>
      <c r="E96" s="8" t="s">
        <v>219</v>
      </c>
      <c r="F96" s="8">
        <v>228</v>
      </c>
      <c r="G96" s="8">
        <v>87.33</v>
      </c>
      <c r="H96" s="10">
        <v>25.87</v>
      </c>
      <c r="I96" s="8">
        <f t="shared" si="4"/>
        <v>1</v>
      </c>
      <c r="J96" s="8" t="str">
        <f t="shared" si="5"/>
        <v>No</v>
      </c>
      <c r="K96" s="5" t="str">
        <f t="shared" si="6"/>
        <v>No</v>
      </c>
      <c r="L96" s="25">
        <f t="shared" si="7"/>
        <v>73.386554621848745</v>
      </c>
    </row>
    <row r="97" spans="1:12">
      <c r="A97" s="9" t="s">
        <v>220</v>
      </c>
      <c r="B97" s="8">
        <v>12</v>
      </c>
      <c r="C97" s="8" t="s">
        <v>39</v>
      </c>
      <c r="D97" s="8" t="s">
        <v>36</v>
      </c>
      <c r="E97" s="8" t="s">
        <v>221</v>
      </c>
      <c r="F97" s="8">
        <v>89</v>
      </c>
      <c r="G97" s="8">
        <v>40.93</v>
      </c>
      <c r="H97" s="10">
        <v>28.27</v>
      </c>
      <c r="I97" s="8">
        <f t="shared" si="4"/>
        <v>1</v>
      </c>
      <c r="J97" s="8" t="str">
        <f t="shared" si="5"/>
        <v>No</v>
      </c>
      <c r="K97" s="5" t="str">
        <f t="shared" si="6"/>
        <v>No</v>
      </c>
      <c r="L97" s="25">
        <f t="shared" si="7"/>
        <v>34.394957983193279</v>
      </c>
    </row>
    <row r="98" spans="1:12">
      <c r="A98" s="9" t="s">
        <v>222</v>
      </c>
      <c r="B98" s="8">
        <v>12</v>
      </c>
      <c r="C98" s="8" t="s">
        <v>39</v>
      </c>
      <c r="D98" s="8" t="s">
        <v>46</v>
      </c>
      <c r="E98" s="8" t="s">
        <v>223</v>
      </c>
      <c r="F98" s="8">
        <v>85</v>
      </c>
      <c r="G98" s="8">
        <v>38.65</v>
      </c>
      <c r="H98" s="10">
        <v>30.59</v>
      </c>
      <c r="I98" s="8">
        <f t="shared" si="4"/>
        <v>1</v>
      </c>
      <c r="J98" s="8" t="str">
        <f t="shared" si="5"/>
        <v>No</v>
      </c>
      <c r="K98" s="5" t="str">
        <f t="shared" si="6"/>
        <v>No</v>
      </c>
      <c r="L98" s="25">
        <f t="shared" si="7"/>
        <v>32.478991596638657</v>
      </c>
    </row>
    <row r="99" spans="1:12">
      <c r="A99" s="9" t="s">
        <v>224</v>
      </c>
      <c r="B99" s="8">
        <v>12</v>
      </c>
      <c r="C99" s="8" t="s">
        <v>51</v>
      </c>
      <c r="D99" s="8" t="s">
        <v>56</v>
      </c>
      <c r="E99" s="8" t="s">
        <v>225</v>
      </c>
      <c r="F99" s="8">
        <v>378</v>
      </c>
      <c r="G99" s="8">
        <v>122.25</v>
      </c>
      <c r="H99" s="10">
        <v>18.87</v>
      </c>
      <c r="I99" s="8">
        <f t="shared" si="4"/>
        <v>1</v>
      </c>
      <c r="J99" s="8" t="str">
        <f t="shared" si="5"/>
        <v>No</v>
      </c>
      <c r="K99" s="5" t="str">
        <f t="shared" si="6"/>
        <v>No</v>
      </c>
      <c r="L99" s="25">
        <f t="shared" si="7"/>
        <v>102.73109243697479</v>
      </c>
    </row>
    <row r="100" spans="1:12">
      <c r="A100" s="9" t="s">
        <v>226</v>
      </c>
      <c r="B100" s="8">
        <v>12</v>
      </c>
      <c r="C100" s="8" t="s">
        <v>39</v>
      </c>
      <c r="D100" s="8" t="s">
        <v>56</v>
      </c>
      <c r="E100" s="8" t="s">
        <v>85</v>
      </c>
      <c r="F100" s="8">
        <v>164</v>
      </c>
      <c r="G100" s="8">
        <v>66.08</v>
      </c>
      <c r="H100" s="10">
        <v>31.5</v>
      </c>
      <c r="I100" s="8">
        <f t="shared" si="4"/>
        <v>1</v>
      </c>
      <c r="J100" s="8" t="str">
        <f t="shared" si="5"/>
        <v>No</v>
      </c>
      <c r="K100" s="5" t="str">
        <f t="shared" si="6"/>
        <v>No</v>
      </c>
      <c r="L100" s="25">
        <f t="shared" si="7"/>
        <v>55.529411764705884</v>
      </c>
    </row>
    <row r="101" spans="1:12">
      <c r="A101" s="9" t="s">
        <v>227</v>
      </c>
      <c r="B101" s="8">
        <v>12</v>
      </c>
      <c r="C101" s="8" t="s">
        <v>39</v>
      </c>
      <c r="D101" s="8" t="s">
        <v>36</v>
      </c>
      <c r="E101" s="8" t="s">
        <v>57</v>
      </c>
      <c r="F101" s="8">
        <v>129</v>
      </c>
      <c r="G101" s="8">
        <v>57.02</v>
      </c>
      <c r="H101" s="10">
        <v>31.22</v>
      </c>
      <c r="I101" s="8">
        <f t="shared" si="4"/>
        <v>1</v>
      </c>
      <c r="J101" s="8" t="str">
        <f t="shared" si="5"/>
        <v>No</v>
      </c>
      <c r="K101" s="5" t="str">
        <f t="shared" si="6"/>
        <v>No</v>
      </c>
      <c r="L101" s="25">
        <f t="shared" si="7"/>
        <v>47.915966386554629</v>
      </c>
    </row>
    <row r="102" spans="1:12">
      <c r="A102" s="9" t="s">
        <v>228</v>
      </c>
      <c r="B102" s="8">
        <v>12</v>
      </c>
      <c r="C102" s="8" t="s">
        <v>39</v>
      </c>
      <c r="D102" s="8" t="s">
        <v>56</v>
      </c>
      <c r="E102" s="8" t="s">
        <v>229</v>
      </c>
      <c r="F102" s="8">
        <v>164</v>
      </c>
      <c r="G102" s="8">
        <v>67.91</v>
      </c>
      <c r="H102" s="10">
        <v>29.73</v>
      </c>
      <c r="I102" s="8">
        <f t="shared" si="4"/>
        <v>1</v>
      </c>
      <c r="J102" s="8" t="str">
        <f t="shared" si="5"/>
        <v>No</v>
      </c>
      <c r="K102" s="5" t="str">
        <f t="shared" si="6"/>
        <v>No</v>
      </c>
      <c r="L102" s="25">
        <f t="shared" si="7"/>
        <v>57.067226890756302</v>
      </c>
    </row>
    <row r="103" spans="1:12">
      <c r="A103" s="9" t="s">
        <v>230</v>
      </c>
      <c r="B103" s="8">
        <v>24</v>
      </c>
      <c r="C103" s="8" t="s">
        <v>39</v>
      </c>
      <c r="D103" s="8" t="s">
        <v>46</v>
      </c>
      <c r="E103" s="8" t="s">
        <v>231</v>
      </c>
      <c r="F103" s="8">
        <v>119</v>
      </c>
      <c r="G103" s="8">
        <v>53.4</v>
      </c>
      <c r="H103" s="10">
        <v>31.99</v>
      </c>
      <c r="I103" s="8">
        <f t="shared" si="4"/>
        <v>2</v>
      </c>
      <c r="J103" s="8" t="str">
        <f t="shared" si="5"/>
        <v>No</v>
      </c>
      <c r="K103" s="5" t="str">
        <f t="shared" si="6"/>
        <v>No</v>
      </c>
      <c r="L103" s="25">
        <f t="shared" si="7"/>
        <v>44.873949579831937</v>
      </c>
    </row>
    <row r="104" spans="1:12">
      <c r="A104" s="9" t="s">
        <v>230</v>
      </c>
      <c r="B104" s="8">
        <v>12</v>
      </c>
      <c r="C104" s="8" t="s">
        <v>39</v>
      </c>
      <c r="D104" s="8" t="s">
        <v>46</v>
      </c>
      <c r="E104" s="8" t="s">
        <v>232</v>
      </c>
      <c r="F104" s="8">
        <v>109</v>
      </c>
      <c r="G104" s="8">
        <v>48.62</v>
      </c>
      <c r="H104" s="10">
        <v>30.24</v>
      </c>
      <c r="I104" s="8">
        <f t="shared" si="4"/>
        <v>2</v>
      </c>
      <c r="J104" s="8" t="str">
        <f t="shared" si="5"/>
        <v>No</v>
      </c>
      <c r="K104" s="5" t="str">
        <f t="shared" si="6"/>
        <v>No</v>
      </c>
      <c r="L104" s="25">
        <f t="shared" si="7"/>
        <v>40.857142857142854</v>
      </c>
    </row>
    <row r="105" spans="1:12">
      <c r="A105" s="9" t="s">
        <v>233</v>
      </c>
      <c r="B105" s="8">
        <v>12</v>
      </c>
      <c r="C105" s="8" t="s">
        <v>35</v>
      </c>
      <c r="D105" s="8" t="s">
        <v>56</v>
      </c>
      <c r="E105" s="8" t="s">
        <v>234</v>
      </c>
      <c r="F105" s="8">
        <v>251</v>
      </c>
      <c r="G105" s="8">
        <v>91.69</v>
      </c>
      <c r="H105" s="10">
        <v>23.28</v>
      </c>
      <c r="I105" s="8">
        <f t="shared" si="4"/>
        <v>1</v>
      </c>
      <c r="J105" s="8" t="str">
        <f t="shared" si="5"/>
        <v>No</v>
      </c>
      <c r="K105" s="5" t="str">
        <f t="shared" si="6"/>
        <v>No</v>
      </c>
      <c r="L105" s="25">
        <f t="shared" si="7"/>
        <v>77.050420168067234</v>
      </c>
    </row>
    <row r="106" spans="1:12">
      <c r="A106" s="9" t="s">
        <v>235</v>
      </c>
      <c r="B106" s="8">
        <v>24</v>
      </c>
      <c r="C106" s="8" t="s">
        <v>35</v>
      </c>
      <c r="D106" s="8" t="s">
        <v>36</v>
      </c>
      <c r="E106" s="8" t="s">
        <v>236</v>
      </c>
      <c r="F106" s="8">
        <v>240</v>
      </c>
      <c r="G106" s="8">
        <v>93.58</v>
      </c>
      <c r="H106" s="10">
        <v>22.88</v>
      </c>
      <c r="I106" s="8">
        <f t="shared" si="4"/>
        <v>1</v>
      </c>
      <c r="J106" s="8" t="str">
        <f t="shared" si="5"/>
        <v>No</v>
      </c>
      <c r="K106" s="5" t="str">
        <f t="shared" si="6"/>
        <v>No</v>
      </c>
      <c r="L106" s="25">
        <f t="shared" si="7"/>
        <v>78.638655462184872</v>
      </c>
    </row>
    <row r="107" spans="1:12">
      <c r="A107" s="9" t="s">
        <v>237</v>
      </c>
      <c r="B107" s="8">
        <v>12</v>
      </c>
      <c r="C107" s="8" t="s">
        <v>51</v>
      </c>
      <c r="D107" s="8" t="s">
        <v>36</v>
      </c>
      <c r="E107" s="8" t="s">
        <v>238</v>
      </c>
      <c r="F107" s="8">
        <v>368</v>
      </c>
      <c r="G107" s="8">
        <v>126.39</v>
      </c>
      <c r="H107" s="10">
        <v>18.25</v>
      </c>
      <c r="I107" s="8">
        <f t="shared" si="4"/>
        <v>1</v>
      </c>
      <c r="J107" s="8" t="str">
        <f t="shared" si="5"/>
        <v>No</v>
      </c>
      <c r="K107" s="5" t="str">
        <f t="shared" si="6"/>
        <v>No</v>
      </c>
      <c r="L107" s="25">
        <f t="shared" si="7"/>
        <v>106.21008403361346</v>
      </c>
    </row>
    <row r="108" spans="1:12">
      <c r="A108" s="9" t="s">
        <v>239</v>
      </c>
      <c r="B108" s="8">
        <v>12</v>
      </c>
      <c r="C108" s="8" t="s">
        <v>51</v>
      </c>
      <c r="D108" s="8" t="s">
        <v>56</v>
      </c>
      <c r="E108" s="8" t="s">
        <v>240</v>
      </c>
      <c r="F108" s="8">
        <v>547</v>
      </c>
      <c r="G108" s="8">
        <v>192.47</v>
      </c>
      <c r="H108" s="10">
        <v>18.36</v>
      </c>
      <c r="I108" s="8">
        <f t="shared" si="4"/>
        <v>1</v>
      </c>
      <c r="J108" s="8" t="str">
        <f t="shared" si="5"/>
        <v>No</v>
      </c>
      <c r="K108" s="5" t="str">
        <f t="shared" si="6"/>
        <v>No</v>
      </c>
      <c r="L108" s="25">
        <f t="shared" si="7"/>
        <v>161.73949579831933</v>
      </c>
    </row>
    <row r="109" spans="1:12">
      <c r="A109" s="9" t="s">
        <v>241</v>
      </c>
      <c r="B109" s="8">
        <v>24</v>
      </c>
      <c r="C109" s="8" t="s">
        <v>39</v>
      </c>
      <c r="D109" s="8" t="s">
        <v>36</v>
      </c>
      <c r="E109" s="8" t="s">
        <v>242</v>
      </c>
      <c r="F109" s="8">
        <v>101</v>
      </c>
      <c r="G109" s="8">
        <v>44.36</v>
      </c>
      <c r="H109" s="10">
        <v>28.27</v>
      </c>
      <c r="I109" s="8">
        <f t="shared" si="4"/>
        <v>1</v>
      </c>
      <c r="J109" s="8" t="str">
        <f t="shared" si="5"/>
        <v>No</v>
      </c>
      <c r="K109" s="5" t="str">
        <f t="shared" si="6"/>
        <v>No</v>
      </c>
      <c r="L109" s="25">
        <f t="shared" si="7"/>
        <v>37.27731092436975</v>
      </c>
    </row>
    <row r="110" spans="1:12">
      <c r="A110" s="9" t="s">
        <v>243</v>
      </c>
      <c r="B110" s="8">
        <v>12</v>
      </c>
      <c r="C110" s="8" t="s">
        <v>39</v>
      </c>
      <c r="D110" s="8" t="s">
        <v>56</v>
      </c>
      <c r="E110" s="8" t="s">
        <v>153</v>
      </c>
      <c r="F110" s="8">
        <v>135</v>
      </c>
      <c r="G110" s="8">
        <v>62.33</v>
      </c>
      <c r="H110" s="10">
        <v>29.48</v>
      </c>
      <c r="I110" s="8">
        <f t="shared" si="4"/>
        <v>1</v>
      </c>
      <c r="J110" s="8" t="str">
        <f t="shared" si="5"/>
        <v>No</v>
      </c>
      <c r="K110" s="5" t="str">
        <f t="shared" si="6"/>
        <v>No</v>
      </c>
      <c r="L110" s="25">
        <f t="shared" si="7"/>
        <v>52.378151260504204</v>
      </c>
    </row>
    <row r="111" spans="1:12">
      <c r="A111" s="9" t="s">
        <v>244</v>
      </c>
      <c r="B111" s="8">
        <v>12</v>
      </c>
      <c r="C111" s="8" t="s">
        <v>35</v>
      </c>
      <c r="D111" s="8" t="s">
        <v>56</v>
      </c>
      <c r="E111" s="8" t="s">
        <v>88</v>
      </c>
      <c r="F111" s="8">
        <v>275</v>
      </c>
      <c r="G111" s="8">
        <v>104.48</v>
      </c>
      <c r="H111" s="10">
        <v>23.86</v>
      </c>
      <c r="I111" s="8">
        <f t="shared" si="4"/>
        <v>1</v>
      </c>
      <c r="J111" s="8" t="str">
        <f t="shared" si="5"/>
        <v>No</v>
      </c>
      <c r="K111" s="5" t="str">
        <f t="shared" si="6"/>
        <v>No</v>
      </c>
      <c r="L111" s="25">
        <f t="shared" si="7"/>
        <v>87.798319327731093</v>
      </c>
    </row>
    <row r="112" spans="1:12">
      <c r="A112" s="9" t="s">
        <v>245</v>
      </c>
      <c r="B112" s="8">
        <v>12</v>
      </c>
      <c r="C112" s="8" t="s">
        <v>35</v>
      </c>
      <c r="D112" s="8" t="s">
        <v>36</v>
      </c>
      <c r="E112" s="8" t="s">
        <v>37</v>
      </c>
      <c r="F112" s="8">
        <v>192</v>
      </c>
      <c r="G112" s="8">
        <v>78.209999999999994</v>
      </c>
      <c r="H112" s="10">
        <v>24.89</v>
      </c>
      <c r="I112" s="8">
        <f t="shared" si="4"/>
        <v>1</v>
      </c>
      <c r="J112" s="8" t="str">
        <f t="shared" si="5"/>
        <v>No</v>
      </c>
      <c r="K112" s="5" t="str">
        <f t="shared" si="6"/>
        <v>No</v>
      </c>
      <c r="L112" s="25">
        <f t="shared" si="7"/>
        <v>65.722689075630257</v>
      </c>
    </row>
    <row r="113" spans="1:12">
      <c r="A113" s="9" t="s">
        <v>246</v>
      </c>
      <c r="B113" s="8">
        <v>12</v>
      </c>
      <c r="C113" s="8" t="s">
        <v>39</v>
      </c>
      <c r="D113" s="8" t="s">
        <v>56</v>
      </c>
      <c r="E113" s="8" t="s">
        <v>120</v>
      </c>
      <c r="F113" s="8">
        <v>88</v>
      </c>
      <c r="G113" s="8">
        <v>43.12</v>
      </c>
      <c r="H113" s="10">
        <v>30.63</v>
      </c>
      <c r="I113" s="8">
        <f t="shared" si="4"/>
        <v>1</v>
      </c>
      <c r="J113" s="8" t="str">
        <f t="shared" si="5"/>
        <v>No</v>
      </c>
      <c r="K113" s="5" t="str">
        <f t="shared" si="6"/>
        <v>No</v>
      </c>
      <c r="L113" s="25">
        <f t="shared" si="7"/>
        <v>36.235294117647058</v>
      </c>
    </row>
    <row r="114" spans="1:12">
      <c r="A114" s="9" t="s">
        <v>247</v>
      </c>
      <c r="B114" s="8">
        <v>24</v>
      </c>
      <c r="C114" s="8" t="s">
        <v>35</v>
      </c>
      <c r="D114" s="8" t="s">
        <v>36</v>
      </c>
      <c r="E114" s="8" t="s">
        <v>248</v>
      </c>
      <c r="F114" s="8">
        <v>297</v>
      </c>
      <c r="G114" s="8">
        <v>108.11</v>
      </c>
      <c r="H114" s="10">
        <v>24.84</v>
      </c>
      <c r="I114" s="8">
        <f t="shared" si="4"/>
        <v>1</v>
      </c>
      <c r="J114" s="8" t="str">
        <f t="shared" si="5"/>
        <v>No</v>
      </c>
      <c r="K114" s="5" t="str">
        <f t="shared" si="6"/>
        <v>No</v>
      </c>
      <c r="L114" s="25">
        <f t="shared" si="7"/>
        <v>90.848739495798327</v>
      </c>
    </row>
    <row r="115" spans="1:12">
      <c r="A115" s="9" t="s">
        <v>249</v>
      </c>
      <c r="B115" s="8">
        <v>24</v>
      </c>
      <c r="C115" s="8" t="s">
        <v>35</v>
      </c>
      <c r="D115" s="8" t="s">
        <v>36</v>
      </c>
      <c r="E115" s="8" t="s">
        <v>250</v>
      </c>
      <c r="F115" s="8">
        <v>243</v>
      </c>
      <c r="G115" s="8">
        <v>89.4</v>
      </c>
      <c r="H115" s="10">
        <v>24.03</v>
      </c>
      <c r="I115" s="8">
        <f t="shared" si="4"/>
        <v>1</v>
      </c>
      <c r="J115" s="8" t="str">
        <f t="shared" si="5"/>
        <v>No</v>
      </c>
      <c r="K115" s="5" t="str">
        <f t="shared" si="6"/>
        <v>No</v>
      </c>
      <c r="L115" s="25">
        <f t="shared" si="7"/>
        <v>75.12605042016807</v>
      </c>
    </row>
    <row r="116" spans="1:12">
      <c r="A116" s="9" t="s">
        <v>251</v>
      </c>
      <c r="B116" s="8">
        <v>24</v>
      </c>
      <c r="C116" s="8" t="s">
        <v>35</v>
      </c>
      <c r="D116" s="8" t="s">
        <v>46</v>
      </c>
      <c r="E116" s="8" t="s">
        <v>141</v>
      </c>
      <c r="F116" s="8">
        <v>177</v>
      </c>
      <c r="G116" s="8">
        <v>70.86</v>
      </c>
      <c r="H116" s="10">
        <v>22.87</v>
      </c>
      <c r="I116" s="8">
        <f t="shared" si="4"/>
        <v>1</v>
      </c>
      <c r="J116" s="8" t="str">
        <f t="shared" si="5"/>
        <v>No</v>
      </c>
      <c r="K116" s="5" t="str">
        <f t="shared" si="6"/>
        <v>No</v>
      </c>
      <c r="L116" s="25">
        <f t="shared" si="7"/>
        <v>59.54621848739496</v>
      </c>
    </row>
    <row r="117" spans="1:12">
      <c r="A117" s="9" t="s">
        <v>252</v>
      </c>
      <c r="B117" s="8">
        <v>24</v>
      </c>
      <c r="C117" s="8" t="s">
        <v>35</v>
      </c>
      <c r="D117" s="8" t="s">
        <v>56</v>
      </c>
      <c r="E117" s="8" t="s">
        <v>253</v>
      </c>
      <c r="F117" s="8">
        <v>332</v>
      </c>
      <c r="G117" s="8">
        <v>124.62</v>
      </c>
      <c r="H117" s="10">
        <v>24.65</v>
      </c>
      <c r="I117" s="8">
        <f t="shared" si="4"/>
        <v>1</v>
      </c>
      <c r="J117" s="8" t="str">
        <f t="shared" si="5"/>
        <v>No</v>
      </c>
      <c r="K117" s="5" t="str">
        <f t="shared" si="6"/>
        <v>No</v>
      </c>
      <c r="L117" s="25">
        <f t="shared" si="7"/>
        <v>104.72268907563026</v>
      </c>
    </row>
    <row r="118" spans="1:12">
      <c r="A118" s="9" t="s">
        <v>254</v>
      </c>
      <c r="B118" s="8">
        <v>24</v>
      </c>
      <c r="C118" s="8" t="s">
        <v>39</v>
      </c>
      <c r="D118" s="8" t="s">
        <v>36</v>
      </c>
      <c r="E118" s="8" t="s">
        <v>204</v>
      </c>
      <c r="F118" s="8">
        <v>88</v>
      </c>
      <c r="G118" s="8">
        <v>43.24</v>
      </c>
      <c r="H118" s="10">
        <v>29.94</v>
      </c>
      <c r="I118" s="8">
        <f t="shared" si="4"/>
        <v>1</v>
      </c>
      <c r="J118" s="8" t="str">
        <f t="shared" si="5"/>
        <v>No</v>
      </c>
      <c r="K118" s="5" t="str">
        <f t="shared" si="6"/>
        <v>No</v>
      </c>
      <c r="L118" s="25">
        <f t="shared" si="7"/>
        <v>36.336134453781519</v>
      </c>
    </row>
    <row r="119" spans="1:12">
      <c r="A119" s="9" t="s">
        <v>255</v>
      </c>
      <c r="B119" s="8">
        <v>12</v>
      </c>
      <c r="C119" s="8" t="s">
        <v>51</v>
      </c>
      <c r="D119" s="8" t="s">
        <v>36</v>
      </c>
      <c r="E119" s="8" t="s">
        <v>256</v>
      </c>
      <c r="F119" s="8">
        <v>565</v>
      </c>
      <c r="G119" s="8">
        <v>184.25</v>
      </c>
      <c r="H119" s="10">
        <v>18.53</v>
      </c>
      <c r="I119" s="8">
        <f t="shared" si="4"/>
        <v>1</v>
      </c>
      <c r="J119" s="8" t="str">
        <f t="shared" si="5"/>
        <v>No</v>
      </c>
      <c r="K119" s="5" t="str">
        <f t="shared" si="6"/>
        <v>No</v>
      </c>
      <c r="L119" s="25">
        <f t="shared" si="7"/>
        <v>154.83193277310926</v>
      </c>
    </row>
    <row r="120" spans="1:12">
      <c r="A120" s="9" t="s">
        <v>257</v>
      </c>
      <c r="B120" s="8">
        <v>24</v>
      </c>
      <c r="C120" s="8" t="s">
        <v>51</v>
      </c>
      <c r="D120" s="8" t="s">
        <v>46</v>
      </c>
      <c r="E120" s="8" t="s">
        <v>258</v>
      </c>
      <c r="F120" s="8">
        <v>662</v>
      </c>
      <c r="G120" s="8">
        <v>213.32</v>
      </c>
      <c r="H120" s="10">
        <v>20.52</v>
      </c>
      <c r="I120" s="8">
        <f t="shared" si="4"/>
        <v>1</v>
      </c>
      <c r="J120" s="8" t="str">
        <f t="shared" si="5"/>
        <v>No</v>
      </c>
      <c r="K120" s="5" t="str">
        <f t="shared" si="6"/>
        <v>No</v>
      </c>
      <c r="L120" s="25">
        <f t="shared" si="7"/>
        <v>179.26050420168067</v>
      </c>
    </row>
    <row r="121" spans="1:12">
      <c r="A121" s="9" t="s">
        <v>259</v>
      </c>
      <c r="B121" s="8">
        <v>12</v>
      </c>
      <c r="C121" s="8" t="s">
        <v>39</v>
      </c>
      <c r="D121" s="8" t="s">
        <v>46</v>
      </c>
      <c r="E121" s="8" t="s">
        <v>260</v>
      </c>
      <c r="F121" s="8">
        <v>103</v>
      </c>
      <c r="G121" s="8">
        <v>48.12</v>
      </c>
      <c r="H121" s="10">
        <v>31.09</v>
      </c>
      <c r="I121" s="8">
        <f t="shared" si="4"/>
        <v>1</v>
      </c>
      <c r="J121" s="8" t="str">
        <f t="shared" si="5"/>
        <v>No</v>
      </c>
      <c r="K121" s="5" t="str">
        <f t="shared" si="6"/>
        <v>No</v>
      </c>
      <c r="L121" s="25">
        <f t="shared" si="7"/>
        <v>40.436974789915965</v>
      </c>
    </row>
    <row r="122" spans="1:12">
      <c r="A122" s="9" t="s">
        <v>261</v>
      </c>
      <c r="B122" s="8">
        <v>24</v>
      </c>
      <c r="C122" s="8" t="s">
        <v>51</v>
      </c>
      <c r="D122" s="8" t="s">
        <v>46</v>
      </c>
      <c r="E122" s="8" t="s">
        <v>262</v>
      </c>
      <c r="F122" s="8">
        <v>380</v>
      </c>
      <c r="G122" s="8">
        <v>131.24</v>
      </c>
      <c r="H122" s="10">
        <v>19.239999999999998</v>
      </c>
      <c r="I122" s="8">
        <f t="shared" si="4"/>
        <v>1</v>
      </c>
      <c r="J122" s="8" t="str">
        <f t="shared" si="5"/>
        <v>No</v>
      </c>
      <c r="K122" s="5" t="str">
        <f t="shared" si="6"/>
        <v>No</v>
      </c>
      <c r="L122" s="25">
        <f t="shared" si="7"/>
        <v>110.28571428571429</v>
      </c>
    </row>
    <row r="123" spans="1:12">
      <c r="A123" s="9" t="s">
        <v>263</v>
      </c>
      <c r="B123" s="8">
        <v>24</v>
      </c>
      <c r="C123" s="8" t="s">
        <v>35</v>
      </c>
      <c r="D123" s="8" t="s">
        <v>36</v>
      </c>
      <c r="E123" s="8" t="s">
        <v>264</v>
      </c>
      <c r="F123" s="8">
        <v>187</v>
      </c>
      <c r="G123" s="8">
        <v>76.66</v>
      </c>
      <c r="H123" s="10">
        <v>22.27</v>
      </c>
      <c r="I123" s="8">
        <f t="shared" si="4"/>
        <v>1</v>
      </c>
      <c r="J123" s="8" t="str">
        <f t="shared" si="5"/>
        <v>No</v>
      </c>
      <c r="K123" s="5" t="str">
        <f t="shared" si="6"/>
        <v>No</v>
      </c>
      <c r="L123" s="25">
        <f t="shared" si="7"/>
        <v>64.420168067226896</v>
      </c>
    </row>
    <row r="124" spans="1:12">
      <c r="A124" s="9" t="s">
        <v>265</v>
      </c>
      <c r="B124" s="8">
        <v>12</v>
      </c>
      <c r="C124" s="8" t="s">
        <v>51</v>
      </c>
      <c r="D124" s="8" t="s">
        <v>36</v>
      </c>
      <c r="E124" s="8" t="s">
        <v>260</v>
      </c>
      <c r="F124" s="8">
        <v>434</v>
      </c>
      <c r="G124" s="8">
        <v>149.79</v>
      </c>
      <c r="H124" s="10">
        <v>20.329999999999998</v>
      </c>
      <c r="I124" s="8">
        <f t="shared" si="4"/>
        <v>1</v>
      </c>
      <c r="J124" s="8" t="str">
        <f t="shared" si="5"/>
        <v>No</v>
      </c>
      <c r="K124" s="5" t="str">
        <f t="shared" si="6"/>
        <v>No</v>
      </c>
      <c r="L124" s="25">
        <f t="shared" si="7"/>
        <v>125.87394957983193</v>
      </c>
    </row>
    <row r="125" spans="1:12">
      <c r="A125" s="9" t="s">
        <v>266</v>
      </c>
      <c r="B125" s="8">
        <v>12</v>
      </c>
      <c r="C125" s="8" t="s">
        <v>51</v>
      </c>
      <c r="D125" s="8" t="s">
        <v>36</v>
      </c>
      <c r="E125" s="8" t="s">
        <v>267</v>
      </c>
      <c r="F125" s="8">
        <v>367</v>
      </c>
      <c r="G125" s="8">
        <v>132.4</v>
      </c>
      <c r="H125" s="10">
        <v>19.420000000000002</v>
      </c>
      <c r="I125" s="8">
        <f t="shared" si="4"/>
        <v>1</v>
      </c>
      <c r="J125" s="8" t="str">
        <f t="shared" si="5"/>
        <v>No</v>
      </c>
      <c r="K125" s="5" t="str">
        <f t="shared" si="6"/>
        <v>No</v>
      </c>
      <c r="L125" s="25">
        <f t="shared" si="7"/>
        <v>111.26050420168069</v>
      </c>
    </row>
    <row r="126" spans="1:12">
      <c r="A126" s="9" t="s">
        <v>268</v>
      </c>
      <c r="B126" s="8">
        <v>12</v>
      </c>
      <c r="C126" s="8" t="s">
        <v>35</v>
      </c>
      <c r="D126" s="8" t="s">
        <v>56</v>
      </c>
      <c r="E126" s="8" t="s">
        <v>269</v>
      </c>
      <c r="F126" s="8">
        <v>282</v>
      </c>
      <c r="G126" s="8">
        <v>106.64</v>
      </c>
      <c r="H126" s="10">
        <v>27.13</v>
      </c>
      <c r="I126" s="8">
        <f t="shared" si="4"/>
        <v>1</v>
      </c>
      <c r="J126" s="8" t="str">
        <f t="shared" si="5"/>
        <v>No</v>
      </c>
      <c r="K126" s="5" t="str">
        <f t="shared" si="6"/>
        <v>No</v>
      </c>
      <c r="L126" s="25">
        <f t="shared" si="7"/>
        <v>89.613445378151269</v>
      </c>
    </row>
    <row r="127" spans="1:12">
      <c r="A127" s="9" t="s">
        <v>270</v>
      </c>
      <c r="B127" s="8">
        <v>12</v>
      </c>
      <c r="C127" s="8" t="s">
        <v>39</v>
      </c>
      <c r="D127" s="8" t="s">
        <v>36</v>
      </c>
      <c r="E127" s="8" t="s">
        <v>271</v>
      </c>
      <c r="F127" s="8">
        <v>88</v>
      </c>
      <c r="G127" s="8">
        <v>42.26</v>
      </c>
      <c r="H127" s="10">
        <v>31.01</v>
      </c>
      <c r="I127" s="8">
        <f t="shared" si="4"/>
        <v>1</v>
      </c>
      <c r="J127" s="8" t="str">
        <f t="shared" si="5"/>
        <v>No</v>
      </c>
      <c r="K127" s="5" t="str">
        <f t="shared" si="6"/>
        <v>No</v>
      </c>
      <c r="L127" s="25">
        <f t="shared" si="7"/>
        <v>35.512605042016808</v>
      </c>
    </row>
    <row r="128" spans="1:12">
      <c r="A128" s="9" t="s">
        <v>272</v>
      </c>
      <c r="B128" s="8">
        <v>24</v>
      </c>
      <c r="C128" s="8" t="s">
        <v>39</v>
      </c>
      <c r="D128" s="8" t="s">
        <v>36</v>
      </c>
      <c r="E128" s="8" t="s">
        <v>273</v>
      </c>
      <c r="F128" s="8">
        <v>126</v>
      </c>
      <c r="G128" s="8">
        <v>56.7</v>
      </c>
      <c r="H128" s="10">
        <v>33.21</v>
      </c>
      <c r="I128" s="8">
        <f t="shared" si="4"/>
        <v>1</v>
      </c>
      <c r="J128" s="8" t="str">
        <f t="shared" si="5"/>
        <v>No</v>
      </c>
      <c r="K128" s="5" t="str">
        <f t="shared" si="6"/>
        <v>No</v>
      </c>
      <c r="L128" s="25">
        <f t="shared" si="7"/>
        <v>47.647058823529413</v>
      </c>
    </row>
    <row r="129" spans="1:12">
      <c r="A129" s="9" t="s">
        <v>274</v>
      </c>
      <c r="B129" s="8">
        <v>24</v>
      </c>
      <c r="C129" s="8" t="s">
        <v>35</v>
      </c>
      <c r="D129" s="8" t="s">
        <v>56</v>
      </c>
      <c r="E129" s="8" t="s">
        <v>275</v>
      </c>
      <c r="F129" s="8">
        <v>332</v>
      </c>
      <c r="G129" s="8">
        <v>128.66999999999999</v>
      </c>
      <c r="H129" s="10">
        <v>24.07</v>
      </c>
      <c r="I129" s="8">
        <f t="shared" si="4"/>
        <v>1</v>
      </c>
      <c r="J129" s="8" t="str">
        <f t="shared" si="5"/>
        <v>No</v>
      </c>
      <c r="K129" s="5" t="str">
        <f t="shared" si="6"/>
        <v>No</v>
      </c>
      <c r="L129" s="25">
        <f t="shared" si="7"/>
        <v>108.12605042016806</v>
      </c>
    </row>
    <row r="130" spans="1:12">
      <c r="A130" s="9" t="s">
        <v>276</v>
      </c>
      <c r="B130" s="8">
        <v>12</v>
      </c>
      <c r="C130" s="8" t="s">
        <v>35</v>
      </c>
      <c r="D130" s="8" t="s">
        <v>36</v>
      </c>
      <c r="E130" s="8" t="s">
        <v>277</v>
      </c>
      <c r="F130" s="8">
        <v>302</v>
      </c>
      <c r="G130" s="8">
        <v>111.53</v>
      </c>
      <c r="H130" s="10">
        <v>22.56</v>
      </c>
      <c r="I130" s="8">
        <f t="shared" ref="I130:I193" si="8">COUNTIF($A:$A,A130)</f>
        <v>1</v>
      </c>
      <c r="J130" s="8" t="str">
        <f t="shared" ref="J130:J193" si="9">IF(F130=0,"Yes","No")</f>
        <v>No</v>
      </c>
      <c r="K130" s="5" t="str">
        <f t="shared" ref="K130:K193" si="10">IF(F130&lt;0,"Yes","No")</f>
        <v>No</v>
      </c>
      <c r="L130" s="25">
        <f t="shared" ref="L130:L193" si="11">G130/1.19</f>
        <v>93.722689075630257</v>
      </c>
    </row>
    <row r="131" spans="1:12">
      <c r="A131" s="9" t="s">
        <v>278</v>
      </c>
      <c r="B131" s="8">
        <v>12</v>
      </c>
      <c r="C131" s="8" t="s">
        <v>39</v>
      </c>
      <c r="D131" s="8" t="s">
        <v>56</v>
      </c>
      <c r="E131" s="8" t="s">
        <v>279</v>
      </c>
      <c r="F131" s="8">
        <v>135</v>
      </c>
      <c r="G131" s="8">
        <v>58.78</v>
      </c>
      <c r="H131" s="10">
        <v>30.68</v>
      </c>
      <c r="I131" s="8">
        <f t="shared" si="8"/>
        <v>1</v>
      </c>
      <c r="J131" s="8" t="str">
        <f t="shared" si="9"/>
        <v>No</v>
      </c>
      <c r="K131" s="5" t="str">
        <f t="shared" si="10"/>
        <v>No</v>
      </c>
      <c r="L131" s="25">
        <f t="shared" si="11"/>
        <v>49.394957983193279</v>
      </c>
    </row>
    <row r="132" spans="1:12">
      <c r="A132" s="9" t="s">
        <v>280</v>
      </c>
      <c r="B132" s="8">
        <v>12</v>
      </c>
      <c r="C132" s="8" t="s">
        <v>39</v>
      </c>
      <c r="D132" s="8" t="s">
        <v>46</v>
      </c>
      <c r="E132" s="8" t="s">
        <v>281</v>
      </c>
      <c r="F132" s="8">
        <v>109</v>
      </c>
      <c r="G132" s="8">
        <v>48.82</v>
      </c>
      <c r="H132" s="10">
        <v>32.479999999999997</v>
      </c>
      <c r="I132" s="8">
        <f t="shared" si="8"/>
        <v>1</v>
      </c>
      <c r="J132" s="8" t="str">
        <f t="shared" si="9"/>
        <v>No</v>
      </c>
      <c r="K132" s="5" t="str">
        <f t="shared" si="10"/>
        <v>No</v>
      </c>
      <c r="L132" s="25">
        <f t="shared" si="11"/>
        <v>41.025210084033617</v>
      </c>
    </row>
    <row r="133" spans="1:12">
      <c r="A133" s="9" t="s">
        <v>282</v>
      </c>
      <c r="B133" s="8">
        <v>12</v>
      </c>
      <c r="C133" s="8" t="s">
        <v>51</v>
      </c>
      <c r="D133" s="8" t="s">
        <v>56</v>
      </c>
      <c r="E133" s="8" t="s">
        <v>283</v>
      </c>
      <c r="F133" s="8">
        <v>541</v>
      </c>
      <c r="G133" s="8">
        <v>173.18</v>
      </c>
      <c r="H133" s="10">
        <v>20.21</v>
      </c>
      <c r="I133" s="8">
        <f t="shared" si="8"/>
        <v>1</v>
      </c>
      <c r="J133" s="8" t="str">
        <f t="shared" si="9"/>
        <v>No</v>
      </c>
      <c r="K133" s="5" t="str">
        <f t="shared" si="10"/>
        <v>No</v>
      </c>
      <c r="L133" s="25">
        <f t="shared" si="11"/>
        <v>145.52941176470588</v>
      </c>
    </row>
    <row r="134" spans="1:12">
      <c r="A134" s="9" t="s">
        <v>284</v>
      </c>
      <c r="B134" s="8">
        <v>12</v>
      </c>
      <c r="C134" s="8" t="s">
        <v>51</v>
      </c>
      <c r="D134" s="8" t="s">
        <v>36</v>
      </c>
      <c r="E134" s="8" t="s">
        <v>37</v>
      </c>
      <c r="F134" s="8">
        <v>509</v>
      </c>
      <c r="G134" s="8">
        <v>174.55</v>
      </c>
      <c r="H134" s="10">
        <v>17.350000000000001</v>
      </c>
      <c r="I134" s="8">
        <f t="shared" si="8"/>
        <v>1</v>
      </c>
      <c r="J134" s="8" t="str">
        <f t="shared" si="9"/>
        <v>No</v>
      </c>
      <c r="K134" s="5" t="str">
        <f t="shared" si="10"/>
        <v>No</v>
      </c>
      <c r="L134" s="25">
        <f t="shared" si="11"/>
        <v>146.68067226890759</v>
      </c>
    </row>
    <row r="135" spans="1:12">
      <c r="A135" s="9" t="s">
        <v>285</v>
      </c>
      <c r="B135" s="8">
        <v>12</v>
      </c>
      <c r="C135" s="8" t="s">
        <v>35</v>
      </c>
      <c r="D135" s="8" t="s">
        <v>36</v>
      </c>
      <c r="E135" s="8" t="s">
        <v>286</v>
      </c>
      <c r="F135" s="8">
        <v>238</v>
      </c>
      <c r="G135" s="8">
        <v>91.97</v>
      </c>
      <c r="H135" s="10">
        <v>22.78</v>
      </c>
      <c r="I135" s="8">
        <f t="shared" si="8"/>
        <v>1</v>
      </c>
      <c r="J135" s="8" t="str">
        <f t="shared" si="9"/>
        <v>No</v>
      </c>
      <c r="K135" s="5" t="str">
        <f t="shared" si="10"/>
        <v>No</v>
      </c>
      <c r="L135" s="25">
        <f t="shared" si="11"/>
        <v>77.285714285714292</v>
      </c>
    </row>
    <row r="136" spans="1:12">
      <c r="A136" s="9" t="s">
        <v>287</v>
      </c>
      <c r="B136" s="8">
        <v>24</v>
      </c>
      <c r="C136" s="8" t="s">
        <v>39</v>
      </c>
      <c r="D136" s="8" t="s">
        <v>46</v>
      </c>
      <c r="E136" s="8" t="s">
        <v>288</v>
      </c>
      <c r="F136" s="8">
        <v>94</v>
      </c>
      <c r="G136" s="8">
        <v>45.16</v>
      </c>
      <c r="H136" s="10">
        <v>31.56</v>
      </c>
      <c r="I136" s="8">
        <f t="shared" si="8"/>
        <v>1</v>
      </c>
      <c r="J136" s="8" t="str">
        <f t="shared" si="9"/>
        <v>No</v>
      </c>
      <c r="K136" s="5" t="str">
        <f t="shared" si="10"/>
        <v>No</v>
      </c>
      <c r="L136" s="25">
        <f t="shared" si="11"/>
        <v>37.949579831932773</v>
      </c>
    </row>
    <row r="137" spans="1:12">
      <c r="A137" s="9" t="s">
        <v>289</v>
      </c>
      <c r="B137" s="8">
        <v>12</v>
      </c>
      <c r="C137" s="8" t="s">
        <v>39</v>
      </c>
      <c r="D137" s="8" t="s">
        <v>56</v>
      </c>
      <c r="E137" s="8" t="s">
        <v>290</v>
      </c>
      <c r="F137" s="8">
        <v>158</v>
      </c>
      <c r="G137" s="8">
        <v>63.77</v>
      </c>
      <c r="H137" s="10">
        <v>31</v>
      </c>
      <c r="I137" s="8">
        <f t="shared" si="8"/>
        <v>1</v>
      </c>
      <c r="J137" s="8" t="str">
        <f t="shared" si="9"/>
        <v>No</v>
      </c>
      <c r="K137" s="5" t="str">
        <f t="shared" si="10"/>
        <v>No</v>
      </c>
      <c r="L137" s="25">
        <f t="shared" si="11"/>
        <v>53.588235294117652</v>
      </c>
    </row>
    <row r="138" spans="1:12">
      <c r="A138" s="9" t="s">
        <v>291</v>
      </c>
      <c r="B138" s="8">
        <v>12</v>
      </c>
      <c r="C138" s="8" t="s">
        <v>39</v>
      </c>
      <c r="D138" s="8" t="s">
        <v>46</v>
      </c>
      <c r="E138" s="8" t="s">
        <v>292</v>
      </c>
      <c r="F138" s="8">
        <v>121</v>
      </c>
      <c r="G138" s="8">
        <v>57.25</v>
      </c>
      <c r="H138" s="10">
        <v>31.63</v>
      </c>
      <c r="I138" s="8">
        <f t="shared" si="8"/>
        <v>2</v>
      </c>
      <c r="J138" s="8" t="str">
        <f t="shared" si="9"/>
        <v>No</v>
      </c>
      <c r="K138" s="5" t="str">
        <f t="shared" si="10"/>
        <v>No</v>
      </c>
      <c r="L138" s="25">
        <f t="shared" si="11"/>
        <v>48.109243697478995</v>
      </c>
    </row>
    <row r="139" spans="1:12">
      <c r="A139" s="9" t="s">
        <v>291</v>
      </c>
      <c r="B139" s="8">
        <v>24</v>
      </c>
      <c r="C139" s="8" t="s">
        <v>51</v>
      </c>
      <c r="D139" s="8" t="s">
        <v>36</v>
      </c>
      <c r="E139" s="8" t="s">
        <v>293</v>
      </c>
      <c r="F139" s="8">
        <v>398</v>
      </c>
      <c r="G139" s="8">
        <v>135.22999999999999</v>
      </c>
      <c r="H139" s="10">
        <v>20.29</v>
      </c>
      <c r="I139" s="8">
        <f t="shared" si="8"/>
        <v>2</v>
      </c>
      <c r="J139" s="8" t="str">
        <f t="shared" si="9"/>
        <v>No</v>
      </c>
      <c r="K139" s="5" t="str">
        <f t="shared" si="10"/>
        <v>No</v>
      </c>
      <c r="L139" s="25">
        <f t="shared" si="11"/>
        <v>113.63865546218487</v>
      </c>
    </row>
    <row r="140" spans="1:12">
      <c r="A140" s="9" t="s">
        <v>294</v>
      </c>
      <c r="B140" s="8">
        <v>12</v>
      </c>
      <c r="C140" s="8" t="s">
        <v>39</v>
      </c>
      <c r="D140" s="8" t="s">
        <v>46</v>
      </c>
      <c r="E140" s="8" t="s">
        <v>118</v>
      </c>
      <c r="F140" s="8">
        <v>114</v>
      </c>
      <c r="G140" s="8">
        <v>53.81</v>
      </c>
      <c r="H140" s="10">
        <v>30.39</v>
      </c>
      <c r="I140" s="8">
        <f t="shared" si="8"/>
        <v>1</v>
      </c>
      <c r="J140" s="8" t="str">
        <f t="shared" si="9"/>
        <v>No</v>
      </c>
      <c r="K140" s="5" t="str">
        <f t="shared" si="10"/>
        <v>No</v>
      </c>
      <c r="L140" s="25">
        <f t="shared" si="11"/>
        <v>45.21848739495799</v>
      </c>
    </row>
    <row r="141" spans="1:12">
      <c r="A141" s="9" t="s">
        <v>295</v>
      </c>
      <c r="B141" s="8">
        <v>24</v>
      </c>
      <c r="C141" s="8" t="s">
        <v>35</v>
      </c>
      <c r="D141" s="8" t="s">
        <v>46</v>
      </c>
      <c r="E141" s="8" t="s">
        <v>296</v>
      </c>
      <c r="F141" s="8">
        <v>236</v>
      </c>
      <c r="G141" s="8">
        <v>93.8</v>
      </c>
      <c r="H141" s="10">
        <v>24.62</v>
      </c>
      <c r="I141" s="8">
        <f t="shared" si="8"/>
        <v>1</v>
      </c>
      <c r="J141" s="8" t="str">
        <f t="shared" si="9"/>
        <v>No</v>
      </c>
      <c r="K141" s="5" t="str">
        <f t="shared" si="10"/>
        <v>No</v>
      </c>
      <c r="L141" s="25">
        <f t="shared" si="11"/>
        <v>78.82352941176471</v>
      </c>
    </row>
    <row r="142" spans="1:12">
      <c r="A142" s="9" t="s">
        <v>297</v>
      </c>
      <c r="B142" s="8">
        <v>24</v>
      </c>
      <c r="C142" s="8" t="s">
        <v>39</v>
      </c>
      <c r="D142" s="8" t="s">
        <v>46</v>
      </c>
      <c r="E142" s="8" t="s">
        <v>298</v>
      </c>
      <c r="F142" s="8">
        <v>152</v>
      </c>
      <c r="G142" s="8">
        <v>63.83</v>
      </c>
      <c r="H142" s="10">
        <v>33.56</v>
      </c>
      <c r="I142" s="8">
        <f t="shared" si="8"/>
        <v>1</v>
      </c>
      <c r="J142" s="8" t="str">
        <f t="shared" si="9"/>
        <v>No</v>
      </c>
      <c r="K142" s="5" t="str">
        <f t="shared" si="10"/>
        <v>No</v>
      </c>
      <c r="L142" s="25">
        <f t="shared" si="11"/>
        <v>53.638655462184872</v>
      </c>
    </row>
    <row r="143" spans="1:12">
      <c r="A143" s="9" t="s">
        <v>299</v>
      </c>
      <c r="B143" s="8">
        <v>12</v>
      </c>
      <c r="C143" s="8" t="s">
        <v>35</v>
      </c>
      <c r="D143" s="8" t="s">
        <v>46</v>
      </c>
      <c r="E143" s="8" t="s">
        <v>300</v>
      </c>
      <c r="F143" s="8">
        <v>289</v>
      </c>
      <c r="G143" s="8">
        <v>104.03</v>
      </c>
      <c r="H143" s="10">
        <v>24.32</v>
      </c>
      <c r="I143" s="8">
        <f t="shared" si="8"/>
        <v>1</v>
      </c>
      <c r="J143" s="8" t="str">
        <f t="shared" si="9"/>
        <v>No</v>
      </c>
      <c r="K143" s="5" t="str">
        <f t="shared" si="10"/>
        <v>No</v>
      </c>
      <c r="L143" s="25">
        <f t="shared" si="11"/>
        <v>87.420168067226896</v>
      </c>
    </row>
    <row r="144" spans="1:12">
      <c r="A144" s="9" t="s">
        <v>301</v>
      </c>
      <c r="B144" s="8">
        <v>12</v>
      </c>
      <c r="C144" s="8" t="s">
        <v>35</v>
      </c>
      <c r="D144" s="8" t="s">
        <v>56</v>
      </c>
      <c r="E144" s="8" t="s">
        <v>302</v>
      </c>
      <c r="F144" s="8">
        <v>295</v>
      </c>
      <c r="G144" s="8">
        <v>107.47</v>
      </c>
      <c r="H144" s="10">
        <v>24.53</v>
      </c>
      <c r="I144" s="8">
        <f t="shared" si="8"/>
        <v>1</v>
      </c>
      <c r="J144" s="8" t="str">
        <f t="shared" si="9"/>
        <v>No</v>
      </c>
      <c r="K144" s="5" t="str">
        <f t="shared" si="10"/>
        <v>No</v>
      </c>
      <c r="L144" s="25">
        <f t="shared" si="11"/>
        <v>90.310924369747909</v>
      </c>
    </row>
    <row r="145" spans="1:12">
      <c r="A145" s="9" t="s">
        <v>303</v>
      </c>
      <c r="B145" s="8">
        <v>12</v>
      </c>
      <c r="C145" s="8" t="s">
        <v>51</v>
      </c>
      <c r="D145" s="8" t="s">
        <v>46</v>
      </c>
      <c r="E145" s="8" t="s">
        <v>304</v>
      </c>
      <c r="F145" s="8">
        <v>337</v>
      </c>
      <c r="G145" s="8">
        <v>119.39</v>
      </c>
      <c r="H145" s="10">
        <v>17.28</v>
      </c>
      <c r="I145" s="8">
        <f t="shared" si="8"/>
        <v>1</v>
      </c>
      <c r="J145" s="8" t="str">
        <f t="shared" si="9"/>
        <v>No</v>
      </c>
      <c r="K145" s="5" t="str">
        <f t="shared" si="10"/>
        <v>No</v>
      </c>
      <c r="L145" s="25">
        <f t="shared" si="11"/>
        <v>100.32773109243698</v>
      </c>
    </row>
    <row r="146" spans="1:12">
      <c r="A146" s="9" t="s">
        <v>305</v>
      </c>
      <c r="B146" s="8">
        <v>12</v>
      </c>
      <c r="C146" s="8" t="s">
        <v>39</v>
      </c>
      <c r="D146" s="8" t="s">
        <v>36</v>
      </c>
      <c r="E146" s="8" t="s">
        <v>306</v>
      </c>
      <c r="F146" s="8">
        <v>118</v>
      </c>
      <c r="G146" s="8">
        <v>56.5</v>
      </c>
      <c r="H146" s="10">
        <v>29.9</v>
      </c>
      <c r="I146" s="8">
        <f t="shared" si="8"/>
        <v>1</v>
      </c>
      <c r="J146" s="8" t="str">
        <f t="shared" si="9"/>
        <v>No</v>
      </c>
      <c r="K146" s="5" t="str">
        <f t="shared" si="10"/>
        <v>No</v>
      </c>
      <c r="L146" s="25">
        <f t="shared" si="11"/>
        <v>47.478991596638657</v>
      </c>
    </row>
    <row r="147" spans="1:12">
      <c r="A147" s="9" t="s">
        <v>307</v>
      </c>
      <c r="B147" s="8">
        <v>12</v>
      </c>
      <c r="C147" s="8" t="s">
        <v>39</v>
      </c>
      <c r="D147" s="8" t="s">
        <v>36</v>
      </c>
      <c r="E147" s="8" t="s">
        <v>308</v>
      </c>
      <c r="F147" s="8">
        <v>123</v>
      </c>
      <c r="G147" s="8">
        <v>57.97</v>
      </c>
      <c r="H147" s="10">
        <v>32.869999999999997</v>
      </c>
      <c r="I147" s="8">
        <f t="shared" si="8"/>
        <v>1</v>
      </c>
      <c r="J147" s="8" t="str">
        <f t="shared" si="9"/>
        <v>No</v>
      </c>
      <c r="K147" s="5" t="str">
        <f t="shared" si="10"/>
        <v>No</v>
      </c>
      <c r="L147" s="25">
        <f t="shared" si="11"/>
        <v>48.714285714285715</v>
      </c>
    </row>
    <row r="148" spans="1:12">
      <c r="A148" s="9" t="s">
        <v>309</v>
      </c>
      <c r="B148" s="8">
        <v>24</v>
      </c>
      <c r="C148" s="8" t="s">
        <v>39</v>
      </c>
      <c r="D148" s="8" t="s">
        <v>36</v>
      </c>
      <c r="E148" s="8" t="s">
        <v>310</v>
      </c>
      <c r="F148" s="8">
        <v>85</v>
      </c>
      <c r="G148" s="8">
        <v>40.98</v>
      </c>
      <c r="H148" s="10">
        <v>31.08</v>
      </c>
      <c r="I148" s="8">
        <f t="shared" si="8"/>
        <v>1</v>
      </c>
      <c r="J148" s="8" t="str">
        <f t="shared" si="9"/>
        <v>No</v>
      </c>
      <c r="K148" s="5" t="str">
        <f t="shared" si="10"/>
        <v>No</v>
      </c>
      <c r="L148" s="25">
        <f t="shared" si="11"/>
        <v>34.436974789915965</v>
      </c>
    </row>
    <row r="149" spans="1:12">
      <c r="A149" s="9" t="s">
        <v>311</v>
      </c>
      <c r="B149" s="8">
        <v>12</v>
      </c>
      <c r="C149" s="8" t="s">
        <v>51</v>
      </c>
      <c r="D149" s="8" t="s">
        <v>36</v>
      </c>
      <c r="E149" s="8" t="s">
        <v>199</v>
      </c>
      <c r="F149" s="8">
        <v>420</v>
      </c>
      <c r="G149" s="8">
        <v>141.49</v>
      </c>
      <c r="H149" s="10">
        <v>17.510000000000002</v>
      </c>
      <c r="I149" s="8">
        <f t="shared" si="8"/>
        <v>1</v>
      </c>
      <c r="J149" s="8" t="str">
        <f t="shared" si="9"/>
        <v>No</v>
      </c>
      <c r="K149" s="5" t="str">
        <f t="shared" si="10"/>
        <v>No</v>
      </c>
      <c r="L149" s="25">
        <f t="shared" si="11"/>
        <v>118.89915966386556</v>
      </c>
    </row>
    <row r="150" spans="1:12">
      <c r="A150" s="9" t="s">
        <v>312</v>
      </c>
      <c r="B150" s="8">
        <v>12</v>
      </c>
      <c r="C150" s="8" t="s">
        <v>51</v>
      </c>
      <c r="D150" s="8" t="s">
        <v>36</v>
      </c>
      <c r="E150" s="8" t="s">
        <v>313</v>
      </c>
      <c r="F150" s="8">
        <v>587</v>
      </c>
      <c r="G150" s="8">
        <v>199.76</v>
      </c>
      <c r="H150" s="10">
        <v>18.07</v>
      </c>
      <c r="I150" s="8">
        <f t="shared" si="8"/>
        <v>1</v>
      </c>
      <c r="J150" s="8" t="str">
        <f t="shared" si="9"/>
        <v>No</v>
      </c>
      <c r="K150" s="5" t="str">
        <f t="shared" si="10"/>
        <v>No</v>
      </c>
      <c r="L150" s="25">
        <f t="shared" si="11"/>
        <v>167.8655462184874</v>
      </c>
    </row>
    <row r="151" spans="1:12">
      <c r="A151" s="9" t="s">
        <v>314</v>
      </c>
      <c r="B151" s="8">
        <v>12</v>
      </c>
      <c r="C151" s="8" t="s">
        <v>35</v>
      </c>
      <c r="D151" s="8" t="s">
        <v>36</v>
      </c>
      <c r="E151" s="8" t="s">
        <v>315</v>
      </c>
      <c r="F151" s="8">
        <v>190</v>
      </c>
      <c r="G151" s="8">
        <v>78.680000000000007</v>
      </c>
      <c r="H151" s="10">
        <v>22.97</v>
      </c>
      <c r="I151" s="8">
        <f t="shared" si="8"/>
        <v>1</v>
      </c>
      <c r="J151" s="8" t="str">
        <f t="shared" si="9"/>
        <v>No</v>
      </c>
      <c r="K151" s="5" t="str">
        <f t="shared" si="10"/>
        <v>No</v>
      </c>
      <c r="L151" s="25">
        <f t="shared" si="11"/>
        <v>66.117647058823536</v>
      </c>
    </row>
    <row r="152" spans="1:12">
      <c r="A152" s="9" t="s">
        <v>316</v>
      </c>
      <c r="B152" s="8">
        <v>24</v>
      </c>
      <c r="C152" s="8" t="s">
        <v>35</v>
      </c>
      <c r="D152" s="8" t="s">
        <v>36</v>
      </c>
      <c r="E152" s="8" t="s">
        <v>185</v>
      </c>
      <c r="F152" s="8">
        <v>256</v>
      </c>
      <c r="G152" s="8">
        <v>94.69</v>
      </c>
      <c r="H152" s="10">
        <v>22.86</v>
      </c>
      <c r="I152" s="8">
        <f t="shared" si="8"/>
        <v>1</v>
      </c>
      <c r="J152" s="8" t="str">
        <f t="shared" si="9"/>
        <v>No</v>
      </c>
      <c r="K152" s="5" t="str">
        <f t="shared" si="10"/>
        <v>No</v>
      </c>
      <c r="L152" s="25">
        <f t="shared" si="11"/>
        <v>79.571428571428569</v>
      </c>
    </row>
    <row r="153" spans="1:12">
      <c r="A153" s="9" t="s">
        <v>317</v>
      </c>
      <c r="B153" s="8">
        <v>12</v>
      </c>
      <c r="C153" s="8" t="s">
        <v>35</v>
      </c>
      <c r="D153" s="8" t="s">
        <v>36</v>
      </c>
      <c r="E153" s="8" t="s">
        <v>318</v>
      </c>
      <c r="F153" s="8">
        <v>203</v>
      </c>
      <c r="G153" s="8">
        <v>73.69</v>
      </c>
      <c r="H153" s="10">
        <v>23.7</v>
      </c>
      <c r="I153" s="8">
        <f t="shared" si="8"/>
        <v>1</v>
      </c>
      <c r="J153" s="8" t="str">
        <f t="shared" si="9"/>
        <v>No</v>
      </c>
      <c r="K153" s="5" t="str">
        <f t="shared" si="10"/>
        <v>No</v>
      </c>
      <c r="L153" s="25">
        <f t="shared" si="11"/>
        <v>61.924369747899163</v>
      </c>
    </row>
    <row r="154" spans="1:12">
      <c r="A154" s="9" t="s">
        <v>319</v>
      </c>
      <c r="B154" s="8">
        <v>12</v>
      </c>
      <c r="C154" s="8" t="s">
        <v>39</v>
      </c>
      <c r="D154" s="8" t="s">
        <v>56</v>
      </c>
      <c r="E154" s="8" t="s">
        <v>320</v>
      </c>
      <c r="F154" s="8">
        <v>84</v>
      </c>
      <c r="G154" s="8">
        <v>41.56</v>
      </c>
      <c r="H154" s="10">
        <v>31.63</v>
      </c>
      <c r="I154" s="8">
        <f t="shared" si="8"/>
        <v>1</v>
      </c>
      <c r="J154" s="8" t="str">
        <f t="shared" si="9"/>
        <v>No</v>
      </c>
      <c r="K154" s="5" t="str">
        <f t="shared" si="10"/>
        <v>No</v>
      </c>
      <c r="L154" s="25">
        <f t="shared" si="11"/>
        <v>34.924369747899163</v>
      </c>
    </row>
    <row r="155" spans="1:12">
      <c r="A155" s="9" t="s">
        <v>321</v>
      </c>
      <c r="B155" s="8">
        <v>12</v>
      </c>
      <c r="C155" s="8" t="s">
        <v>51</v>
      </c>
      <c r="D155" s="8" t="s">
        <v>56</v>
      </c>
      <c r="E155" s="8" t="s">
        <v>208</v>
      </c>
      <c r="F155" s="8">
        <v>414</v>
      </c>
      <c r="G155" s="8">
        <v>138.58000000000001</v>
      </c>
      <c r="H155" s="10">
        <v>19.04</v>
      </c>
      <c r="I155" s="8">
        <f t="shared" si="8"/>
        <v>1</v>
      </c>
      <c r="J155" s="8" t="str">
        <f t="shared" si="9"/>
        <v>No</v>
      </c>
      <c r="K155" s="5" t="str">
        <f t="shared" si="10"/>
        <v>No</v>
      </c>
      <c r="L155" s="25">
        <f t="shared" si="11"/>
        <v>116.45378151260506</v>
      </c>
    </row>
    <row r="156" spans="1:12">
      <c r="A156" s="9" t="s">
        <v>322</v>
      </c>
      <c r="B156" s="8">
        <v>24</v>
      </c>
      <c r="C156" s="8" t="s">
        <v>35</v>
      </c>
      <c r="D156" s="8" t="s">
        <v>36</v>
      </c>
      <c r="E156" s="8" t="s">
        <v>323</v>
      </c>
      <c r="F156" s="8">
        <v>329</v>
      </c>
      <c r="G156" s="8">
        <v>120.35</v>
      </c>
      <c r="H156" s="10">
        <v>22.75</v>
      </c>
      <c r="I156" s="8">
        <f t="shared" si="8"/>
        <v>1</v>
      </c>
      <c r="J156" s="8" t="str">
        <f t="shared" si="9"/>
        <v>No</v>
      </c>
      <c r="K156" s="5" t="str">
        <f t="shared" si="10"/>
        <v>No</v>
      </c>
      <c r="L156" s="25">
        <f t="shared" si="11"/>
        <v>101.1344537815126</v>
      </c>
    </row>
    <row r="157" spans="1:12">
      <c r="A157" s="9" t="s">
        <v>324</v>
      </c>
      <c r="B157" s="8">
        <v>12</v>
      </c>
      <c r="C157" s="8" t="s">
        <v>35</v>
      </c>
      <c r="D157" s="8" t="s">
        <v>56</v>
      </c>
      <c r="E157" s="8" t="s">
        <v>325</v>
      </c>
      <c r="F157" s="8">
        <v>300</v>
      </c>
      <c r="G157" s="8">
        <v>107.87</v>
      </c>
      <c r="H157" s="10">
        <v>22.31</v>
      </c>
      <c r="I157" s="8">
        <f t="shared" si="8"/>
        <v>1</v>
      </c>
      <c r="J157" s="8" t="str">
        <f t="shared" si="9"/>
        <v>No</v>
      </c>
      <c r="K157" s="5" t="str">
        <f t="shared" si="10"/>
        <v>No</v>
      </c>
      <c r="L157" s="25">
        <f t="shared" si="11"/>
        <v>90.64705882352942</v>
      </c>
    </row>
    <row r="158" spans="1:12">
      <c r="A158" s="9" t="s">
        <v>326</v>
      </c>
      <c r="B158" s="8">
        <v>24</v>
      </c>
      <c r="C158" s="8" t="s">
        <v>35</v>
      </c>
      <c r="D158" s="8" t="s">
        <v>36</v>
      </c>
      <c r="E158" s="8" t="s">
        <v>327</v>
      </c>
      <c r="F158" s="8">
        <v>326</v>
      </c>
      <c r="G158" s="8">
        <v>122.35</v>
      </c>
      <c r="H158" s="10">
        <v>24.78</v>
      </c>
      <c r="I158" s="8">
        <f t="shared" si="8"/>
        <v>1</v>
      </c>
      <c r="J158" s="8" t="str">
        <f t="shared" si="9"/>
        <v>No</v>
      </c>
      <c r="K158" s="5" t="str">
        <f t="shared" si="10"/>
        <v>No</v>
      </c>
      <c r="L158" s="25">
        <f t="shared" si="11"/>
        <v>102.81512605042016</v>
      </c>
    </row>
    <row r="159" spans="1:12">
      <c r="A159" s="9" t="s">
        <v>328</v>
      </c>
      <c r="B159" s="8">
        <v>24</v>
      </c>
      <c r="C159" s="8" t="s">
        <v>39</v>
      </c>
      <c r="D159" s="8" t="s">
        <v>36</v>
      </c>
      <c r="E159" s="8" t="s">
        <v>329</v>
      </c>
      <c r="F159" s="8">
        <v>124</v>
      </c>
      <c r="G159" s="8">
        <v>57.62</v>
      </c>
      <c r="H159" s="10">
        <v>29.53</v>
      </c>
      <c r="I159" s="8">
        <f t="shared" si="8"/>
        <v>1</v>
      </c>
      <c r="J159" s="8" t="str">
        <f t="shared" si="9"/>
        <v>No</v>
      </c>
      <c r="K159" s="5" t="str">
        <f t="shared" si="10"/>
        <v>No</v>
      </c>
      <c r="L159" s="25">
        <f t="shared" si="11"/>
        <v>48.420168067226889</v>
      </c>
    </row>
    <row r="160" spans="1:12">
      <c r="A160" s="9" t="s">
        <v>330</v>
      </c>
      <c r="B160" s="8">
        <v>12</v>
      </c>
      <c r="C160" s="8" t="s">
        <v>39</v>
      </c>
      <c r="D160" s="8" t="s">
        <v>36</v>
      </c>
      <c r="E160" s="8" t="s">
        <v>331</v>
      </c>
      <c r="F160" s="8">
        <v>92</v>
      </c>
      <c r="G160" s="8">
        <v>44.28</v>
      </c>
      <c r="H160" s="10">
        <v>31.29</v>
      </c>
      <c r="I160" s="8">
        <f t="shared" si="8"/>
        <v>1</v>
      </c>
      <c r="J160" s="8" t="str">
        <f t="shared" si="9"/>
        <v>No</v>
      </c>
      <c r="K160" s="5" t="str">
        <f t="shared" si="10"/>
        <v>No</v>
      </c>
      <c r="L160" s="25">
        <f t="shared" si="11"/>
        <v>37.210084033613448</v>
      </c>
    </row>
    <row r="161" spans="1:12">
      <c r="A161" s="9" t="s">
        <v>332</v>
      </c>
      <c r="B161" s="8">
        <v>24</v>
      </c>
      <c r="C161" s="8" t="s">
        <v>35</v>
      </c>
      <c r="D161" s="8" t="s">
        <v>36</v>
      </c>
      <c r="E161" s="8" t="s">
        <v>333</v>
      </c>
      <c r="F161" s="8">
        <v>258</v>
      </c>
      <c r="G161" s="8">
        <v>101.2</v>
      </c>
      <c r="H161" s="10">
        <v>24.64</v>
      </c>
      <c r="I161" s="8">
        <f t="shared" si="8"/>
        <v>1</v>
      </c>
      <c r="J161" s="8" t="str">
        <f t="shared" si="9"/>
        <v>No</v>
      </c>
      <c r="K161" s="5" t="str">
        <f t="shared" si="10"/>
        <v>No</v>
      </c>
      <c r="L161" s="25">
        <f t="shared" si="11"/>
        <v>85.0420168067227</v>
      </c>
    </row>
    <row r="162" spans="1:12">
      <c r="A162" s="9" t="s">
        <v>334</v>
      </c>
      <c r="B162" s="8">
        <v>12</v>
      </c>
      <c r="C162" s="8" t="s">
        <v>39</v>
      </c>
      <c r="D162" s="8" t="s">
        <v>46</v>
      </c>
      <c r="E162" s="8" t="s">
        <v>335</v>
      </c>
      <c r="F162" s="8">
        <v>121</v>
      </c>
      <c r="G162" s="8">
        <v>54.72</v>
      </c>
      <c r="H162" s="10">
        <v>31.18</v>
      </c>
      <c r="I162" s="8">
        <f t="shared" si="8"/>
        <v>1</v>
      </c>
      <c r="J162" s="8" t="str">
        <f t="shared" si="9"/>
        <v>No</v>
      </c>
      <c r="K162" s="5" t="str">
        <f t="shared" si="10"/>
        <v>No</v>
      </c>
      <c r="L162" s="25">
        <f t="shared" si="11"/>
        <v>45.983193277310924</v>
      </c>
    </row>
    <row r="163" spans="1:12">
      <c r="A163" s="9" t="s">
        <v>336</v>
      </c>
      <c r="B163" s="8">
        <v>24</v>
      </c>
      <c r="C163" s="8" t="s">
        <v>35</v>
      </c>
      <c r="D163" s="8" t="s">
        <v>46</v>
      </c>
      <c r="E163" s="8" t="s">
        <v>229</v>
      </c>
      <c r="F163" s="8">
        <v>307</v>
      </c>
      <c r="G163" s="8">
        <v>110.15</v>
      </c>
      <c r="H163" s="10">
        <v>23.09</v>
      </c>
      <c r="I163" s="8">
        <f t="shared" si="8"/>
        <v>1</v>
      </c>
      <c r="J163" s="8" t="str">
        <f t="shared" si="9"/>
        <v>No</v>
      </c>
      <c r="K163" s="5" t="str">
        <f t="shared" si="10"/>
        <v>No</v>
      </c>
      <c r="L163" s="25">
        <f t="shared" si="11"/>
        <v>92.563025210084049</v>
      </c>
    </row>
    <row r="164" spans="1:12">
      <c r="A164" s="9" t="s">
        <v>337</v>
      </c>
      <c r="B164" s="8">
        <v>24</v>
      </c>
      <c r="C164" s="8" t="s">
        <v>39</v>
      </c>
      <c r="D164" s="8" t="s">
        <v>36</v>
      </c>
      <c r="E164" s="8" t="s">
        <v>338</v>
      </c>
      <c r="F164" s="8">
        <v>91</v>
      </c>
      <c r="G164" s="8">
        <v>43.09</v>
      </c>
      <c r="H164" s="10">
        <v>30.77</v>
      </c>
      <c r="I164" s="8">
        <f t="shared" si="8"/>
        <v>1</v>
      </c>
      <c r="J164" s="8" t="str">
        <f t="shared" si="9"/>
        <v>No</v>
      </c>
      <c r="K164" s="5" t="str">
        <f t="shared" si="10"/>
        <v>No</v>
      </c>
      <c r="L164" s="25">
        <f t="shared" si="11"/>
        <v>36.210084033613448</v>
      </c>
    </row>
    <row r="165" spans="1:12">
      <c r="A165" s="9" t="s">
        <v>339</v>
      </c>
      <c r="B165" s="8">
        <v>12</v>
      </c>
      <c r="C165" s="8" t="s">
        <v>35</v>
      </c>
      <c r="D165" s="8" t="s">
        <v>36</v>
      </c>
      <c r="E165" s="8" t="s">
        <v>340</v>
      </c>
      <c r="F165" s="8">
        <v>248</v>
      </c>
      <c r="G165" s="8">
        <v>94.65</v>
      </c>
      <c r="H165" s="10">
        <v>23.06</v>
      </c>
      <c r="I165" s="8">
        <f t="shared" si="8"/>
        <v>1</v>
      </c>
      <c r="J165" s="8" t="str">
        <f t="shared" si="9"/>
        <v>No</v>
      </c>
      <c r="K165" s="5" t="str">
        <f t="shared" si="10"/>
        <v>No</v>
      </c>
      <c r="L165" s="25">
        <f t="shared" si="11"/>
        <v>79.537815126050432</v>
      </c>
    </row>
    <row r="166" spans="1:12">
      <c r="A166" s="9" t="s">
        <v>341</v>
      </c>
      <c r="B166" s="8">
        <v>12</v>
      </c>
      <c r="C166" s="8" t="s">
        <v>39</v>
      </c>
      <c r="D166" s="8" t="s">
        <v>36</v>
      </c>
      <c r="E166" s="8" t="s">
        <v>342</v>
      </c>
      <c r="F166" s="8">
        <v>96</v>
      </c>
      <c r="G166" s="8">
        <v>45.74</v>
      </c>
      <c r="H166" s="10">
        <v>31.76</v>
      </c>
      <c r="I166" s="8">
        <f t="shared" si="8"/>
        <v>1</v>
      </c>
      <c r="J166" s="8" t="str">
        <f t="shared" si="9"/>
        <v>No</v>
      </c>
      <c r="K166" s="5" t="str">
        <f t="shared" si="10"/>
        <v>No</v>
      </c>
      <c r="L166" s="25">
        <f t="shared" si="11"/>
        <v>38.436974789915972</v>
      </c>
    </row>
    <row r="167" spans="1:12">
      <c r="A167" s="9" t="s">
        <v>343</v>
      </c>
      <c r="B167" s="8">
        <v>24</v>
      </c>
      <c r="C167" s="8" t="s">
        <v>35</v>
      </c>
      <c r="D167" s="8" t="s">
        <v>36</v>
      </c>
      <c r="E167" s="8" t="s">
        <v>77</v>
      </c>
      <c r="F167" s="8">
        <v>221</v>
      </c>
      <c r="G167" s="8">
        <v>84.59</v>
      </c>
      <c r="H167" s="10">
        <v>24.55</v>
      </c>
      <c r="I167" s="8">
        <f t="shared" si="8"/>
        <v>1</v>
      </c>
      <c r="J167" s="8" t="str">
        <f t="shared" si="9"/>
        <v>No</v>
      </c>
      <c r="K167" s="5" t="str">
        <f t="shared" si="10"/>
        <v>No</v>
      </c>
      <c r="L167" s="25">
        <f t="shared" si="11"/>
        <v>71.084033613445385</v>
      </c>
    </row>
    <row r="168" spans="1:12">
      <c r="A168" s="9" t="s">
        <v>344</v>
      </c>
      <c r="B168" s="8">
        <v>12</v>
      </c>
      <c r="C168" s="8" t="s">
        <v>35</v>
      </c>
      <c r="D168" s="8" t="s">
        <v>36</v>
      </c>
      <c r="E168" s="8" t="s">
        <v>345</v>
      </c>
      <c r="F168" s="8">
        <v>289</v>
      </c>
      <c r="G168" s="8">
        <v>107.87</v>
      </c>
      <c r="H168" s="10">
        <v>23.3</v>
      </c>
      <c r="I168" s="8">
        <f t="shared" si="8"/>
        <v>1</v>
      </c>
      <c r="J168" s="8" t="str">
        <f t="shared" si="9"/>
        <v>No</v>
      </c>
      <c r="K168" s="5" t="str">
        <f t="shared" si="10"/>
        <v>No</v>
      </c>
      <c r="L168" s="25">
        <f t="shared" si="11"/>
        <v>90.64705882352942</v>
      </c>
    </row>
    <row r="169" spans="1:12">
      <c r="A169" s="9" t="s">
        <v>346</v>
      </c>
      <c r="B169" s="8">
        <v>12</v>
      </c>
      <c r="C169" s="8" t="s">
        <v>39</v>
      </c>
      <c r="D169" s="8" t="s">
        <v>36</v>
      </c>
      <c r="E169" s="8" t="s">
        <v>347</v>
      </c>
      <c r="F169" s="8">
        <v>123</v>
      </c>
      <c r="G169" s="8">
        <v>54.32</v>
      </c>
      <c r="H169" s="10">
        <v>29.08</v>
      </c>
      <c r="I169" s="8">
        <f t="shared" si="8"/>
        <v>1</v>
      </c>
      <c r="J169" s="8" t="str">
        <f t="shared" si="9"/>
        <v>No</v>
      </c>
      <c r="K169" s="5" t="str">
        <f t="shared" si="10"/>
        <v>No</v>
      </c>
      <c r="L169" s="25">
        <f t="shared" si="11"/>
        <v>45.647058823529413</v>
      </c>
    </row>
    <row r="170" spans="1:12">
      <c r="A170" s="9" t="s">
        <v>348</v>
      </c>
      <c r="B170" s="8">
        <v>12</v>
      </c>
      <c r="C170" s="8" t="s">
        <v>35</v>
      </c>
      <c r="D170" s="8" t="s">
        <v>56</v>
      </c>
      <c r="E170" s="8" t="s">
        <v>349</v>
      </c>
      <c r="F170" s="8">
        <v>229</v>
      </c>
      <c r="G170" s="8">
        <v>88.99</v>
      </c>
      <c r="H170" s="10">
        <v>22.76</v>
      </c>
      <c r="I170" s="8">
        <f t="shared" si="8"/>
        <v>2</v>
      </c>
      <c r="J170" s="8" t="str">
        <f t="shared" si="9"/>
        <v>No</v>
      </c>
      <c r="K170" s="5" t="str">
        <f t="shared" si="10"/>
        <v>No</v>
      </c>
      <c r="L170" s="25">
        <f t="shared" si="11"/>
        <v>74.78151260504201</v>
      </c>
    </row>
    <row r="171" spans="1:12">
      <c r="A171" s="9" t="s">
        <v>348</v>
      </c>
      <c r="B171" s="8">
        <v>24</v>
      </c>
      <c r="C171" s="8" t="s">
        <v>35</v>
      </c>
      <c r="D171" s="8" t="s">
        <v>56</v>
      </c>
      <c r="E171" s="8" t="s">
        <v>174</v>
      </c>
      <c r="F171" s="8">
        <v>232</v>
      </c>
      <c r="G171" s="8">
        <v>87.06</v>
      </c>
      <c r="H171" s="10">
        <v>24.78</v>
      </c>
      <c r="I171" s="8">
        <f t="shared" si="8"/>
        <v>2</v>
      </c>
      <c r="J171" s="8" t="str">
        <f t="shared" si="9"/>
        <v>No</v>
      </c>
      <c r="K171" s="5" t="str">
        <f t="shared" si="10"/>
        <v>No</v>
      </c>
      <c r="L171" s="25">
        <f t="shared" si="11"/>
        <v>73.159663865546221</v>
      </c>
    </row>
    <row r="172" spans="1:12">
      <c r="A172" s="9" t="s">
        <v>350</v>
      </c>
      <c r="B172" s="8">
        <v>24</v>
      </c>
      <c r="C172" s="8" t="s">
        <v>35</v>
      </c>
      <c r="D172" s="8" t="s">
        <v>36</v>
      </c>
      <c r="E172" s="8" t="s">
        <v>351</v>
      </c>
      <c r="F172" s="8">
        <v>243</v>
      </c>
      <c r="G172" s="8">
        <v>91.49</v>
      </c>
      <c r="H172" s="10">
        <v>22.87</v>
      </c>
      <c r="I172" s="8">
        <f t="shared" si="8"/>
        <v>1</v>
      </c>
      <c r="J172" s="8" t="str">
        <f t="shared" si="9"/>
        <v>No</v>
      </c>
      <c r="K172" s="5" t="str">
        <f t="shared" si="10"/>
        <v>No</v>
      </c>
      <c r="L172" s="25">
        <f t="shared" si="11"/>
        <v>76.882352941176464</v>
      </c>
    </row>
    <row r="173" spans="1:12">
      <c r="A173" s="9" t="s">
        <v>352</v>
      </c>
      <c r="B173" s="8">
        <v>12</v>
      </c>
      <c r="C173" s="8" t="s">
        <v>51</v>
      </c>
      <c r="D173" s="8" t="s">
        <v>56</v>
      </c>
      <c r="E173" s="8" t="s">
        <v>59</v>
      </c>
      <c r="F173" s="8">
        <v>595</v>
      </c>
      <c r="G173" s="8">
        <v>208.29</v>
      </c>
      <c r="H173" s="10">
        <v>19.48</v>
      </c>
      <c r="I173" s="8">
        <f t="shared" si="8"/>
        <v>1</v>
      </c>
      <c r="J173" s="8" t="str">
        <f t="shared" si="9"/>
        <v>No</v>
      </c>
      <c r="K173" s="5" t="str">
        <f t="shared" si="10"/>
        <v>No</v>
      </c>
      <c r="L173" s="25">
        <f t="shared" si="11"/>
        <v>175.03361344537817</v>
      </c>
    </row>
    <row r="174" spans="1:12">
      <c r="A174" s="9" t="s">
        <v>353</v>
      </c>
      <c r="B174" s="8">
        <v>12</v>
      </c>
      <c r="C174" s="8" t="s">
        <v>35</v>
      </c>
      <c r="D174" s="8" t="s">
        <v>36</v>
      </c>
      <c r="E174" s="8" t="s">
        <v>354</v>
      </c>
      <c r="F174" s="8">
        <v>315</v>
      </c>
      <c r="G174" s="8">
        <v>116.37</v>
      </c>
      <c r="H174" s="10">
        <v>23.06</v>
      </c>
      <c r="I174" s="8">
        <f t="shared" si="8"/>
        <v>1</v>
      </c>
      <c r="J174" s="8" t="str">
        <f t="shared" si="9"/>
        <v>No</v>
      </c>
      <c r="K174" s="5" t="str">
        <f t="shared" si="10"/>
        <v>No</v>
      </c>
      <c r="L174" s="25">
        <f t="shared" si="11"/>
        <v>97.789915966386559</v>
      </c>
    </row>
    <row r="175" spans="1:12">
      <c r="A175" s="9" t="s">
        <v>355</v>
      </c>
      <c r="B175" s="8">
        <v>12</v>
      </c>
      <c r="C175" s="8" t="s">
        <v>39</v>
      </c>
      <c r="D175" s="8" t="s">
        <v>36</v>
      </c>
      <c r="E175" s="8" t="s">
        <v>347</v>
      </c>
      <c r="F175" s="8">
        <v>163</v>
      </c>
      <c r="G175" s="8">
        <v>70.37</v>
      </c>
      <c r="H175" s="10">
        <v>30.65</v>
      </c>
      <c r="I175" s="8">
        <f t="shared" si="8"/>
        <v>1</v>
      </c>
      <c r="J175" s="8" t="str">
        <f t="shared" si="9"/>
        <v>No</v>
      </c>
      <c r="K175" s="5" t="str">
        <f t="shared" si="10"/>
        <v>No</v>
      </c>
      <c r="L175" s="25">
        <f t="shared" si="11"/>
        <v>59.134453781512612</v>
      </c>
    </row>
    <row r="176" spans="1:12">
      <c r="A176" s="9" t="s">
        <v>356</v>
      </c>
      <c r="B176" s="8">
        <v>24</v>
      </c>
      <c r="C176" s="8" t="s">
        <v>39</v>
      </c>
      <c r="D176" s="8" t="s">
        <v>36</v>
      </c>
      <c r="E176" s="8" t="s">
        <v>357</v>
      </c>
      <c r="F176" s="8">
        <v>149</v>
      </c>
      <c r="G176" s="8">
        <v>65.05</v>
      </c>
      <c r="H176" s="10">
        <v>31.26</v>
      </c>
      <c r="I176" s="8">
        <f t="shared" si="8"/>
        <v>1</v>
      </c>
      <c r="J176" s="8" t="str">
        <f t="shared" si="9"/>
        <v>No</v>
      </c>
      <c r="K176" s="5" t="str">
        <f t="shared" si="10"/>
        <v>No</v>
      </c>
      <c r="L176" s="25">
        <f t="shared" si="11"/>
        <v>54.663865546218489</v>
      </c>
    </row>
    <row r="177" spans="1:12">
      <c r="A177" s="9" t="s">
        <v>358</v>
      </c>
      <c r="B177" s="8">
        <v>12</v>
      </c>
      <c r="C177" s="8" t="s">
        <v>39</v>
      </c>
      <c r="D177" s="8" t="s">
        <v>46</v>
      </c>
      <c r="E177" s="8" t="s">
        <v>359</v>
      </c>
      <c r="F177" s="8">
        <v>110</v>
      </c>
      <c r="G177" s="8">
        <v>52.03</v>
      </c>
      <c r="H177" s="10">
        <v>31.11</v>
      </c>
      <c r="I177" s="8">
        <f t="shared" si="8"/>
        <v>1</v>
      </c>
      <c r="J177" s="8" t="str">
        <f t="shared" si="9"/>
        <v>No</v>
      </c>
      <c r="K177" s="5" t="str">
        <f t="shared" si="10"/>
        <v>No</v>
      </c>
      <c r="L177" s="25">
        <f t="shared" si="11"/>
        <v>43.722689075630257</v>
      </c>
    </row>
    <row r="178" spans="1:12">
      <c r="A178" s="9" t="s">
        <v>360</v>
      </c>
      <c r="B178" s="8">
        <v>24</v>
      </c>
      <c r="C178" s="8" t="s">
        <v>35</v>
      </c>
      <c r="D178" s="8" t="s">
        <v>56</v>
      </c>
      <c r="E178" s="8" t="s">
        <v>361</v>
      </c>
      <c r="F178" s="8">
        <v>281</v>
      </c>
      <c r="G178" s="8">
        <v>106.31</v>
      </c>
      <c r="H178" s="10">
        <v>25.04</v>
      </c>
      <c r="I178" s="8">
        <f t="shared" si="8"/>
        <v>1</v>
      </c>
      <c r="J178" s="8" t="str">
        <f t="shared" si="9"/>
        <v>No</v>
      </c>
      <c r="K178" s="5" t="str">
        <f t="shared" si="10"/>
        <v>No</v>
      </c>
      <c r="L178" s="25">
        <f t="shared" si="11"/>
        <v>89.336134453781511</v>
      </c>
    </row>
    <row r="179" spans="1:12">
      <c r="A179" s="9" t="s">
        <v>362</v>
      </c>
      <c r="B179" s="8">
        <v>12</v>
      </c>
      <c r="C179" s="8" t="s">
        <v>39</v>
      </c>
      <c r="D179" s="8" t="s">
        <v>46</v>
      </c>
      <c r="E179" s="8" t="s">
        <v>363</v>
      </c>
      <c r="F179" s="8">
        <v>120</v>
      </c>
      <c r="G179" s="8">
        <v>53.89</v>
      </c>
      <c r="H179" s="10">
        <v>30.75</v>
      </c>
      <c r="I179" s="8">
        <f t="shared" si="8"/>
        <v>1</v>
      </c>
      <c r="J179" s="8" t="str">
        <f t="shared" si="9"/>
        <v>No</v>
      </c>
      <c r="K179" s="5" t="str">
        <f t="shared" si="10"/>
        <v>No</v>
      </c>
      <c r="L179" s="25">
        <f t="shared" si="11"/>
        <v>45.285714285714285</v>
      </c>
    </row>
    <row r="180" spans="1:12">
      <c r="A180" s="9" t="s">
        <v>364</v>
      </c>
      <c r="B180" s="8">
        <v>24</v>
      </c>
      <c r="C180" s="8" t="s">
        <v>35</v>
      </c>
      <c r="D180" s="8" t="s">
        <v>36</v>
      </c>
      <c r="E180" s="8" t="s">
        <v>365</v>
      </c>
      <c r="F180" s="8">
        <v>209</v>
      </c>
      <c r="G180" s="8">
        <v>79.209999999999994</v>
      </c>
      <c r="H180" s="10">
        <v>22.35</v>
      </c>
      <c r="I180" s="8">
        <f t="shared" si="8"/>
        <v>1</v>
      </c>
      <c r="J180" s="8" t="str">
        <f t="shared" si="9"/>
        <v>No</v>
      </c>
      <c r="K180" s="5" t="str">
        <f t="shared" si="10"/>
        <v>No</v>
      </c>
      <c r="L180" s="25">
        <f t="shared" si="11"/>
        <v>66.563025210084035</v>
      </c>
    </row>
    <row r="181" spans="1:12">
      <c r="A181" s="9" t="s">
        <v>366</v>
      </c>
      <c r="B181" s="8">
        <v>12</v>
      </c>
      <c r="C181" s="8" t="s">
        <v>35</v>
      </c>
      <c r="D181" s="8" t="s">
        <v>46</v>
      </c>
      <c r="E181" s="8" t="s">
        <v>367</v>
      </c>
      <c r="F181" s="8">
        <v>307</v>
      </c>
      <c r="G181" s="8">
        <v>109.75</v>
      </c>
      <c r="H181" s="10">
        <v>24.8</v>
      </c>
      <c r="I181" s="8">
        <f t="shared" si="8"/>
        <v>1</v>
      </c>
      <c r="J181" s="8" t="str">
        <f t="shared" si="9"/>
        <v>No</v>
      </c>
      <c r="K181" s="5" t="str">
        <f t="shared" si="10"/>
        <v>No</v>
      </c>
      <c r="L181" s="25">
        <f t="shared" si="11"/>
        <v>92.226890756302524</v>
      </c>
    </row>
    <row r="182" spans="1:12">
      <c r="A182" s="9" t="s">
        <v>368</v>
      </c>
      <c r="B182" s="8">
        <v>12</v>
      </c>
      <c r="C182" s="8" t="s">
        <v>39</v>
      </c>
      <c r="D182" s="8" t="s">
        <v>36</v>
      </c>
      <c r="E182" s="8" t="s">
        <v>369</v>
      </c>
      <c r="F182" s="8">
        <v>86</v>
      </c>
      <c r="G182" s="8">
        <v>44.14</v>
      </c>
      <c r="H182" s="10">
        <v>29.47</v>
      </c>
      <c r="I182" s="8">
        <f t="shared" si="8"/>
        <v>1</v>
      </c>
      <c r="J182" s="8" t="str">
        <f t="shared" si="9"/>
        <v>No</v>
      </c>
      <c r="K182" s="5" t="str">
        <f t="shared" si="10"/>
        <v>No</v>
      </c>
      <c r="L182" s="25">
        <f t="shared" si="11"/>
        <v>37.092436974789919</v>
      </c>
    </row>
    <row r="183" spans="1:12">
      <c r="A183" s="9" t="s">
        <v>370</v>
      </c>
      <c r="B183" s="8">
        <v>12</v>
      </c>
      <c r="C183" s="8" t="s">
        <v>51</v>
      </c>
      <c r="D183" s="8" t="s">
        <v>56</v>
      </c>
      <c r="E183" s="8" t="s">
        <v>371</v>
      </c>
      <c r="F183" s="8">
        <v>634</v>
      </c>
      <c r="G183" s="8">
        <v>210.82</v>
      </c>
      <c r="H183" s="10">
        <v>18.66</v>
      </c>
      <c r="I183" s="8">
        <f t="shared" si="8"/>
        <v>1</v>
      </c>
      <c r="J183" s="8" t="str">
        <f t="shared" si="9"/>
        <v>No</v>
      </c>
      <c r="K183" s="5" t="str">
        <f t="shared" si="10"/>
        <v>No</v>
      </c>
      <c r="L183" s="25">
        <f t="shared" si="11"/>
        <v>177.15966386554621</v>
      </c>
    </row>
    <row r="184" spans="1:12">
      <c r="A184" s="9" t="s">
        <v>372</v>
      </c>
      <c r="B184" s="8">
        <v>24</v>
      </c>
      <c r="C184" s="8" t="s">
        <v>39</v>
      </c>
      <c r="D184" s="8" t="s">
        <v>36</v>
      </c>
      <c r="E184" s="8" t="s">
        <v>369</v>
      </c>
      <c r="F184" s="8">
        <v>122</v>
      </c>
      <c r="G184" s="8">
        <v>56.23</v>
      </c>
      <c r="H184" s="10">
        <v>28.12</v>
      </c>
      <c r="I184" s="8">
        <f t="shared" si="8"/>
        <v>1</v>
      </c>
      <c r="J184" s="8" t="str">
        <f t="shared" si="9"/>
        <v>No</v>
      </c>
      <c r="K184" s="5" t="str">
        <f t="shared" si="10"/>
        <v>No</v>
      </c>
      <c r="L184" s="25">
        <f t="shared" si="11"/>
        <v>47.252100840336134</v>
      </c>
    </row>
    <row r="185" spans="1:12">
      <c r="A185" s="9" t="s">
        <v>373</v>
      </c>
      <c r="B185" s="8">
        <v>24</v>
      </c>
      <c r="C185" s="8" t="s">
        <v>39</v>
      </c>
      <c r="D185" s="8" t="s">
        <v>36</v>
      </c>
      <c r="E185" s="8" t="s">
        <v>374</v>
      </c>
      <c r="F185" s="8">
        <v>136</v>
      </c>
      <c r="G185" s="8">
        <v>60.54</v>
      </c>
      <c r="H185" s="10">
        <v>29.04</v>
      </c>
      <c r="I185" s="8">
        <f t="shared" si="8"/>
        <v>1</v>
      </c>
      <c r="J185" s="8" t="str">
        <f t="shared" si="9"/>
        <v>No</v>
      </c>
      <c r="K185" s="5" t="str">
        <f t="shared" si="10"/>
        <v>No</v>
      </c>
      <c r="L185" s="25">
        <f t="shared" si="11"/>
        <v>50.873949579831937</v>
      </c>
    </row>
    <row r="186" spans="1:12">
      <c r="A186" s="9" t="s">
        <v>375</v>
      </c>
      <c r="B186" s="8">
        <v>12</v>
      </c>
      <c r="C186" s="8" t="s">
        <v>35</v>
      </c>
      <c r="D186" s="8" t="s">
        <v>46</v>
      </c>
      <c r="E186" s="8" t="s">
        <v>376</v>
      </c>
      <c r="F186" s="8">
        <v>276</v>
      </c>
      <c r="G186" s="8">
        <v>100.65</v>
      </c>
      <c r="H186" s="10">
        <v>22.13</v>
      </c>
      <c r="I186" s="8">
        <f t="shared" si="8"/>
        <v>1</v>
      </c>
      <c r="J186" s="8" t="str">
        <f t="shared" si="9"/>
        <v>No</v>
      </c>
      <c r="K186" s="5" t="str">
        <f t="shared" si="10"/>
        <v>No</v>
      </c>
      <c r="L186" s="25">
        <f t="shared" si="11"/>
        <v>84.579831932773118</v>
      </c>
    </row>
    <row r="187" spans="1:12">
      <c r="A187" s="9" t="s">
        <v>377</v>
      </c>
      <c r="B187" s="8">
        <v>24</v>
      </c>
      <c r="C187" s="8" t="s">
        <v>35</v>
      </c>
      <c r="D187" s="8" t="s">
        <v>46</v>
      </c>
      <c r="E187" s="8" t="s">
        <v>378</v>
      </c>
      <c r="F187" s="8">
        <v>316</v>
      </c>
      <c r="G187" s="8">
        <v>118.78</v>
      </c>
      <c r="H187" s="10">
        <v>25.52</v>
      </c>
      <c r="I187" s="8">
        <f t="shared" si="8"/>
        <v>1</v>
      </c>
      <c r="J187" s="8" t="str">
        <f t="shared" si="9"/>
        <v>No</v>
      </c>
      <c r="K187" s="5" t="str">
        <f t="shared" si="10"/>
        <v>No</v>
      </c>
      <c r="L187" s="25">
        <f t="shared" si="11"/>
        <v>99.815126050420176</v>
      </c>
    </row>
    <row r="188" spans="1:12">
      <c r="A188" s="9" t="s">
        <v>379</v>
      </c>
      <c r="B188" s="8">
        <v>24</v>
      </c>
      <c r="C188" s="8" t="s">
        <v>35</v>
      </c>
      <c r="D188" s="8" t="s">
        <v>36</v>
      </c>
      <c r="E188" s="8" t="s">
        <v>102</v>
      </c>
      <c r="F188" s="8">
        <v>273</v>
      </c>
      <c r="G188" s="8">
        <v>101.83</v>
      </c>
      <c r="H188" s="10">
        <v>22.97</v>
      </c>
      <c r="I188" s="8">
        <f t="shared" si="8"/>
        <v>1</v>
      </c>
      <c r="J188" s="8" t="str">
        <f t="shared" si="9"/>
        <v>No</v>
      </c>
      <c r="K188" s="5" t="str">
        <f t="shared" si="10"/>
        <v>No</v>
      </c>
      <c r="L188" s="25">
        <f t="shared" si="11"/>
        <v>85.571428571428569</v>
      </c>
    </row>
    <row r="189" spans="1:12">
      <c r="A189" s="9" t="s">
        <v>380</v>
      </c>
      <c r="B189" s="8">
        <v>24</v>
      </c>
      <c r="C189" s="8" t="s">
        <v>35</v>
      </c>
      <c r="D189" s="8" t="s">
        <v>46</v>
      </c>
      <c r="E189" s="8" t="s">
        <v>381</v>
      </c>
      <c r="F189" s="8">
        <v>269</v>
      </c>
      <c r="G189" s="8">
        <v>104.34</v>
      </c>
      <c r="H189" s="10">
        <v>24.23</v>
      </c>
      <c r="I189" s="8">
        <f t="shared" si="8"/>
        <v>1</v>
      </c>
      <c r="J189" s="8" t="str">
        <f t="shared" si="9"/>
        <v>No</v>
      </c>
      <c r="K189" s="5" t="str">
        <f t="shared" si="10"/>
        <v>No</v>
      </c>
      <c r="L189" s="25">
        <f t="shared" si="11"/>
        <v>87.680672268907571</v>
      </c>
    </row>
    <row r="190" spans="1:12">
      <c r="A190" s="9" t="s">
        <v>382</v>
      </c>
      <c r="B190" s="8">
        <v>12</v>
      </c>
      <c r="C190" s="8" t="s">
        <v>39</v>
      </c>
      <c r="D190" s="8" t="s">
        <v>36</v>
      </c>
      <c r="E190" s="8" t="s">
        <v>383</v>
      </c>
      <c r="F190" s="8">
        <v>89</v>
      </c>
      <c r="G190" s="8">
        <v>44.72</v>
      </c>
      <c r="H190" s="10">
        <v>28.16</v>
      </c>
      <c r="I190" s="8">
        <f t="shared" si="8"/>
        <v>1</v>
      </c>
      <c r="J190" s="8" t="str">
        <f t="shared" si="9"/>
        <v>No</v>
      </c>
      <c r="K190" s="5" t="str">
        <f t="shared" si="10"/>
        <v>No</v>
      </c>
      <c r="L190" s="25">
        <f t="shared" si="11"/>
        <v>37.579831932773111</v>
      </c>
    </row>
    <row r="191" spans="1:12">
      <c r="A191" s="9" t="s">
        <v>384</v>
      </c>
      <c r="B191" s="8">
        <v>12</v>
      </c>
      <c r="C191" s="8" t="s">
        <v>51</v>
      </c>
      <c r="D191" s="8" t="s">
        <v>46</v>
      </c>
      <c r="E191" s="8" t="s">
        <v>385</v>
      </c>
      <c r="F191" s="8">
        <v>506</v>
      </c>
      <c r="G191" s="8">
        <v>173.39</v>
      </c>
      <c r="H191" s="10">
        <v>19.829999999999998</v>
      </c>
      <c r="I191" s="8">
        <f t="shared" si="8"/>
        <v>1</v>
      </c>
      <c r="J191" s="8" t="str">
        <f t="shared" si="9"/>
        <v>No</v>
      </c>
      <c r="K191" s="5" t="str">
        <f t="shared" si="10"/>
        <v>No</v>
      </c>
      <c r="L191" s="25">
        <f t="shared" si="11"/>
        <v>145.70588235294116</v>
      </c>
    </row>
    <row r="192" spans="1:12">
      <c r="A192" s="9" t="s">
        <v>386</v>
      </c>
      <c r="B192" s="8">
        <v>12</v>
      </c>
      <c r="C192" s="8" t="s">
        <v>51</v>
      </c>
      <c r="D192" s="8" t="s">
        <v>56</v>
      </c>
      <c r="E192" s="8" t="s">
        <v>387</v>
      </c>
      <c r="F192" s="8">
        <v>383</v>
      </c>
      <c r="G192" s="8">
        <v>136.19</v>
      </c>
      <c r="H192" s="10">
        <v>18.12</v>
      </c>
      <c r="I192" s="8">
        <f t="shared" si="8"/>
        <v>1</v>
      </c>
      <c r="J192" s="8" t="str">
        <f t="shared" si="9"/>
        <v>No</v>
      </c>
      <c r="K192" s="5" t="str">
        <f t="shared" si="10"/>
        <v>No</v>
      </c>
      <c r="L192" s="25">
        <f t="shared" si="11"/>
        <v>114.44537815126051</v>
      </c>
    </row>
    <row r="193" spans="1:12">
      <c r="A193" s="9" t="s">
        <v>388</v>
      </c>
      <c r="B193" s="8">
        <v>24</v>
      </c>
      <c r="C193" s="8" t="s">
        <v>35</v>
      </c>
      <c r="D193" s="8" t="s">
        <v>56</v>
      </c>
      <c r="E193" s="8" t="s">
        <v>389</v>
      </c>
      <c r="F193" s="8">
        <v>289</v>
      </c>
      <c r="G193" s="8">
        <v>114.25</v>
      </c>
      <c r="H193" s="10">
        <v>25.59</v>
      </c>
      <c r="I193" s="8">
        <f t="shared" si="8"/>
        <v>1</v>
      </c>
      <c r="J193" s="8" t="str">
        <f t="shared" si="9"/>
        <v>No</v>
      </c>
      <c r="K193" s="5" t="str">
        <f t="shared" si="10"/>
        <v>No</v>
      </c>
      <c r="L193" s="25">
        <f t="shared" si="11"/>
        <v>96.008403361344548</v>
      </c>
    </row>
    <row r="194" spans="1:12">
      <c r="A194" s="9" t="s">
        <v>390</v>
      </c>
      <c r="B194" s="8">
        <v>24</v>
      </c>
      <c r="C194" s="8" t="s">
        <v>39</v>
      </c>
      <c r="D194" s="8" t="s">
        <v>46</v>
      </c>
      <c r="E194" s="8" t="s">
        <v>391</v>
      </c>
      <c r="F194" s="8">
        <v>126</v>
      </c>
      <c r="G194" s="8">
        <v>55.38</v>
      </c>
      <c r="H194" s="10">
        <v>31.55</v>
      </c>
      <c r="I194" s="8">
        <f t="shared" ref="I194:I257" si="12">COUNTIF($A:$A,A194)</f>
        <v>1</v>
      </c>
      <c r="J194" s="8" t="str">
        <f t="shared" ref="J194:J257" si="13">IF(F194=0,"Yes","No")</f>
        <v>No</v>
      </c>
      <c r="K194" s="5" t="str">
        <f t="shared" ref="K194:K257" si="14">IF(F194&lt;0,"Yes","No")</f>
        <v>No</v>
      </c>
      <c r="L194" s="25">
        <f t="shared" ref="L194:L257" si="15">G194/1.19</f>
        <v>46.537815126050425</v>
      </c>
    </row>
    <row r="195" spans="1:12">
      <c r="A195" s="9" t="s">
        <v>392</v>
      </c>
      <c r="B195" s="8">
        <v>24</v>
      </c>
      <c r="C195" s="8" t="s">
        <v>35</v>
      </c>
      <c r="D195" s="8" t="s">
        <v>36</v>
      </c>
      <c r="E195" s="8" t="s">
        <v>393</v>
      </c>
      <c r="F195" s="8">
        <v>280</v>
      </c>
      <c r="G195" s="8">
        <v>109.83</v>
      </c>
      <c r="H195" s="10">
        <v>23.3</v>
      </c>
      <c r="I195" s="8">
        <f t="shared" si="12"/>
        <v>1</v>
      </c>
      <c r="J195" s="8" t="str">
        <f t="shared" si="13"/>
        <v>No</v>
      </c>
      <c r="K195" s="5" t="str">
        <f t="shared" si="14"/>
        <v>No</v>
      </c>
      <c r="L195" s="25">
        <f t="shared" si="15"/>
        <v>92.294117647058826</v>
      </c>
    </row>
    <row r="196" spans="1:12">
      <c r="A196" s="9" t="s">
        <v>394</v>
      </c>
      <c r="B196" s="8">
        <v>12</v>
      </c>
      <c r="C196" s="8" t="s">
        <v>35</v>
      </c>
      <c r="D196" s="8" t="s">
        <v>36</v>
      </c>
      <c r="E196" s="8" t="s">
        <v>395</v>
      </c>
      <c r="F196" s="8">
        <v>174</v>
      </c>
      <c r="G196" s="8">
        <v>68.53</v>
      </c>
      <c r="H196" s="10">
        <v>25.6</v>
      </c>
      <c r="I196" s="8">
        <f t="shared" si="12"/>
        <v>1</v>
      </c>
      <c r="J196" s="8" t="str">
        <f t="shared" si="13"/>
        <v>No</v>
      </c>
      <c r="K196" s="5" t="str">
        <f t="shared" si="14"/>
        <v>No</v>
      </c>
      <c r="L196" s="25">
        <f t="shared" si="15"/>
        <v>57.588235294117652</v>
      </c>
    </row>
    <row r="197" spans="1:12">
      <c r="A197" s="9" t="s">
        <v>396</v>
      </c>
      <c r="B197" s="8">
        <v>12</v>
      </c>
      <c r="C197" s="8" t="s">
        <v>39</v>
      </c>
      <c r="D197" s="8" t="s">
        <v>46</v>
      </c>
      <c r="E197" s="8" t="s">
        <v>397</v>
      </c>
      <c r="F197" s="8">
        <v>90</v>
      </c>
      <c r="G197" s="8">
        <v>44.41</v>
      </c>
      <c r="H197" s="10">
        <v>31.98</v>
      </c>
      <c r="I197" s="8">
        <f t="shared" si="12"/>
        <v>1</v>
      </c>
      <c r="J197" s="8" t="str">
        <f t="shared" si="13"/>
        <v>No</v>
      </c>
      <c r="K197" s="5" t="str">
        <f t="shared" si="14"/>
        <v>No</v>
      </c>
      <c r="L197" s="25">
        <f t="shared" si="15"/>
        <v>37.319327731092436</v>
      </c>
    </row>
    <row r="198" spans="1:12">
      <c r="A198" s="9" t="s">
        <v>398</v>
      </c>
      <c r="B198" s="8">
        <v>24</v>
      </c>
      <c r="C198" s="8" t="s">
        <v>51</v>
      </c>
      <c r="D198" s="8" t="s">
        <v>36</v>
      </c>
      <c r="E198" s="8" t="s">
        <v>399</v>
      </c>
      <c r="F198" s="8">
        <v>572</v>
      </c>
      <c r="G198" s="8">
        <v>180.9</v>
      </c>
      <c r="H198" s="10">
        <v>20.63</v>
      </c>
      <c r="I198" s="8">
        <f t="shared" si="12"/>
        <v>1</v>
      </c>
      <c r="J198" s="8" t="str">
        <f t="shared" si="13"/>
        <v>No</v>
      </c>
      <c r="K198" s="5" t="str">
        <f t="shared" si="14"/>
        <v>No</v>
      </c>
      <c r="L198" s="25">
        <f t="shared" si="15"/>
        <v>152.0168067226891</v>
      </c>
    </row>
    <row r="199" spans="1:12">
      <c r="A199" s="9" t="s">
        <v>400</v>
      </c>
      <c r="B199" s="8">
        <v>24</v>
      </c>
      <c r="C199" s="8" t="s">
        <v>39</v>
      </c>
      <c r="D199" s="8" t="s">
        <v>36</v>
      </c>
      <c r="E199" s="8" t="s">
        <v>401</v>
      </c>
      <c r="F199" s="8">
        <v>89</v>
      </c>
      <c r="G199" s="8">
        <v>41.67</v>
      </c>
      <c r="H199" s="10">
        <v>31.38</v>
      </c>
      <c r="I199" s="8">
        <f t="shared" si="12"/>
        <v>1</v>
      </c>
      <c r="J199" s="8" t="str">
        <f t="shared" si="13"/>
        <v>No</v>
      </c>
      <c r="K199" s="5" t="str">
        <f t="shared" si="14"/>
        <v>No</v>
      </c>
      <c r="L199" s="25">
        <f t="shared" si="15"/>
        <v>35.016806722689076</v>
      </c>
    </row>
    <row r="200" spans="1:12">
      <c r="A200" s="9" t="s">
        <v>402</v>
      </c>
      <c r="B200" s="8">
        <v>24</v>
      </c>
      <c r="C200" s="8" t="s">
        <v>51</v>
      </c>
      <c r="D200" s="8" t="s">
        <v>36</v>
      </c>
      <c r="E200" s="8" t="s">
        <v>403</v>
      </c>
      <c r="F200" s="8">
        <v>357</v>
      </c>
      <c r="G200" s="8">
        <v>125.19</v>
      </c>
      <c r="H200" s="10">
        <v>17.75</v>
      </c>
      <c r="I200" s="8">
        <f t="shared" si="12"/>
        <v>1</v>
      </c>
      <c r="J200" s="8" t="str">
        <f t="shared" si="13"/>
        <v>No</v>
      </c>
      <c r="K200" s="5" t="str">
        <f t="shared" si="14"/>
        <v>No</v>
      </c>
      <c r="L200" s="25">
        <f t="shared" si="15"/>
        <v>105.20168067226891</v>
      </c>
    </row>
    <row r="201" spans="1:12">
      <c r="A201" s="9" t="s">
        <v>404</v>
      </c>
      <c r="B201" s="8">
        <v>24</v>
      </c>
      <c r="C201" s="8" t="s">
        <v>35</v>
      </c>
      <c r="D201" s="8" t="s">
        <v>36</v>
      </c>
      <c r="E201" s="8" t="s">
        <v>124</v>
      </c>
      <c r="F201" s="8">
        <v>169</v>
      </c>
      <c r="G201" s="8">
        <v>70.38</v>
      </c>
      <c r="H201" s="10">
        <v>24.31</v>
      </c>
      <c r="I201" s="8">
        <f t="shared" si="12"/>
        <v>1</v>
      </c>
      <c r="J201" s="8" t="str">
        <f t="shared" si="13"/>
        <v>No</v>
      </c>
      <c r="K201" s="5" t="str">
        <f t="shared" si="14"/>
        <v>No</v>
      </c>
      <c r="L201" s="25">
        <f t="shared" si="15"/>
        <v>59.142857142857139</v>
      </c>
    </row>
    <row r="202" spans="1:12">
      <c r="A202" s="9" t="s">
        <v>405</v>
      </c>
      <c r="B202" s="8">
        <v>24</v>
      </c>
      <c r="C202" s="8" t="s">
        <v>39</v>
      </c>
      <c r="D202" s="8" t="s">
        <v>46</v>
      </c>
      <c r="E202" s="8" t="s">
        <v>376</v>
      </c>
      <c r="F202" s="8">
        <v>163</v>
      </c>
      <c r="G202" s="8">
        <v>70.760000000000005</v>
      </c>
      <c r="H202" s="10">
        <v>28.27</v>
      </c>
      <c r="I202" s="8">
        <f t="shared" si="12"/>
        <v>1</v>
      </c>
      <c r="J202" s="8" t="str">
        <f t="shared" si="13"/>
        <v>No</v>
      </c>
      <c r="K202" s="5" t="str">
        <f t="shared" si="14"/>
        <v>No</v>
      </c>
      <c r="L202" s="25">
        <f t="shared" si="15"/>
        <v>59.462184873949589</v>
      </c>
    </row>
    <row r="203" spans="1:12">
      <c r="A203" s="9" t="s">
        <v>406</v>
      </c>
      <c r="B203" s="8">
        <v>12</v>
      </c>
      <c r="C203" s="8" t="s">
        <v>35</v>
      </c>
      <c r="D203" s="8" t="s">
        <v>36</v>
      </c>
      <c r="E203" s="8" t="s">
        <v>79</v>
      </c>
      <c r="F203" s="8">
        <v>289</v>
      </c>
      <c r="G203" s="8">
        <v>105.06</v>
      </c>
      <c r="H203" s="10">
        <v>22.38</v>
      </c>
      <c r="I203" s="8">
        <f t="shared" si="12"/>
        <v>1</v>
      </c>
      <c r="J203" s="8" t="str">
        <f t="shared" si="13"/>
        <v>No</v>
      </c>
      <c r="K203" s="5" t="str">
        <f t="shared" si="14"/>
        <v>No</v>
      </c>
      <c r="L203" s="25">
        <f t="shared" si="15"/>
        <v>88.285714285714292</v>
      </c>
    </row>
    <row r="204" spans="1:12">
      <c r="A204" s="9" t="s">
        <v>407</v>
      </c>
      <c r="B204" s="8">
        <v>12</v>
      </c>
      <c r="C204" s="8" t="s">
        <v>51</v>
      </c>
      <c r="D204" s="8" t="s">
        <v>46</v>
      </c>
      <c r="E204" s="8" t="s">
        <v>408</v>
      </c>
      <c r="F204" s="8">
        <v>451</v>
      </c>
      <c r="G204" s="8">
        <v>147.12</v>
      </c>
      <c r="H204" s="10">
        <v>21.49</v>
      </c>
      <c r="I204" s="8">
        <f t="shared" si="12"/>
        <v>1</v>
      </c>
      <c r="J204" s="8" t="str">
        <f t="shared" si="13"/>
        <v>No</v>
      </c>
      <c r="K204" s="5" t="str">
        <f t="shared" si="14"/>
        <v>No</v>
      </c>
      <c r="L204" s="25">
        <f t="shared" si="15"/>
        <v>123.63025210084035</v>
      </c>
    </row>
    <row r="205" spans="1:12">
      <c r="A205" s="9" t="s">
        <v>409</v>
      </c>
      <c r="B205" s="8">
        <v>24</v>
      </c>
      <c r="C205" s="8" t="s">
        <v>35</v>
      </c>
      <c r="D205" s="8" t="s">
        <v>36</v>
      </c>
      <c r="E205" s="8" t="s">
        <v>57</v>
      </c>
      <c r="F205" s="8">
        <v>216</v>
      </c>
      <c r="G205" s="8">
        <v>88.04</v>
      </c>
      <c r="H205" s="10">
        <v>23.31</v>
      </c>
      <c r="I205" s="8">
        <f t="shared" si="12"/>
        <v>1</v>
      </c>
      <c r="J205" s="8" t="str">
        <f t="shared" si="13"/>
        <v>No</v>
      </c>
      <c r="K205" s="5" t="str">
        <f t="shared" si="14"/>
        <v>No</v>
      </c>
      <c r="L205" s="25">
        <f t="shared" si="15"/>
        <v>73.983193277310932</v>
      </c>
    </row>
    <row r="206" spans="1:12">
      <c r="A206" s="9" t="s">
        <v>410</v>
      </c>
      <c r="B206" s="8">
        <v>24</v>
      </c>
      <c r="C206" s="8" t="s">
        <v>51</v>
      </c>
      <c r="D206" s="8" t="s">
        <v>36</v>
      </c>
      <c r="E206" s="8" t="s">
        <v>411</v>
      </c>
      <c r="F206" s="8">
        <v>450</v>
      </c>
      <c r="G206" s="8">
        <v>149.19</v>
      </c>
      <c r="H206" s="10">
        <v>20.239999999999998</v>
      </c>
      <c r="I206" s="8">
        <f t="shared" si="12"/>
        <v>1</v>
      </c>
      <c r="J206" s="8" t="str">
        <f t="shared" si="13"/>
        <v>No</v>
      </c>
      <c r="K206" s="5" t="str">
        <f t="shared" si="14"/>
        <v>No</v>
      </c>
      <c r="L206" s="25">
        <f t="shared" si="15"/>
        <v>125.36974789915966</v>
      </c>
    </row>
    <row r="207" spans="1:12">
      <c r="A207" s="9" t="s">
        <v>412</v>
      </c>
      <c r="B207" s="8">
        <v>12</v>
      </c>
      <c r="C207" s="8" t="s">
        <v>35</v>
      </c>
      <c r="D207" s="8" t="s">
        <v>36</v>
      </c>
      <c r="E207" s="8" t="s">
        <v>361</v>
      </c>
      <c r="F207" s="8">
        <v>296</v>
      </c>
      <c r="G207" s="8">
        <v>108.22</v>
      </c>
      <c r="H207" s="10">
        <v>25.23</v>
      </c>
      <c r="I207" s="8">
        <f t="shared" si="12"/>
        <v>1</v>
      </c>
      <c r="J207" s="8" t="str">
        <f t="shared" si="13"/>
        <v>No</v>
      </c>
      <c r="K207" s="5" t="str">
        <f t="shared" si="14"/>
        <v>No</v>
      </c>
      <c r="L207" s="25">
        <f t="shared" si="15"/>
        <v>90.941176470588232</v>
      </c>
    </row>
    <row r="208" spans="1:12">
      <c r="A208" s="9" t="s">
        <v>413</v>
      </c>
      <c r="B208" s="8">
        <v>12</v>
      </c>
      <c r="C208" s="8" t="s">
        <v>35</v>
      </c>
      <c r="D208" s="8" t="s">
        <v>36</v>
      </c>
      <c r="E208" s="8" t="s">
        <v>414</v>
      </c>
      <c r="F208" s="8">
        <v>277</v>
      </c>
      <c r="G208" s="8">
        <v>106.31</v>
      </c>
      <c r="H208" s="10">
        <v>25.43</v>
      </c>
      <c r="I208" s="8">
        <f t="shared" si="12"/>
        <v>1</v>
      </c>
      <c r="J208" s="8" t="str">
        <f t="shared" si="13"/>
        <v>No</v>
      </c>
      <c r="K208" s="5" t="str">
        <f t="shared" si="14"/>
        <v>No</v>
      </c>
      <c r="L208" s="25">
        <f t="shared" si="15"/>
        <v>89.336134453781511</v>
      </c>
    </row>
    <row r="209" spans="1:12">
      <c r="A209" s="9" t="s">
        <v>415</v>
      </c>
      <c r="B209" s="8">
        <v>24</v>
      </c>
      <c r="C209" s="8" t="s">
        <v>51</v>
      </c>
      <c r="D209" s="8" t="s">
        <v>36</v>
      </c>
      <c r="E209" s="8" t="s">
        <v>416</v>
      </c>
      <c r="F209" s="8">
        <v>395</v>
      </c>
      <c r="G209" s="8">
        <v>138.65</v>
      </c>
      <c r="H209" s="10">
        <v>21.49</v>
      </c>
      <c r="I209" s="8">
        <f t="shared" si="12"/>
        <v>1</v>
      </c>
      <c r="J209" s="8" t="str">
        <f t="shared" si="13"/>
        <v>No</v>
      </c>
      <c r="K209" s="5" t="str">
        <f t="shared" si="14"/>
        <v>No</v>
      </c>
      <c r="L209" s="25">
        <f t="shared" si="15"/>
        <v>116.51260504201682</v>
      </c>
    </row>
    <row r="210" spans="1:12">
      <c r="A210" s="9" t="s">
        <v>417</v>
      </c>
      <c r="B210" s="8">
        <v>12</v>
      </c>
      <c r="C210" s="8" t="s">
        <v>39</v>
      </c>
      <c r="D210" s="8" t="s">
        <v>46</v>
      </c>
      <c r="E210" s="8" t="s">
        <v>418</v>
      </c>
      <c r="F210" s="8">
        <v>98</v>
      </c>
      <c r="G210" s="8">
        <v>43.21</v>
      </c>
      <c r="H210" s="10">
        <v>28.97</v>
      </c>
      <c r="I210" s="8">
        <f t="shared" si="12"/>
        <v>1</v>
      </c>
      <c r="J210" s="8" t="str">
        <f t="shared" si="13"/>
        <v>No</v>
      </c>
      <c r="K210" s="5" t="str">
        <f t="shared" si="14"/>
        <v>No</v>
      </c>
      <c r="L210" s="25">
        <f t="shared" si="15"/>
        <v>36.310924369747902</v>
      </c>
    </row>
    <row r="211" spans="1:12">
      <c r="A211" s="9" t="s">
        <v>419</v>
      </c>
      <c r="B211" s="8">
        <v>12</v>
      </c>
      <c r="C211" s="8" t="s">
        <v>35</v>
      </c>
      <c r="D211" s="8" t="s">
        <v>36</v>
      </c>
      <c r="E211" s="8" t="s">
        <v>420</v>
      </c>
      <c r="F211" s="8">
        <v>183</v>
      </c>
      <c r="G211" s="8">
        <v>69.739999999999995</v>
      </c>
      <c r="H211" s="10">
        <v>22.16</v>
      </c>
      <c r="I211" s="8">
        <f t="shared" si="12"/>
        <v>1</v>
      </c>
      <c r="J211" s="8" t="str">
        <f t="shared" si="13"/>
        <v>No</v>
      </c>
      <c r="K211" s="5" t="str">
        <f t="shared" si="14"/>
        <v>No</v>
      </c>
      <c r="L211" s="25">
        <f t="shared" si="15"/>
        <v>58.605042016806721</v>
      </c>
    </row>
    <row r="212" spans="1:12">
      <c r="A212" s="9" t="s">
        <v>421</v>
      </c>
      <c r="B212" s="8">
        <v>12</v>
      </c>
      <c r="C212" s="8" t="s">
        <v>39</v>
      </c>
      <c r="D212" s="8" t="s">
        <v>56</v>
      </c>
      <c r="E212" s="8" t="s">
        <v>393</v>
      </c>
      <c r="F212" s="8">
        <v>138</v>
      </c>
      <c r="G212" s="8">
        <v>56.98</v>
      </c>
      <c r="H212" s="10">
        <v>29.64</v>
      </c>
      <c r="I212" s="8">
        <f t="shared" si="12"/>
        <v>1</v>
      </c>
      <c r="J212" s="8" t="str">
        <f t="shared" si="13"/>
        <v>No</v>
      </c>
      <c r="K212" s="5" t="str">
        <f t="shared" si="14"/>
        <v>No</v>
      </c>
      <c r="L212" s="25">
        <f t="shared" si="15"/>
        <v>47.882352941176471</v>
      </c>
    </row>
    <row r="213" spans="1:12">
      <c r="A213" s="9" t="s">
        <v>422</v>
      </c>
      <c r="B213" s="8">
        <v>24</v>
      </c>
      <c r="C213" s="8" t="s">
        <v>51</v>
      </c>
      <c r="D213" s="8" t="s">
        <v>36</v>
      </c>
      <c r="E213" s="8" t="s">
        <v>423</v>
      </c>
      <c r="F213" s="8">
        <v>588</v>
      </c>
      <c r="G213" s="8">
        <v>200.23</v>
      </c>
      <c r="H213" s="10">
        <v>17.149999999999999</v>
      </c>
      <c r="I213" s="8">
        <f t="shared" si="12"/>
        <v>1</v>
      </c>
      <c r="J213" s="8" t="str">
        <f t="shared" si="13"/>
        <v>No</v>
      </c>
      <c r="K213" s="5" t="str">
        <f t="shared" si="14"/>
        <v>No</v>
      </c>
      <c r="L213" s="25">
        <f t="shared" si="15"/>
        <v>168.26050420168067</v>
      </c>
    </row>
    <row r="214" spans="1:12">
      <c r="A214" s="9" t="s">
        <v>424</v>
      </c>
      <c r="B214" s="8">
        <v>24</v>
      </c>
      <c r="C214" s="8" t="s">
        <v>51</v>
      </c>
      <c r="D214" s="8" t="s">
        <v>36</v>
      </c>
      <c r="E214" s="8" t="s">
        <v>425</v>
      </c>
      <c r="F214" s="8">
        <v>422</v>
      </c>
      <c r="G214" s="8">
        <v>145.63999999999999</v>
      </c>
      <c r="H214" s="10">
        <v>16.61</v>
      </c>
      <c r="I214" s="8">
        <f t="shared" si="12"/>
        <v>1</v>
      </c>
      <c r="J214" s="8" t="str">
        <f t="shared" si="13"/>
        <v>No</v>
      </c>
      <c r="K214" s="5" t="str">
        <f t="shared" si="14"/>
        <v>No</v>
      </c>
      <c r="L214" s="25">
        <f t="shared" si="15"/>
        <v>122.38655462184873</v>
      </c>
    </row>
    <row r="215" spans="1:12">
      <c r="A215" s="9" t="s">
        <v>426</v>
      </c>
      <c r="B215" s="8">
        <v>12</v>
      </c>
      <c r="C215" s="8" t="s">
        <v>39</v>
      </c>
      <c r="D215" s="8" t="s">
        <v>46</v>
      </c>
      <c r="E215" s="8" t="s">
        <v>63</v>
      </c>
      <c r="F215" s="8">
        <v>85</v>
      </c>
      <c r="G215" s="8">
        <v>41.5</v>
      </c>
      <c r="H215" s="10">
        <v>29.44</v>
      </c>
      <c r="I215" s="8">
        <f t="shared" si="12"/>
        <v>1</v>
      </c>
      <c r="J215" s="8" t="str">
        <f t="shared" si="13"/>
        <v>No</v>
      </c>
      <c r="K215" s="5" t="str">
        <f t="shared" si="14"/>
        <v>No</v>
      </c>
      <c r="L215" s="25">
        <f t="shared" si="15"/>
        <v>34.873949579831937</v>
      </c>
    </row>
    <row r="216" spans="1:12">
      <c r="A216" s="9" t="s">
        <v>427</v>
      </c>
      <c r="B216" s="8">
        <v>24</v>
      </c>
      <c r="C216" s="8" t="s">
        <v>35</v>
      </c>
      <c r="D216" s="8" t="s">
        <v>36</v>
      </c>
      <c r="E216" s="8" t="s">
        <v>428</v>
      </c>
      <c r="F216" s="8">
        <v>181</v>
      </c>
      <c r="G216" s="8">
        <v>72.59</v>
      </c>
      <c r="H216" s="10">
        <v>25.13</v>
      </c>
      <c r="I216" s="8">
        <f t="shared" si="12"/>
        <v>1</v>
      </c>
      <c r="J216" s="8" t="str">
        <f t="shared" si="13"/>
        <v>No</v>
      </c>
      <c r="K216" s="5" t="str">
        <f t="shared" si="14"/>
        <v>No</v>
      </c>
      <c r="L216" s="25">
        <f t="shared" si="15"/>
        <v>61.000000000000007</v>
      </c>
    </row>
    <row r="217" spans="1:12">
      <c r="A217" s="9" t="s">
        <v>429</v>
      </c>
      <c r="B217" s="8">
        <v>12</v>
      </c>
      <c r="C217" s="8" t="s">
        <v>51</v>
      </c>
      <c r="D217" s="8" t="s">
        <v>36</v>
      </c>
      <c r="E217" s="8" t="s">
        <v>430</v>
      </c>
      <c r="F217" s="8">
        <v>656</v>
      </c>
      <c r="G217" s="8">
        <v>221.09</v>
      </c>
      <c r="H217" s="10">
        <v>21.33</v>
      </c>
      <c r="I217" s="8">
        <f t="shared" si="12"/>
        <v>1</v>
      </c>
      <c r="J217" s="8" t="str">
        <f t="shared" si="13"/>
        <v>No</v>
      </c>
      <c r="K217" s="5" t="str">
        <f t="shared" si="14"/>
        <v>No</v>
      </c>
      <c r="L217" s="25">
        <f t="shared" si="15"/>
        <v>185.78991596638656</v>
      </c>
    </row>
    <row r="218" spans="1:12">
      <c r="A218" s="9" t="s">
        <v>431</v>
      </c>
      <c r="B218" s="8">
        <v>12</v>
      </c>
      <c r="C218" s="8" t="s">
        <v>39</v>
      </c>
      <c r="D218" s="8" t="s">
        <v>36</v>
      </c>
      <c r="E218" s="8" t="s">
        <v>374</v>
      </c>
      <c r="F218" s="8">
        <v>108</v>
      </c>
      <c r="G218" s="8">
        <v>45.8</v>
      </c>
      <c r="H218" s="10">
        <v>29.25</v>
      </c>
      <c r="I218" s="8">
        <f t="shared" si="12"/>
        <v>1</v>
      </c>
      <c r="J218" s="8" t="str">
        <f t="shared" si="13"/>
        <v>No</v>
      </c>
      <c r="K218" s="5" t="str">
        <f t="shared" si="14"/>
        <v>No</v>
      </c>
      <c r="L218" s="25">
        <f t="shared" si="15"/>
        <v>38.487394957983192</v>
      </c>
    </row>
    <row r="219" spans="1:12">
      <c r="A219" s="9" t="s">
        <v>432</v>
      </c>
      <c r="B219" s="8">
        <v>24</v>
      </c>
      <c r="C219" s="8" t="s">
        <v>35</v>
      </c>
      <c r="D219" s="8" t="s">
        <v>36</v>
      </c>
      <c r="E219" s="8" t="s">
        <v>363</v>
      </c>
      <c r="F219" s="8">
        <v>295</v>
      </c>
      <c r="G219" s="8">
        <v>110.97</v>
      </c>
      <c r="H219" s="10">
        <v>26.62</v>
      </c>
      <c r="I219" s="8">
        <f t="shared" si="12"/>
        <v>1</v>
      </c>
      <c r="J219" s="8" t="str">
        <f t="shared" si="13"/>
        <v>No</v>
      </c>
      <c r="K219" s="5" t="str">
        <f t="shared" si="14"/>
        <v>No</v>
      </c>
      <c r="L219" s="25">
        <f t="shared" si="15"/>
        <v>93.252100840336141</v>
      </c>
    </row>
    <row r="220" spans="1:12">
      <c r="A220" s="9" t="s">
        <v>433</v>
      </c>
      <c r="B220" s="8">
        <v>24</v>
      </c>
      <c r="C220" s="8" t="s">
        <v>51</v>
      </c>
      <c r="D220" s="8" t="s">
        <v>56</v>
      </c>
      <c r="E220" s="8" t="s">
        <v>434</v>
      </c>
      <c r="F220" s="8">
        <v>542</v>
      </c>
      <c r="G220" s="8">
        <v>186.65</v>
      </c>
      <c r="H220" s="10">
        <v>19.66</v>
      </c>
      <c r="I220" s="8">
        <f t="shared" si="12"/>
        <v>1</v>
      </c>
      <c r="J220" s="8" t="str">
        <f t="shared" si="13"/>
        <v>No</v>
      </c>
      <c r="K220" s="5" t="str">
        <f t="shared" si="14"/>
        <v>No</v>
      </c>
      <c r="L220" s="25">
        <f t="shared" si="15"/>
        <v>156.84873949579833</v>
      </c>
    </row>
    <row r="221" spans="1:12">
      <c r="A221" s="9" t="s">
        <v>435</v>
      </c>
      <c r="B221" s="8">
        <v>24</v>
      </c>
      <c r="C221" s="8" t="s">
        <v>39</v>
      </c>
      <c r="D221" s="8" t="s">
        <v>36</v>
      </c>
      <c r="E221" s="8" t="s">
        <v>436</v>
      </c>
      <c r="F221" s="8">
        <v>115</v>
      </c>
      <c r="G221" s="8">
        <v>52.99</v>
      </c>
      <c r="H221" s="10">
        <v>28.06</v>
      </c>
      <c r="I221" s="8">
        <f t="shared" si="12"/>
        <v>1</v>
      </c>
      <c r="J221" s="8" t="str">
        <f t="shared" si="13"/>
        <v>No</v>
      </c>
      <c r="K221" s="5" t="str">
        <f t="shared" si="14"/>
        <v>No</v>
      </c>
      <c r="L221" s="25">
        <f t="shared" si="15"/>
        <v>44.529411764705884</v>
      </c>
    </row>
    <row r="222" spans="1:12">
      <c r="A222" s="9" t="s">
        <v>437</v>
      </c>
      <c r="B222" s="8">
        <v>24</v>
      </c>
      <c r="C222" s="8" t="s">
        <v>35</v>
      </c>
      <c r="D222" s="8" t="s">
        <v>46</v>
      </c>
      <c r="E222" s="8" t="s">
        <v>179</v>
      </c>
      <c r="F222" s="8">
        <v>201</v>
      </c>
      <c r="G222" s="8">
        <v>79.510000000000005</v>
      </c>
      <c r="H222" s="10">
        <v>25.06</v>
      </c>
      <c r="I222" s="8">
        <f t="shared" si="12"/>
        <v>1</v>
      </c>
      <c r="J222" s="8" t="str">
        <f t="shared" si="13"/>
        <v>No</v>
      </c>
      <c r="K222" s="5" t="str">
        <f t="shared" si="14"/>
        <v>No</v>
      </c>
      <c r="L222" s="25">
        <f t="shared" si="15"/>
        <v>66.815126050420176</v>
      </c>
    </row>
    <row r="223" spans="1:12">
      <c r="A223" s="9" t="s">
        <v>438</v>
      </c>
      <c r="B223" s="8">
        <v>24</v>
      </c>
      <c r="C223" s="8" t="s">
        <v>39</v>
      </c>
      <c r="D223" s="8" t="s">
        <v>56</v>
      </c>
      <c r="E223" s="8" t="s">
        <v>349</v>
      </c>
      <c r="F223" s="8">
        <v>93</v>
      </c>
      <c r="G223" s="8">
        <v>44.69</v>
      </c>
      <c r="H223" s="10">
        <v>30.49</v>
      </c>
      <c r="I223" s="8">
        <f t="shared" si="12"/>
        <v>1</v>
      </c>
      <c r="J223" s="8" t="str">
        <f t="shared" si="13"/>
        <v>No</v>
      </c>
      <c r="K223" s="5" t="str">
        <f t="shared" si="14"/>
        <v>No</v>
      </c>
      <c r="L223" s="25">
        <f t="shared" si="15"/>
        <v>37.554621848739494</v>
      </c>
    </row>
    <row r="224" spans="1:12">
      <c r="A224" s="9" t="s">
        <v>439</v>
      </c>
      <c r="B224" s="8">
        <v>12</v>
      </c>
      <c r="C224" s="8" t="s">
        <v>51</v>
      </c>
      <c r="D224" s="8" t="s">
        <v>36</v>
      </c>
      <c r="E224" s="8" t="s">
        <v>440</v>
      </c>
      <c r="F224" s="8">
        <v>538</v>
      </c>
      <c r="G224" s="8">
        <v>188.26</v>
      </c>
      <c r="H224" s="10">
        <v>22.31</v>
      </c>
      <c r="I224" s="8">
        <f t="shared" si="12"/>
        <v>1</v>
      </c>
      <c r="J224" s="8" t="str">
        <f t="shared" si="13"/>
        <v>No</v>
      </c>
      <c r="K224" s="5" t="str">
        <f t="shared" si="14"/>
        <v>No</v>
      </c>
      <c r="L224" s="25">
        <f t="shared" si="15"/>
        <v>158.20168067226891</v>
      </c>
    </row>
    <row r="225" spans="1:12">
      <c r="A225" s="9" t="s">
        <v>441</v>
      </c>
      <c r="B225" s="8">
        <v>12</v>
      </c>
      <c r="C225" s="8" t="s">
        <v>51</v>
      </c>
      <c r="D225" s="8" t="s">
        <v>56</v>
      </c>
      <c r="E225" s="8" t="s">
        <v>164</v>
      </c>
      <c r="F225" s="8">
        <v>592</v>
      </c>
      <c r="G225" s="8">
        <v>202.57</v>
      </c>
      <c r="H225" s="10">
        <v>16.690000000000001</v>
      </c>
      <c r="I225" s="8">
        <f t="shared" si="12"/>
        <v>1</v>
      </c>
      <c r="J225" s="8" t="str">
        <f t="shared" si="13"/>
        <v>No</v>
      </c>
      <c r="K225" s="5" t="str">
        <f t="shared" si="14"/>
        <v>No</v>
      </c>
      <c r="L225" s="25">
        <f t="shared" si="15"/>
        <v>170.22689075630251</v>
      </c>
    </row>
    <row r="226" spans="1:12">
      <c r="A226" s="9" t="s">
        <v>442</v>
      </c>
      <c r="B226" s="8">
        <v>12</v>
      </c>
      <c r="C226" s="8" t="s">
        <v>51</v>
      </c>
      <c r="D226" s="8" t="s">
        <v>36</v>
      </c>
      <c r="E226" s="8" t="s">
        <v>443</v>
      </c>
      <c r="F226" s="8">
        <v>548</v>
      </c>
      <c r="G226" s="8">
        <v>185.16</v>
      </c>
      <c r="H226" s="10">
        <v>20.69</v>
      </c>
      <c r="I226" s="8">
        <f t="shared" si="12"/>
        <v>1</v>
      </c>
      <c r="J226" s="8" t="str">
        <f t="shared" si="13"/>
        <v>No</v>
      </c>
      <c r="K226" s="5" t="str">
        <f t="shared" si="14"/>
        <v>No</v>
      </c>
      <c r="L226" s="25">
        <f t="shared" si="15"/>
        <v>155.59663865546219</v>
      </c>
    </row>
    <row r="227" spans="1:12">
      <c r="A227" s="9" t="s">
        <v>444</v>
      </c>
      <c r="B227" s="8">
        <v>12</v>
      </c>
      <c r="C227" s="8" t="s">
        <v>35</v>
      </c>
      <c r="D227" s="8" t="s">
        <v>56</v>
      </c>
      <c r="E227" s="8" t="s">
        <v>445</v>
      </c>
      <c r="F227" s="8">
        <v>255</v>
      </c>
      <c r="G227" s="8">
        <v>99.09</v>
      </c>
      <c r="H227" s="10">
        <v>24.48</v>
      </c>
      <c r="I227" s="8">
        <f t="shared" si="12"/>
        <v>1</v>
      </c>
      <c r="J227" s="8" t="str">
        <f t="shared" si="13"/>
        <v>No</v>
      </c>
      <c r="K227" s="5" t="str">
        <f t="shared" si="14"/>
        <v>No</v>
      </c>
      <c r="L227" s="25">
        <f t="shared" si="15"/>
        <v>83.268907563025223</v>
      </c>
    </row>
    <row r="228" spans="1:12">
      <c r="A228" s="9" t="s">
        <v>446</v>
      </c>
      <c r="B228" s="8">
        <v>24</v>
      </c>
      <c r="C228" s="8" t="s">
        <v>51</v>
      </c>
      <c r="D228" s="8" t="s">
        <v>36</v>
      </c>
      <c r="E228" s="8" t="s">
        <v>199</v>
      </c>
      <c r="F228" s="8">
        <v>-15</v>
      </c>
      <c r="G228" s="8">
        <v>118.49</v>
      </c>
      <c r="H228" s="10">
        <v>20.82</v>
      </c>
      <c r="I228" s="8">
        <f t="shared" si="12"/>
        <v>1</v>
      </c>
      <c r="J228" s="8" t="str">
        <f t="shared" si="13"/>
        <v>No</v>
      </c>
      <c r="K228" s="5" t="str">
        <f t="shared" si="14"/>
        <v>Yes</v>
      </c>
      <c r="L228" s="25">
        <f t="shared" si="15"/>
        <v>99.571428571428569</v>
      </c>
    </row>
    <row r="229" spans="1:12">
      <c r="A229" s="9" t="s">
        <v>447</v>
      </c>
      <c r="B229" s="8">
        <v>12</v>
      </c>
      <c r="C229" s="8" t="s">
        <v>51</v>
      </c>
      <c r="D229" s="8" t="s">
        <v>46</v>
      </c>
      <c r="E229" s="8" t="s">
        <v>448</v>
      </c>
      <c r="F229" s="8">
        <v>656</v>
      </c>
      <c r="G229" s="8">
        <v>216.17</v>
      </c>
      <c r="H229" s="10">
        <v>19.62</v>
      </c>
      <c r="I229" s="8">
        <f t="shared" si="12"/>
        <v>1</v>
      </c>
      <c r="J229" s="8" t="str">
        <f t="shared" si="13"/>
        <v>No</v>
      </c>
      <c r="K229" s="5" t="str">
        <f t="shared" si="14"/>
        <v>No</v>
      </c>
      <c r="L229" s="25">
        <f t="shared" si="15"/>
        <v>181.65546218487395</v>
      </c>
    </row>
    <row r="230" spans="1:12">
      <c r="A230" s="9" t="s">
        <v>449</v>
      </c>
      <c r="B230" s="8">
        <v>24</v>
      </c>
      <c r="C230" s="8" t="s">
        <v>39</v>
      </c>
      <c r="D230" s="8" t="s">
        <v>36</v>
      </c>
      <c r="E230" s="8" t="s">
        <v>450</v>
      </c>
      <c r="F230" s="8">
        <v>150</v>
      </c>
      <c r="G230" s="8">
        <v>65.48</v>
      </c>
      <c r="H230" s="10">
        <v>31.46</v>
      </c>
      <c r="I230" s="8">
        <f t="shared" si="12"/>
        <v>1</v>
      </c>
      <c r="J230" s="8" t="str">
        <f t="shared" si="13"/>
        <v>No</v>
      </c>
      <c r="K230" s="5" t="str">
        <f t="shared" si="14"/>
        <v>No</v>
      </c>
      <c r="L230" s="25">
        <f t="shared" si="15"/>
        <v>55.025210084033617</v>
      </c>
    </row>
    <row r="231" spans="1:12">
      <c r="A231" s="9" t="s">
        <v>451</v>
      </c>
      <c r="B231" s="8">
        <v>24</v>
      </c>
      <c r="C231" s="8" t="s">
        <v>51</v>
      </c>
      <c r="D231" s="8" t="s">
        <v>36</v>
      </c>
      <c r="E231" s="8" t="s">
        <v>315</v>
      </c>
      <c r="F231" s="8">
        <v>431</v>
      </c>
      <c r="G231" s="8">
        <v>141.19</v>
      </c>
      <c r="H231" s="10">
        <v>19.43</v>
      </c>
      <c r="I231" s="8">
        <f t="shared" si="12"/>
        <v>1</v>
      </c>
      <c r="J231" s="8" t="str">
        <f t="shared" si="13"/>
        <v>No</v>
      </c>
      <c r="K231" s="5" t="str">
        <f t="shared" si="14"/>
        <v>No</v>
      </c>
      <c r="L231" s="25">
        <f t="shared" si="15"/>
        <v>118.64705882352942</v>
      </c>
    </row>
    <row r="232" spans="1:12">
      <c r="A232" s="9" t="s">
        <v>452</v>
      </c>
      <c r="B232" s="8">
        <v>24</v>
      </c>
      <c r="C232" s="8" t="s">
        <v>39</v>
      </c>
      <c r="D232" s="8" t="s">
        <v>46</v>
      </c>
      <c r="E232" s="8" t="s">
        <v>453</v>
      </c>
      <c r="F232" s="8">
        <v>165</v>
      </c>
      <c r="G232" s="8">
        <v>70.19</v>
      </c>
      <c r="H232" s="10">
        <v>32.32</v>
      </c>
      <c r="I232" s="8">
        <f t="shared" si="12"/>
        <v>1</v>
      </c>
      <c r="J232" s="8" t="str">
        <f t="shared" si="13"/>
        <v>No</v>
      </c>
      <c r="K232" s="5" t="str">
        <f t="shared" si="14"/>
        <v>No</v>
      </c>
      <c r="L232" s="25">
        <f t="shared" si="15"/>
        <v>58.983193277310924</v>
      </c>
    </row>
    <row r="233" spans="1:12">
      <c r="A233" s="9" t="s">
        <v>454</v>
      </c>
      <c r="B233" s="8">
        <v>12</v>
      </c>
      <c r="C233" s="8" t="s">
        <v>35</v>
      </c>
      <c r="D233" s="8" t="s">
        <v>46</v>
      </c>
      <c r="E233" s="8" t="s">
        <v>455</v>
      </c>
      <c r="F233" s="8">
        <v>267</v>
      </c>
      <c r="G233" s="8">
        <v>101.53</v>
      </c>
      <c r="H233" s="10">
        <v>27.96</v>
      </c>
      <c r="I233" s="8">
        <f t="shared" si="12"/>
        <v>1</v>
      </c>
      <c r="J233" s="8" t="str">
        <f t="shared" si="13"/>
        <v>No</v>
      </c>
      <c r="K233" s="5" t="str">
        <f t="shared" si="14"/>
        <v>No</v>
      </c>
      <c r="L233" s="25">
        <f t="shared" si="15"/>
        <v>85.319327731092443</v>
      </c>
    </row>
    <row r="234" spans="1:12">
      <c r="A234" s="9" t="s">
        <v>456</v>
      </c>
      <c r="B234" s="8">
        <v>24</v>
      </c>
      <c r="C234" s="8" t="s">
        <v>39</v>
      </c>
      <c r="D234" s="8" t="s">
        <v>36</v>
      </c>
      <c r="E234" s="8" t="s">
        <v>376</v>
      </c>
      <c r="F234" s="8">
        <v>132</v>
      </c>
      <c r="G234" s="8">
        <v>57.85</v>
      </c>
      <c r="H234" s="10">
        <v>31.03</v>
      </c>
      <c r="I234" s="8">
        <f t="shared" si="12"/>
        <v>1</v>
      </c>
      <c r="J234" s="8" t="str">
        <f t="shared" si="13"/>
        <v>No</v>
      </c>
      <c r="K234" s="5" t="str">
        <f t="shared" si="14"/>
        <v>No</v>
      </c>
      <c r="L234" s="25">
        <f t="shared" si="15"/>
        <v>48.613445378151262</v>
      </c>
    </row>
    <row r="235" spans="1:12">
      <c r="A235" s="9" t="s">
        <v>457</v>
      </c>
      <c r="B235" s="8">
        <v>12</v>
      </c>
      <c r="C235" s="8" t="s">
        <v>39</v>
      </c>
      <c r="D235" s="8" t="s">
        <v>36</v>
      </c>
      <c r="E235" s="8" t="s">
        <v>458</v>
      </c>
      <c r="F235" s="8">
        <v>146</v>
      </c>
      <c r="G235" s="8">
        <v>65.69</v>
      </c>
      <c r="H235" s="10">
        <v>29.77</v>
      </c>
      <c r="I235" s="8">
        <f t="shared" si="12"/>
        <v>1</v>
      </c>
      <c r="J235" s="8" t="str">
        <f t="shared" si="13"/>
        <v>No</v>
      </c>
      <c r="K235" s="5" t="str">
        <f t="shared" si="14"/>
        <v>No</v>
      </c>
      <c r="L235" s="25">
        <f t="shared" si="15"/>
        <v>55.201680672268907</v>
      </c>
    </row>
    <row r="236" spans="1:12">
      <c r="A236" s="9" t="s">
        <v>459</v>
      </c>
      <c r="B236" s="8">
        <v>12</v>
      </c>
      <c r="C236" s="8" t="s">
        <v>39</v>
      </c>
      <c r="D236" s="8" t="s">
        <v>46</v>
      </c>
      <c r="E236" s="8" t="s">
        <v>460</v>
      </c>
      <c r="F236" s="8">
        <v>151</v>
      </c>
      <c r="G236" s="8">
        <v>60.81</v>
      </c>
      <c r="H236" s="10">
        <v>30.83</v>
      </c>
      <c r="I236" s="8">
        <f t="shared" si="12"/>
        <v>1</v>
      </c>
      <c r="J236" s="8" t="str">
        <f t="shared" si="13"/>
        <v>No</v>
      </c>
      <c r="K236" s="5" t="str">
        <f t="shared" si="14"/>
        <v>No</v>
      </c>
      <c r="L236" s="25">
        <f t="shared" si="15"/>
        <v>51.100840336134461</v>
      </c>
    </row>
    <row r="237" spans="1:12">
      <c r="A237" s="9" t="s">
        <v>461</v>
      </c>
      <c r="B237" s="8">
        <v>24</v>
      </c>
      <c r="C237" s="8" t="s">
        <v>35</v>
      </c>
      <c r="D237" s="8" t="s">
        <v>46</v>
      </c>
      <c r="E237" s="8" t="s">
        <v>292</v>
      </c>
      <c r="F237" s="8">
        <v>276</v>
      </c>
      <c r="G237" s="8">
        <v>103.13</v>
      </c>
      <c r="H237" s="10">
        <v>23.56</v>
      </c>
      <c r="I237" s="8">
        <f t="shared" si="12"/>
        <v>1</v>
      </c>
      <c r="J237" s="8" t="str">
        <f t="shared" si="13"/>
        <v>No</v>
      </c>
      <c r="K237" s="5" t="str">
        <f t="shared" si="14"/>
        <v>No</v>
      </c>
      <c r="L237" s="25">
        <f t="shared" si="15"/>
        <v>86.663865546218489</v>
      </c>
    </row>
    <row r="238" spans="1:12">
      <c r="A238" s="9" t="s">
        <v>462</v>
      </c>
      <c r="B238" s="8">
        <v>12</v>
      </c>
      <c r="C238" s="8" t="s">
        <v>39</v>
      </c>
      <c r="D238" s="8" t="s">
        <v>56</v>
      </c>
      <c r="E238" s="8" t="s">
        <v>395</v>
      </c>
      <c r="F238" s="8">
        <v>94</v>
      </c>
      <c r="G238" s="8">
        <v>43.9</v>
      </c>
      <c r="H238" s="10">
        <v>28.92</v>
      </c>
      <c r="I238" s="8">
        <f t="shared" si="12"/>
        <v>1</v>
      </c>
      <c r="J238" s="8" t="str">
        <f t="shared" si="13"/>
        <v>No</v>
      </c>
      <c r="K238" s="5" t="str">
        <f t="shared" si="14"/>
        <v>No</v>
      </c>
      <c r="L238" s="25">
        <f t="shared" si="15"/>
        <v>36.890756302521012</v>
      </c>
    </row>
    <row r="239" spans="1:12">
      <c r="A239" s="9" t="s">
        <v>463</v>
      </c>
      <c r="B239" s="8">
        <v>12</v>
      </c>
      <c r="C239" s="8" t="s">
        <v>35</v>
      </c>
      <c r="D239" s="8" t="s">
        <v>46</v>
      </c>
      <c r="E239" s="8" t="s">
        <v>464</v>
      </c>
      <c r="F239" s="8">
        <v>223</v>
      </c>
      <c r="G239" s="8">
        <v>90.63</v>
      </c>
      <c r="H239" s="10">
        <v>24.39</v>
      </c>
      <c r="I239" s="8">
        <f t="shared" si="12"/>
        <v>1</v>
      </c>
      <c r="J239" s="8" t="str">
        <f t="shared" si="13"/>
        <v>No</v>
      </c>
      <c r="K239" s="5" t="str">
        <f t="shared" si="14"/>
        <v>No</v>
      </c>
      <c r="L239" s="25">
        <f t="shared" si="15"/>
        <v>76.159663865546221</v>
      </c>
    </row>
    <row r="240" spans="1:12">
      <c r="A240" s="9" t="s">
        <v>465</v>
      </c>
      <c r="B240" s="8">
        <v>24</v>
      </c>
      <c r="C240" s="8" t="s">
        <v>39</v>
      </c>
      <c r="D240" s="8" t="s">
        <v>56</v>
      </c>
      <c r="E240" s="8" t="s">
        <v>466</v>
      </c>
      <c r="F240" s="8">
        <v>161</v>
      </c>
      <c r="G240" s="8">
        <v>70.67</v>
      </c>
      <c r="H240" s="10">
        <v>31.71</v>
      </c>
      <c r="I240" s="8">
        <f t="shared" si="12"/>
        <v>1</v>
      </c>
      <c r="J240" s="8" t="str">
        <f t="shared" si="13"/>
        <v>No</v>
      </c>
      <c r="K240" s="5" t="str">
        <f t="shared" si="14"/>
        <v>No</v>
      </c>
      <c r="L240" s="25">
        <f t="shared" si="15"/>
        <v>59.386554621848745</v>
      </c>
    </row>
    <row r="241" spans="1:12">
      <c r="A241" s="9" t="s">
        <v>467</v>
      </c>
      <c r="B241" s="8">
        <v>12</v>
      </c>
      <c r="C241" s="8" t="s">
        <v>39</v>
      </c>
      <c r="D241" s="8" t="s">
        <v>46</v>
      </c>
      <c r="E241" s="8" t="s">
        <v>423</v>
      </c>
      <c r="F241" s="8">
        <v>102</v>
      </c>
      <c r="G241" s="8">
        <v>49.06</v>
      </c>
      <c r="H241" s="10">
        <v>31.72</v>
      </c>
      <c r="I241" s="8">
        <f t="shared" si="12"/>
        <v>1</v>
      </c>
      <c r="J241" s="8" t="str">
        <f t="shared" si="13"/>
        <v>No</v>
      </c>
      <c r="K241" s="5" t="str">
        <f t="shared" si="14"/>
        <v>No</v>
      </c>
      <c r="L241" s="25">
        <f t="shared" si="15"/>
        <v>41.226890756302524</v>
      </c>
    </row>
    <row r="242" spans="1:12">
      <c r="A242" s="9" t="s">
        <v>468</v>
      </c>
      <c r="B242" s="8">
        <v>24</v>
      </c>
      <c r="C242" s="8" t="s">
        <v>35</v>
      </c>
      <c r="D242" s="8" t="s">
        <v>36</v>
      </c>
      <c r="E242" s="8" t="s">
        <v>469</v>
      </c>
      <c r="F242" s="8">
        <v>229</v>
      </c>
      <c r="G242" s="8">
        <v>92.19</v>
      </c>
      <c r="H242" s="10">
        <v>25.37</v>
      </c>
      <c r="I242" s="8">
        <f t="shared" si="12"/>
        <v>1</v>
      </c>
      <c r="J242" s="8" t="str">
        <f t="shared" si="13"/>
        <v>No</v>
      </c>
      <c r="K242" s="5" t="str">
        <f t="shared" si="14"/>
        <v>No</v>
      </c>
      <c r="L242" s="25">
        <f t="shared" si="15"/>
        <v>77.470588235294116</v>
      </c>
    </row>
    <row r="243" spans="1:12">
      <c r="A243" s="9" t="s">
        <v>470</v>
      </c>
      <c r="B243" s="8">
        <v>24</v>
      </c>
      <c r="C243" s="8" t="s">
        <v>51</v>
      </c>
      <c r="D243" s="8" t="s">
        <v>36</v>
      </c>
      <c r="E243" s="8" t="s">
        <v>471</v>
      </c>
      <c r="F243" s="8">
        <v>477</v>
      </c>
      <c r="G243" s="8">
        <v>161.1</v>
      </c>
      <c r="H243" s="10">
        <v>21.14</v>
      </c>
      <c r="I243" s="8">
        <f t="shared" si="12"/>
        <v>1</v>
      </c>
      <c r="J243" s="8" t="str">
        <f t="shared" si="13"/>
        <v>No</v>
      </c>
      <c r="K243" s="5" t="str">
        <f t="shared" si="14"/>
        <v>No</v>
      </c>
      <c r="L243" s="25">
        <f t="shared" si="15"/>
        <v>135.37815126050421</v>
      </c>
    </row>
    <row r="244" spans="1:12">
      <c r="A244" s="9" t="s">
        <v>472</v>
      </c>
      <c r="B244" s="8">
        <v>24</v>
      </c>
      <c r="C244" s="8" t="s">
        <v>39</v>
      </c>
      <c r="D244" s="8" t="s">
        <v>46</v>
      </c>
      <c r="E244" s="8" t="s">
        <v>275</v>
      </c>
      <c r="F244" s="8">
        <v>120</v>
      </c>
      <c r="G244" s="8">
        <v>53.63</v>
      </c>
      <c r="H244" s="10">
        <v>28.85</v>
      </c>
      <c r="I244" s="8">
        <f t="shared" si="12"/>
        <v>1</v>
      </c>
      <c r="J244" s="8" t="str">
        <f t="shared" si="13"/>
        <v>No</v>
      </c>
      <c r="K244" s="5" t="str">
        <f t="shared" si="14"/>
        <v>No</v>
      </c>
      <c r="L244" s="25">
        <f t="shared" si="15"/>
        <v>45.067226890756309</v>
      </c>
    </row>
    <row r="245" spans="1:12">
      <c r="A245" s="9" t="s">
        <v>473</v>
      </c>
      <c r="B245" s="8">
        <v>12</v>
      </c>
      <c r="C245" s="8" t="s">
        <v>35</v>
      </c>
      <c r="D245" s="8" t="s">
        <v>46</v>
      </c>
      <c r="E245" s="8" t="s">
        <v>250</v>
      </c>
      <c r="F245" s="8">
        <v>269</v>
      </c>
      <c r="G245" s="8">
        <v>101.78</v>
      </c>
      <c r="H245" s="10">
        <v>27.98</v>
      </c>
      <c r="I245" s="8">
        <f t="shared" si="12"/>
        <v>1</v>
      </c>
      <c r="J245" s="8" t="str">
        <f t="shared" si="13"/>
        <v>No</v>
      </c>
      <c r="K245" s="5" t="str">
        <f t="shared" si="14"/>
        <v>No</v>
      </c>
      <c r="L245" s="25">
        <f t="shared" si="15"/>
        <v>85.529411764705884</v>
      </c>
    </row>
    <row r="246" spans="1:12">
      <c r="A246" s="9" t="s">
        <v>474</v>
      </c>
      <c r="B246" s="8">
        <v>12</v>
      </c>
      <c r="C246" s="8" t="s">
        <v>51</v>
      </c>
      <c r="D246" s="8" t="s">
        <v>36</v>
      </c>
      <c r="E246" s="8" t="s">
        <v>466</v>
      </c>
      <c r="F246" s="8">
        <v>648</v>
      </c>
      <c r="G246" s="8">
        <v>210.97</v>
      </c>
      <c r="H246" s="10">
        <v>21.41</v>
      </c>
      <c r="I246" s="8">
        <f t="shared" si="12"/>
        <v>1</v>
      </c>
      <c r="J246" s="8" t="str">
        <f t="shared" si="13"/>
        <v>No</v>
      </c>
      <c r="K246" s="5" t="str">
        <f t="shared" si="14"/>
        <v>No</v>
      </c>
      <c r="L246" s="25">
        <f t="shared" si="15"/>
        <v>177.28571428571431</v>
      </c>
    </row>
    <row r="247" spans="1:12">
      <c r="A247" s="9" t="s">
        <v>475</v>
      </c>
      <c r="B247" s="8">
        <v>24</v>
      </c>
      <c r="C247" s="8" t="s">
        <v>35</v>
      </c>
      <c r="D247" s="8" t="s">
        <v>36</v>
      </c>
      <c r="E247" s="8" t="s">
        <v>476</v>
      </c>
      <c r="F247" s="8">
        <v>207</v>
      </c>
      <c r="G247" s="8">
        <v>85.79</v>
      </c>
      <c r="H247" s="10">
        <v>24.6</v>
      </c>
      <c r="I247" s="8">
        <f t="shared" si="12"/>
        <v>1</v>
      </c>
      <c r="J247" s="8" t="str">
        <f t="shared" si="13"/>
        <v>No</v>
      </c>
      <c r="K247" s="5" t="str">
        <f t="shared" si="14"/>
        <v>No</v>
      </c>
      <c r="L247" s="25">
        <f t="shared" si="15"/>
        <v>72.092436974789919</v>
      </c>
    </row>
    <row r="248" spans="1:12">
      <c r="A248" s="9" t="s">
        <v>477</v>
      </c>
      <c r="B248" s="8">
        <v>12</v>
      </c>
      <c r="C248" s="8" t="s">
        <v>39</v>
      </c>
      <c r="D248" s="8" t="s">
        <v>56</v>
      </c>
      <c r="E248" s="8" t="s">
        <v>478</v>
      </c>
      <c r="F248" s="8">
        <v>93</v>
      </c>
      <c r="G248" s="8">
        <v>43.74</v>
      </c>
      <c r="H248" s="10">
        <v>31.22</v>
      </c>
      <c r="I248" s="8">
        <f t="shared" si="12"/>
        <v>1</v>
      </c>
      <c r="J248" s="8" t="str">
        <f t="shared" si="13"/>
        <v>No</v>
      </c>
      <c r="K248" s="5" t="str">
        <f t="shared" si="14"/>
        <v>No</v>
      </c>
      <c r="L248" s="25">
        <f t="shared" si="15"/>
        <v>36.756302521008408</v>
      </c>
    </row>
    <row r="249" spans="1:12">
      <c r="A249" s="9" t="s">
        <v>479</v>
      </c>
      <c r="B249" s="8">
        <v>24</v>
      </c>
      <c r="C249" s="8" t="s">
        <v>39</v>
      </c>
      <c r="D249" s="8" t="s">
        <v>36</v>
      </c>
      <c r="E249" s="8" t="s">
        <v>480</v>
      </c>
      <c r="F249" s="8">
        <v>100</v>
      </c>
      <c r="G249" s="8">
        <v>45.64</v>
      </c>
      <c r="H249" s="10">
        <v>30.86</v>
      </c>
      <c r="I249" s="8">
        <f t="shared" si="12"/>
        <v>1</v>
      </c>
      <c r="J249" s="8" t="str">
        <f t="shared" si="13"/>
        <v>No</v>
      </c>
      <c r="K249" s="5" t="str">
        <f t="shared" si="14"/>
        <v>No</v>
      </c>
      <c r="L249" s="25">
        <f t="shared" si="15"/>
        <v>38.352941176470587</v>
      </c>
    </row>
    <row r="250" spans="1:12">
      <c r="A250" s="9" t="s">
        <v>481</v>
      </c>
      <c r="B250" s="8">
        <v>24</v>
      </c>
      <c r="C250" s="8" t="s">
        <v>51</v>
      </c>
      <c r="D250" s="8" t="s">
        <v>36</v>
      </c>
      <c r="E250" s="8" t="s">
        <v>300</v>
      </c>
      <c r="F250" s="8">
        <v>629</v>
      </c>
      <c r="G250" s="8">
        <v>211.4</v>
      </c>
      <c r="H250" s="10">
        <v>19.47</v>
      </c>
      <c r="I250" s="8">
        <f t="shared" si="12"/>
        <v>1</v>
      </c>
      <c r="J250" s="8" t="str">
        <f t="shared" si="13"/>
        <v>No</v>
      </c>
      <c r="K250" s="5" t="str">
        <f t="shared" si="14"/>
        <v>No</v>
      </c>
      <c r="L250" s="25">
        <f t="shared" si="15"/>
        <v>177.64705882352942</v>
      </c>
    </row>
    <row r="251" spans="1:12">
      <c r="A251" s="9" t="s">
        <v>482</v>
      </c>
      <c r="B251" s="8">
        <v>24</v>
      </c>
      <c r="C251" s="8" t="s">
        <v>39</v>
      </c>
      <c r="D251" s="8" t="s">
        <v>36</v>
      </c>
      <c r="E251" s="8" t="s">
        <v>351</v>
      </c>
      <c r="F251" s="8">
        <v>137</v>
      </c>
      <c r="G251" s="8">
        <v>62.46</v>
      </c>
      <c r="H251" s="10">
        <v>28.21</v>
      </c>
      <c r="I251" s="8">
        <f t="shared" si="12"/>
        <v>1</v>
      </c>
      <c r="J251" s="8" t="str">
        <f t="shared" si="13"/>
        <v>No</v>
      </c>
      <c r="K251" s="5" t="str">
        <f t="shared" si="14"/>
        <v>No</v>
      </c>
      <c r="L251" s="25">
        <f t="shared" si="15"/>
        <v>52.487394957983199</v>
      </c>
    </row>
    <row r="252" spans="1:12">
      <c r="A252" s="9" t="s">
        <v>483</v>
      </c>
      <c r="B252" s="8">
        <v>12</v>
      </c>
      <c r="C252" s="8" t="s">
        <v>51</v>
      </c>
      <c r="D252" s="8" t="s">
        <v>36</v>
      </c>
      <c r="E252" s="8" t="s">
        <v>484</v>
      </c>
      <c r="F252" s="8">
        <v>428</v>
      </c>
      <c r="G252" s="8">
        <v>141.15</v>
      </c>
      <c r="H252" s="10">
        <v>18.77</v>
      </c>
      <c r="I252" s="8">
        <f t="shared" si="12"/>
        <v>1</v>
      </c>
      <c r="J252" s="8" t="str">
        <f t="shared" si="13"/>
        <v>No</v>
      </c>
      <c r="K252" s="5" t="str">
        <f t="shared" si="14"/>
        <v>No</v>
      </c>
      <c r="L252" s="25">
        <f t="shared" si="15"/>
        <v>118.61344537815127</v>
      </c>
    </row>
    <row r="253" spans="1:12">
      <c r="A253" s="9" t="s">
        <v>485</v>
      </c>
      <c r="B253" s="8">
        <v>12</v>
      </c>
      <c r="C253" s="8" t="s">
        <v>35</v>
      </c>
      <c r="D253" s="8" t="s">
        <v>36</v>
      </c>
      <c r="E253" s="8" t="s">
        <v>486</v>
      </c>
      <c r="F253" s="8">
        <v>302</v>
      </c>
      <c r="G253" s="8">
        <v>109.4</v>
      </c>
      <c r="H253" s="10">
        <v>24.7</v>
      </c>
      <c r="I253" s="8">
        <f t="shared" si="12"/>
        <v>1</v>
      </c>
      <c r="J253" s="8" t="str">
        <f t="shared" si="13"/>
        <v>No</v>
      </c>
      <c r="K253" s="5" t="str">
        <f t="shared" si="14"/>
        <v>No</v>
      </c>
      <c r="L253" s="25">
        <f t="shared" si="15"/>
        <v>91.932773109243712</v>
      </c>
    </row>
    <row r="254" spans="1:12">
      <c r="A254" s="9" t="s">
        <v>487</v>
      </c>
      <c r="B254" s="8">
        <v>24</v>
      </c>
      <c r="C254" s="8" t="s">
        <v>51</v>
      </c>
      <c r="D254" s="8" t="s">
        <v>36</v>
      </c>
      <c r="E254" s="8" t="s">
        <v>488</v>
      </c>
      <c r="F254" s="8">
        <v>621</v>
      </c>
      <c r="G254" s="8">
        <v>202.59</v>
      </c>
      <c r="H254" s="10">
        <v>19.89</v>
      </c>
      <c r="I254" s="8">
        <f t="shared" si="12"/>
        <v>1</v>
      </c>
      <c r="J254" s="8" t="str">
        <f t="shared" si="13"/>
        <v>No</v>
      </c>
      <c r="K254" s="5" t="str">
        <f t="shared" si="14"/>
        <v>No</v>
      </c>
      <c r="L254" s="25">
        <f t="shared" si="15"/>
        <v>170.24369747899161</v>
      </c>
    </row>
    <row r="255" spans="1:12">
      <c r="A255" s="9" t="s">
        <v>489</v>
      </c>
      <c r="B255" s="8">
        <v>12</v>
      </c>
      <c r="C255" s="8" t="s">
        <v>51</v>
      </c>
      <c r="D255" s="8" t="s">
        <v>36</v>
      </c>
      <c r="E255" s="8" t="s">
        <v>202</v>
      </c>
      <c r="F255" s="8">
        <v>616</v>
      </c>
      <c r="G255" s="8">
        <v>200.57</v>
      </c>
      <c r="H255" s="10">
        <v>18.37</v>
      </c>
      <c r="I255" s="8">
        <f t="shared" si="12"/>
        <v>1</v>
      </c>
      <c r="J255" s="8" t="str">
        <f t="shared" si="13"/>
        <v>No</v>
      </c>
      <c r="K255" s="5" t="str">
        <f t="shared" si="14"/>
        <v>No</v>
      </c>
      <c r="L255" s="25">
        <f t="shared" si="15"/>
        <v>168.54621848739495</v>
      </c>
    </row>
    <row r="256" spans="1:12">
      <c r="A256" s="9" t="s">
        <v>490</v>
      </c>
      <c r="B256" s="8">
        <v>12</v>
      </c>
      <c r="C256" s="8" t="s">
        <v>51</v>
      </c>
      <c r="D256" s="8" t="s">
        <v>46</v>
      </c>
      <c r="E256" s="8" t="s">
        <v>491</v>
      </c>
      <c r="F256" s="8">
        <v>640</v>
      </c>
      <c r="G256" s="8">
        <v>201.88</v>
      </c>
      <c r="H256" s="10">
        <v>21.21</v>
      </c>
      <c r="I256" s="8">
        <f t="shared" si="12"/>
        <v>1</v>
      </c>
      <c r="J256" s="8" t="str">
        <f t="shared" si="13"/>
        <v>No</v>
      </c>
      <c r="K256" s="5" t="str">
        <f t="shared" si="14"/>
        <v>No</v>
      </c>
      <c r="L256" s="25">
        <f t="shared" si="15"/>
        <v>169.64705882352942</v>
      </c>
    </row>
    <row r="257" spans="1:12">
      <c r="A257" s="9" t="s">
        <v>492</v>
      </c>
      <c r="B257" s="8">
        <v>24</v>
      </c>
      <c r="C257" s="8" t="s">
        <v>35</v>
      </c>
      <c r="D257" s="8" t="s">
        <v>36</v>
      </c>
      <c r="E257" s="8" t="s">
        <v>493</v>
      </c>
      <c r="F257" s="8">
        <v>209</v>
      </c>
      <c r="G257" s="8">
        <v>84.67</v>
      </c>
      <c r="H257" s="10">
        <v>22.67</v>
      </c>
      <c r="I257" s="8">
        <f t="shared" si="12"/>
        <v>1</v>
      </c>
      <c r="J257" s="8" t="str">
        <f t="shared" si="13"/>
        <v>No</v>
      </c>
      <c r="K257" s="5" t="str">
        <f t="shared" si="14"/>
        <v>No</v>
      </c>
      <c r="L257" s="25">
        <f t="shared" si="15"/>
        <v>71.151260504201687</v>
      </c>
    </row>
    <row r="258" spans="1:12">
      <c r="A258" s="9" t="s">
        <v>494</v>
      </c>
      <c r="B258" s="8">
        <v>24</v>
      </c>
      <c r="C258" s="8" t="s">
        <v>51</v>
      </c>
      <c r="D258" s="8" t="s">
        <v>56</v>
      </c>
      <c r="E258" s="8" t="s">
        <v>75</v>
      </c>
      <c r="F258" s="8">
        <v>585</v>
      </c>
      <c r="G258" s="8">
        <v>206.52</v>
      </c>
      <c r="H258" s="10">
        <v>19</v>
      </c>
      <c r="I258" s="8">
        <f t="shared" ref="I258:I321" si="16">COUNTIF($A:$A,A258)</f>
        <v>1</v>
      </c>
      <c r="J258" s="8" t="str">
        <f t="shared" ref="J258:J321" si="17">IF(F258=0,"Yes","No")</f>
        <v>No</v>
      </c>
      <c r="K258" s="5" t="str">
        <f t="shared" ref="K258:K321" si="18">IF(F258&lt;0,"Yes","No")</f>
        <v>No</v>
      </c>
      <c r="L258" s="25">
        <f t="shared" ref="L258:L321" si="19">G258/1.19</f>
        <v>173.54621848739498</v>
      </c>
    </row>
    <row r="259" spans="1:12">
      <c r="A259" s="9" t="s">
        <v>495</v>
      </c>
      <c r="B259" s="8">
        <v>24</v>
      </c>
      <c r="C259" s="8" t="s">
        <v>35</v>
      </c>
      <c r="D259" s="8" t="s">
        <v>56</v>
      </c>
      <c r="E259" s="8" t="s">
        <v>496</v>
      </c>
      <c r="F259" s="8">
        <v>243</v>
      </c>
      <c r="G259" s="8">
        <v>92.98</v>
      </c>
      <c r="H259" s="10">
        <v>24.76</v>
      </c>
      <c r="I259" s="8">
        <f t="shared" si="16"/>
        <v>1</v>
      </c>
      <c r="J259" s="8" t="str">
        <f t="shared" si="17"/>
        <v>No</v>
      </c>
      <c r="K259" s="5" t="str">
        <f t="shared" si="18"/>
        <v>No</v>
      </c>
      <c r="L259" s="25">
        <f t="shared" si="19"/>
        <v>78.134453781512619</v>
      </c>
    </row>
    <row r="260" spans="1:12">
      <c r="A260" s="9" t="s">
        <v>497</v>
      </c>
      <c r="B260" s="8">
        <v>24</v>
      </c>
      <c r="C260" s="8" t="s">
        <v>35</v>
      </c>
      <c r="D260" s="8" t="s">
        <v>36</v>
      </c>
      <c r="E260" s="8" t="s">
        <v>177</v>
      </c>
      <c r="F260" s="8">
        <v>307</v>
      </c>
      <c r="G260" s="8">
        <v>114.62</v>
      </c>
      <c r="H260" s="10">
        <v>24.79</v>
      </c>
      <c r="I260" s="8">
        <f t="shared" si="16"/>
        <v>1</v>
      </c>
      <c r="J260" s="8" t="str">
        <f t="shared" si="17"/>
        <v>No</v>
      </c>
      <c r="K260" s="5" t="str">
        <f t="shared" si="18"/>
        <v>No</v>
      </c>
      <c r="L260" s="25">
        <f t="shared" si="19"/>
        <v>96.319327731092443</v>
      </c>
    </row>
    <row r="261" spans="1:12">
      <c r="A261" s="9" t="s">
        <v>498</v>
      </c>
      <c r="B261" s="8">
        <v>12</v>
      </c>
      <c r="C261" s="8" t="s">
        <v>35</v>
      </c>
      <c r="D261" s="8" t="s">
        <v>46</v>
      </c>
      <c r="E261" s="8" t="s">
        <v>499</v>
      </c>
      <c r="F261" s="8">
        <v>288</v>
      </c>
      <c r="G261" s="8">
        <v>106.07</v>
      </c>
      <c r="H261" s="10">
        <v>24.59</v>
      </c>
      <c r="I261" s="8">
        <f t="shared" si="16"/>
        <v>1</v>
      </c>
      <c r="J261" s="8" t="str">
        <f t="shared" si="17"/>
        <v>No</v>
      </c>
      <c r="K261" s="5" t="str">
        <f t="shared" si="18"/>
        <v>No</v>
      </c>
      <c r="L261" s="25">
        <f t="shared" si="19"/>
        <v>89.134453781512605</v>
      </c>
    </row>
    <row r="262" spans="1:12">
      <c r="A262" s="9" t="s">
        <v>500</v>
      </c>
      <c r="B262" s="8">
        <v>24</v>
      </c>
      <c r="C262" s="8" t="s">
        <v>51</v>
      </c>
      <c r="D262" s="8" t="s">
        <v>36</v>
      </c>
      <c r="E262" s="8" t="s">
        <v>501</v>
      </c>
      <c r="F262" s="8">
        <v>592</v>
      </c>
      <c r="G262" s="8">
        <v>192.63</v>
      </c>
      <c r="H262" s="10">
        <v>17.88</v>
      </c>
      <c r="I262" s="8">
        <f t="shared" si="16"/>
        <v>1</v>
      </c>
      <c r="J262" s="8" t="str">
        <f t="shared" si="17"/>
        <v>No</v>
      </c>
      <c r="K262" s="5" t="str">
        <f t="shared" si="18"/>
        <v>No</v>
      </c>
      <c r="L262" s="25">
        <f t="shared" si="19"/>
        <v>161.87394957983193</v>
      </c>
    </row>
    <row r="263" spans="1:12">
      <c r="A263" s="9" t="s">
        <v>502</v>
      </c>
      <c r="B263" s="8">
        <v>24</v>
      </c>
      <c r="C263" s="8" t="s">
        <v>51</v>
      </c>
      <c r="D263" s="8" t="s">
        <v>56</v>
      </c>
      <c r="E263" s="8" t="s">
        <v>464</v>
      </c>
      <c r="F263" s="8">
        <v>552</v>
      </c>
      <c r="G263" s="8">
        <v>195.6</v>
      </c>
      <c r="H263" s="10">
        <v>17.28</v>
      </c>
      <c r="I263" s="8">
        <f t="shared" si="16"/>
        <v>1</v>
      </c>
      <c r="J263" s="8" t="str">
        <f t="shared" si="17"/>
        <v>No</v>
      </c>
      <c r="K263" s="5" t="str">
        <f t="shared" si="18"/>
        <v>No</v>
      </c>
      <c r="L263" s="25">
        <f t="shared" si="19"/>
        <v>164.36974789915968</v>
      </c>
    </row>
    <row r="264" spans="1:12">
      <c r="A264" s="9" t="s">
        <v>503</v>
      </c>
      <c r="B264" s="8">
        <v>12</v>
      </c>
      <c r="C264" s="8" t="s">
        <v>51</v>
      </c>
      <c r="D264" s="8" t="s">
        <v>36</v>
      </c>
      <c r="E264" s="8" t="s">
        <v>504</v>
      </c>
      <c r="F264" s="8">
        <v>392</v>
      </c>
      <c r="G264" s="8">
        <v>132.08000000000001</v>
      </c>
      <c r="H264" s="10">
        <v>19.68</v>
      </c>
      <c r="I264" s="8">
        <f t="shared" si="16"/>
        <v>1</v>
      </c>
      <c r="J264" s="8" t="str">
        <f t="shared" si="17"/>
        <v>No</v>
      </c>
      <c r="K264" s="5" t="str">
        <f t="shared" si="18"/>
        <v>No</v>
      </c>
      <c r="L264" s="25">
        <f t="shared" si="19"/>
        <v>110.99159663865548</v>
      </c>
    </row>
    <row r="265" spans="1:12">
      <c r="A265" s="9" t="s">
        <v>505</v>
      </c>
      <c r="B265" s="8">
        <v>12</v>
      </c>
      <c r="C265" s="8" t="s">
        <v>35</v>
      </c>
      <c r="D265" s="8" t="s">
        <v>46</v>
      </c>
      <c r="E265" s="8" t="s">
        <v>199</v>
      </c>
      <c r="F265" s="8">
        <v>258</v>
      </c>
      <c r="G265" s="8">
        <v>95.84</v>
      </c>
      <c r="H265" s="10">
        <v>24.4</v>
      </c>
      <c r="I265" s="8">
        <f t="shared" si="16"/>
        <v>1</v>
      </c>
      <c r="J265" s="8" t="str">
        <f t="shared" si="17"/>
        <v>No</v>
      </c>
      <c r="K265" s="5" t="str">
        <f t="shared" si="18"/>
        <v>No</v>
      </c>
      <c r="L265" s="25">
        <f t="shared" si="19"/>
        <v>80.537815126050432</v>
      </c>
    </row>
    <row r="266" spans="1:12">
      <c r="A266" s="9" t="s">
        <v>506</v>
      </c>
      <c r="B266" s="8">
        <v>24</v>
      </c>
      <c r="C266" s="8" t="s">
        <v>35</v>
      </c>
      <c r="D266" s="8" t="s">
        <v>46</v>
      </c>
      <c r="E266" s="8" t="s">
        <v>193</v>
      </c>
      <c r="F266" s="8">
        <v>330</v>
      </c>
      <c r="G266" s="8">
        <v>127.01</v>
      </c>
      <c r="H266" s="10">
        <v>22.72</v>
      </c>
      <c r="I266" s="8">
        <f t="shared" si="16"/>
        <v>1</v>
      </c>
      <c r="J266" s="8" t="str">
        <f t="shared" si="17"/>
        <v>No</v>
      </c>
      <c r="K266" s="5" t="str">
        <f t="shared" si="18"/>
        <v>No</v>
      </c>
      <c r="L266" s="25">
        <f t="shared" si="19"/>
        <v>106.73109243697481</v>
      </c>
    </row>
    <row r="267" spans="1:12">
      <c r="A267" s="9" t="s">
        <v>507</v>
      </c>
      <c r="B267" s="8">
        <v>24</v>
      </c>
      <c r="C267" s="8" t="s">
        <v>35</v>
      </c>
      <c r="D267" s="8" t="s">
        <v>36</v>
      </c>
      <c r="E267" s="8" t="s">
        <v>508</v>
      </c>
      <c r="F267" s="8">
        <v>323</v>
      </c>
      <c r="G267" s="8">
        <v>118.46</v>
      </c>
      <c r="H267" s="10">
        <v>24.82</v>
      </c>
      <c r="I267" s="8">
        <f t="shared" si="16"/>
        <v>1</v>
      </c>
      <c r="J267" s="8" t="str">
        <f t="shared" si="17"/>
        <v>No</v>
      </c>
      <c r="K267" s="5" t="str">
        <f t="shared" si="18"/>
        <v>No</v>
      </c>
      <c r="L267" s="25">
        <f t="shared" si="19"/>
        <v>99.546218487394952</v>
      </c>
    </row>
    <row r="268" spans="1:12">
      <c r="A268" s="9" t="s">
        <v>509</v>
      </c>
      <c r="B268" s="8">
        <v>24</v>
      </c>
      <c r="C268" s="8" t="s">
        <v>39</v>
      </c>
      <c r="D268" s="8" t="s">
        <v>36</v>
      </c>
      <c r="E268" s="8" t="s">
        <v>510</v>
      </c>
      <c r="F268" s="8">
        <v>87</v>
      </c>
      <c r="G268" s="8">
        <v>42.64</v>
      </c>
      <c r="H268" s="10">
        <v>29.82</v>
      </c>
      <c r="I268" s="8">
        <f t="shared" si="16"/>
        <v>1</v>
      </c>
      <c r="J268" s="8" t="str">
        <f t="shared" si="17"/>
        <v>No</v>
      </c>
      <c r="K268" s="5" t="str">
        <f t="shared" si="18"/>
        <v>No</v>
      </c>
      <c r="L268" s="25">
        <f t="shared" si="19"/>
        <v>35.831932773109244</v>
      </c>
    </row>
    <row r="269" spans="1:12">
      <c r="A269" s="9" t="s">
        <v>511</v>
      </c>
      <c r="B269" s="8">
        <v>24</v>
      </c>
      <c r="C269" s="8" t="s">
        <v>39</v>
      </c>
      <c r="D269" s="8" t="s">
        <v>46</v>
      </c>
      <c r="E269" s="8" t="s">
        <v>512</v>
      </c>
      <c r="F269" s="8">
        <v>97</v>
      </c>
      <c r="G269" s="8">
        <v>43.59</v>
      </c>
      <c r="H269" s="10">
        <v>30.67</v>
      </c>
      <c r="I269" s="8">
        <f t="shared" si="16"/>
        <v>1</v>
      </c>
      <c r="J269" s="8" t="str">
        <f t="shared" si="17"/>
        <v>No</v>
      </c>
      <c r="K269" s="5" t="str">
        <f t="shared" si="18"/>
        <v>No</v>
      </c>
      <c r="L269" s="25">
        <f t="shared" si="19"/>
        <v>36.630252100840337</v>
      </c>
    </row>
    <row r="270" spans="1:12">
      <c r="A270" s="9" t="s">
        <v>513</v>
      </c>
      <c r="B270" s="8">
        <v>12</v>
      </c>
      <c r="C270" s="8" t="s">
        <v>35</v>
      </c>
      <c r="D270" s="8" t="s">
        <v>46</v>
      </c>
      <c r="E270" s="8" t="s">
        <v>177</v>
      </c>
      <c r="F270" s="8">
        <v>189</v>
      </c>
      <c r="G270" s="8">
        <v>78.95</v>
      </c>
      <c r="H270" s="10">
        <v>25.35</v>
      </c>
      <c r="I270" s="8">
        <f t="shared" si="16"/>
        <v>1</v>
      </c>
      <c r="J270" s="8" t="str">
        <f t="shared" si="17"/>
        <v>No</v>
      </c>
      <c r="K270" s="5" t="str">
        <f t="shared" si="18"/>
        <v>No</v>
      </c>
      <c r="L270" s="25">
        <f t="shared" si="19"/>
        <v>66.34453781512606</v>
      </c>
    </row>
    <row r="271" spans="1:12">
      <c r="A271" s="9" t="s">
        <v>514</v>
      </c>
      <c r="B271" s="8">
        <v>12</v>
      </c>
      <c r="C271" s="8" t="s">
        <v>39</v>
      </c>
      <c r="D271" s="8" t="s">
        <v>36</v>
      </c>
      <c r="E271" s="8" t="s">
        <v>515</v>
      </c>
      <c r="F271" s="8">
        <v>144</v>
      </c>
      <c r="G271" s="8">
        <v>62.39</v>
      </c>
      <c r="H271" s="10">
        <v>28.68</v>
      </c>
      <c r="I271" s="8">
        <f t="shared" si="16"/>
        <v>1</v>
      </c>
      <c r="J271" s="8" t="str">
        <f t="shared" si="17"/>
        <v>No</v>
      </c>
      <c r="K271" s="5" t="str">
        <f t="shared" si="18"/>
        <v>No</v>
      </c>
      <c r="L271" s="25">
        <f t="shared" si="19"/>
        <v>52.428571428571431</v>
      </c>
    </row>
    <row r="272" spans="1:12">
      <c r="A272" s="9" t="s">
        <v>516</v>
      </c>
      <c r="B272" s="8">
        <v>24</v>
      </c>
      <c r="C272" s="8" t="s">
        <v>39</v>
      </c>
      <c r="D272" s="8" t="s">
        <v>46</v>
      </c>
      <c r="E272" s="8" t="s">
        <v>517</v>
      </c>
      <c r="F272" s="8">
        <v>152</v>
      </c>
      <c r="G272" s="8">
        <v>66.22</v>
      </c>
      <c r="H272" s="10">
        <v>28.08</v>
      </c>
      <c r="I272" s="8">
        <f t="shared" si="16"/>
        <v>1</v>
      </c>
      <c r="J272" s="8" t="str">
        <f t="shared" si="17"/>
        <v>No</v>
      </c>
      <c r="K272" s="5" t="str">
        <f t="shared" si="18"/>
        <v>No</v>
      </c>
      <c r="L272" s="25">
        <f t="shared" si="19"/>
        <v>55.647058823529413</v>
      </c>
    </row>
    <row r="273" spans="1:12">
      <c r="A273" s="9" t="s">
        <v>518</v>
      </c>
      <c r="B273" s="8">
        <v>24</v>
      </c>
      <c r="C273" s="8" t="s">
        <v>39</v>
      </c>
      <c r="D273" s="8" t="s">
        <v>36</v>
      </c>
      <c r="E273" s="8" t="s">
        <v>195</v>
      </c>
      <c r="F273" s="8">
        <v>101</v>
      </c>
      <c r="G273" s="8">
        <v>50.1</v>
      </c>
      <c r="H273" s="10">
        <v>31.12</v>
      </c>
      <c r="I273" s="8">
        <f t="shared" si="16"/>
        <v>1</v>
      </c>
      <c r="J273" s="8" t="str">
        <f t="shared" si="17"/>
        <v>No</v>
      </c>
      <c r="K273" s="5" t="str">
        <f t="shared" si="18"/>
        <v>No</v>
      </c>
      <c r="L273" s="25">
        <f t="shared" si="19"/>
        <v>42.100840336134453</v>
      </c>
    </row>
    <row r="274" spans="1:12">
      <c r="A274" s="9" t="s">
        <v>519</v>
      </c>
      <c r="B274" s="8">
        <v>24</v>
      </c>
      <c r="C274" s="8" t="s">
        <v>39</v>
      </c>
      <c r="D274" s="8" t="s">
        <v>46</v>
      </c>
      <c r="E274" s="8" t="s">
        <v>520</v>
      </c>
      <c r="F274" s="8">
        <v>126</v>
      </c>
      <c r="G274" s="8">
        <v>54.32</v>
      </c>
      <c r="H274" s="10">
        <v>30.44</v>
      </c>
      <c r="I274" s="8">
        <f t="shared" si="16"/>
        <v>1</v>
      </c>
      <c r="J274" s="8" t="str">
        <f t="shared" si="17"/>
        <v>No</v>
      </c>
      <c r="K274" s="5" t="str">
        <f t="shared" si="18"/>
        <v>No</v>
      </c>
      <c r="L274" s="25">
        <f t="shared" si="19"/>
        <v>45.647058823529413</v>
      </c>
    </row>
    <row r="275" spans="1:12">
      <c r="A275" s="9" t="s">
        <v>521</v>
      </c>
      <c r="B275" s="8">
        <v>24</v>
      </c>
      <c r="C275" s="8" t="s">
        <v>39</v>
      </c>
      <c r="D275" s="8" t="s">
        <v>36</v>
      </c>
      <c r="E275" s="8" t="s">
        <v>522</v>
      </c>
      <c r="F275" s="8">
        <v>154</v>
      </c>
      <c r="G275" s="8">
        <v>63.72</v>
      </c>
      <c r="H275" s="10">
        <v>30.8</v>
      </c>
      <c r="I275" s="8">
        <f t="shared" si="16"/>
        <v>1</v>
      </c>
      <c r="J275" s="8" t="str">
        <f t="shared" si="17"/>
        <v>No</v>
      </c>
      <c r="K275" s="5" t="str">
        <f t="shared" si="18"/>
        <v>No</v>
      </c>
      <c r="L275" s="25">
        <f t="shared" si="19"/>
        <v>53.54621848739496</v>
      </c>
    </row>
    <row r="276" spans="1:12">
      <c r="A276" s="9" t="s">
        <v>523</v>
      </c>
      <c r="B276" s="8">
        <v>12</v>
      </c>
      <c r="C276" s="8" t="s">
        <v>51</v>
      </c>
      <c r="D276" s="8" t="s">
        <v>56</v>
      </c>
      <c r="E276" s="8" t="s">
        <v>436</v>
      </c>
      <c r="F276" s="8">
        <v>578</v>
      </c>
      <c r="G276" s="8">
        <v>195.05</v>
      </c>
      <c r="H276" s="10">
        <v>20.69</v>
      </c>
      <c r="I276" s="8">
        <f t="shared" si="16"/>
        <v>1</v>
      </c>
      <c r="J276" s="8" t="str">
        <f t="shared" si="17"/>
        <v>No</v>
      </c>
      <c r="K276" s="5" t="str">
        <f t="shared" si="18"/>
        <v>No</v>
      </c>
      <c r="L276" s="25">
        <f t="shared" si="19"/>
        <v>163.9075630252101</v>
      </c>
    </row>
    <row r="277" spans="1:12">
      <c r="A277" s="9" t="s">
        <v>524</v>
      </c>
      <c r="B277" s="8">
        <v>12</v>
      </c>
      <c r="C277" s="8" t="s">
        <v>35</v>
      </c>
      <c r="D277" s="8" t="s">
        <v>36</v>
      </c>
      <c r="E277" s="8" t="s">
        <v>525</v>
      </c>
      <c r="F277" s="8">
        <v>257</v>
      </c>
      <c r="G277" s="8">
        <v>98.38</v>
      </c>
      <c r="H277" s="10">
        <v>25.21</v>
      </c>
      <c r="I277" s="8">
        <f t="shared" si="16"/>
        <v>1</v>
      </c>
      <c r="J277" s="8" t="str">
        <f t="shared" si="17"/>
        <v>No</v>
      </c>
      <c r="K277" s="5" t="str">
        <f t="shared" si="18"/>
        <v>No</v>
      </c>
      <c r="L277" s="25">
        <f t="shared" si="19"/>
        <v>82.672268907563023</v>
      </c>
    </row>
    <row r="278" spans="1:12">
      <c r="A278" s="9" t="s">
        <v>526</v>
      </c>
      <c r="B278" s="8">
        <v>24</v>
      </c>
      <c r="C278" s="8" t="s">
        <v>35</v>
      </c>
      <c r="D278" s="8" t="s">
        <v>36</v>
      </c>
      <c r="E278" s="8" t="s">
        <v>199</v>
      </c>
      <c r="F278" s="8">
        <v>265</v>
      </c>
      <c r="G278" s="8">
        <v>101.38</v>
      </c>
      <c r="H278" s="10">
        <v>25.84</v>
      </c>
      <c r="I278" s="8">
        <f t="shared" si="16"/>
        <v>1</v>
      </c>
      <c r="J278" s="8" t="str">
        <f t="shared" si="17"/>
        <v>No</v>
      </c>
      <c r="K278" s="5" t="str">
        <f t="shared" si="18"/>
        <v>No</v>
      </c>
      <c r="L278" s="25">
        <f t="shared" si="19"/>
        <v>85.193277310924373</v>
      </c>
    </row>
    <row r="279" spans="1:12">
      <c r="A279" s="9" t="s">
        <v>527</v>
      </c>
      <c r="B279" s="8">
        <v>24</v>
      </c>
      <c r="C279" s="8" t="s">
        <v>35</v>
      </c>
      <c r="D279" s="8" t="s">
        <v>36</v>
      </c>
      <c r="E279" s="8" t="s">
        <v>367</v>
      </c>
      <c r="F279" s="8">
        <v>251</v>
      </c>
      <c r="G279" s="8">
        <v>94.45</v>
      </c>
      <c r="H279" s="10">
        <v>24.14</v>
      </c>
      <c r="I279" s="8">
        <f t="shared" si="16"/>
        <v>1</v>
      </c>
      <c r="J279" s="8" t="str">
        <f t="shared" si="17"/>
        <v>No</v>
      </c>
      <c r="K279" s="5" t="str">
        <f t="shared" si="18"/>
        <v>No</v>
      </c>
      <c r="L279" s="25">
        <f t="shared" si="19"/>
        <v>79.369747899159677</v>
      </c>
    </row>
    <row r="280" spans="1:12">
      <c r="A280" s="9" t="s">
        <v>528</v>
      </c>
      <c r="B280" s="8">
        <v>24</v>
      </c>
      <c r="C280" s="8" t="s">
        <v>39</v>
      </c>
      <c r="D280" s="8" t="s">
        <v>36</v>
      </c>
      <c r="E280" s="8" t="s">
        <v>529</v>
      </c>
      <c r="F280" s="8">
        <v>108</v>
      </c>
      <c r="G280" s="8">
        <v>48.29</v>
      </c>
      <c r="H280" s="10">
        <v>29.95</v>
      </c>
      <c r="I280" s="8">
        <f t="shared" si="16"/>
        <v>1</v>
      </c>
      <c r="J280" s="8" t="str">
        <f t="shared" si="17"/>
        <v>No</v>
      </c>
      <c r="K280" s="5" t="str">
        <f t="shared" si="18"/>
        <v>No</v>
      </c>
      <c r="L280" s="25">
        <f t="shared" si="19"/>
        <v>40.579831932773111</v>
      </c>
    </row>
    <row r="281" spans="1:12">
      <c r="A281" s="9" t="s">
        <v>530</v>
      </c>
      <c r="B281" s="8">
        <v>24</v>
      </c>
      <c r="C281" s="8" t="s">
        <v>51</v>
      </c>
      <c r="D281" s="8" t="s">
        <v>36</v>
      </c>
      <c r="E281" s="8" t="s">
        <v>300</v>
      </c>
      <c r="F281" s="8">
        <v>522</v>
      </c>
      <c r="G281" s="8">
        <v>174.1</v>
      </c>
      <c r="H281" s="10">
        <v>18.510000000000002</v>
      </c>
      <c r="I281" s="8">
        <f t="shared" si="16"/>
        <v>1</v>
      </c>
      <c r="J281" s="8" t="str">
        <f t="shared" si="17"/>
        <v>No</v>
      </c>
      <c r="K281" s="5" t="str">
        <f t="shared" si="18"/>
        <v>No</v>
      </c>
      <c r="L281" s="25">
        <f t="shared" si="19"/>
        <v>146.30252100840337</v>
      </c>
    </row>
    <row r="282" spans="1:12">
      <c r="A282" s="9" t="s">
        <v>531</v>
      </c>
      <c r="B282" s="8">
        <v>24</v>
      </c>
      <c r="C282" s="8" t="s">
        <v>51</v>
      </c>
      <c r="D282" s="8" t="s">
        <v>36</v>
      </c>
      <c r="E282" s="8" t="s">
        <v>44</v>
      </c>
      <c r="F282" s="8">
        <v>563</v>
      </c>
      <c r="G282" s="8">
        <v>180.68</v>
      </c>
      <c r="H282" s="10">
        <v>17.27</v>
      </c>
      <c r="I282" s="8">
        <f t="shared" si="16"/>
        <v>1</v>
      </c>
      <c r="J282" s="8" t="str">
        <f t="shared" si="17"/>
        <v>No</v>
      </c>
      <c r="K282" s="5" t="str">
        <f t="shared" si="18"/>
        <v>No</v>
      </c>
      <c r="L282" s="25">
        <f t="shared" si="19"/>
        <v>151.83193277310926</v>
      </c>
    </row>
    <row r="283" spans="1:12">
      <c r="A283" s="9" t="s">
        <v>532</v>
      </c>
      <c r="B283" s="8">
        <v>12</v>
      </c>
      <c r="C283" s="8" t="s">
        <v>39</v>
      </c>
      <c r="D283" s="8" t="s">
        <v>56</v>
      </c>
      <c r="E283" s="8" t="s">
        <v>533</v>
      </c>
      <c r="F283" s="8">
        <v>156</v>
      </c>
      <c r="G283" s="8">
        <v>66.23</v>
      </c>
      <c r="H283" s="10">
        <v>30.29</v>
      </c>
      <c r="I283" s="8">
        <f t="shared" si="16"/>
        <v>1</v>
      </c>
      <c r="J283" s="8" t="str">
        <f t="shared" si="17"/>
        <v>No</v>
      </c>
      <c r="K283" s="5" t="str">
        <f t="shared" si="18"/>
        <v>No</v>
      </c>
      <c r="L283" s="25">
        <f t="shared" si="19"/>
        <v>55.655462184873954</v>
      </c>
    </row>
    <row r="284" spans="1:12">
      <c r="A284" s="9" t="s">
        <v>534</v>
      </c>
      <c r="B284" s="8">
        <v>12</v>
      </c>
      <c r="C284" s="8" t="s">
        <v>35</v>
      </c>
      <c r="D284" s="8" t="s">
        <v>36</v>
      </c>
      <c r="E284" s="8" t="s">
        <v>535</v>
      </c>
      <c r="F284" s="8">
        <v>273</v>
      </c>
      <c r="G284" s="8">
        <v>101.51</v>
      </c>
      <c r="H284" s="10">
        <v>23.11</v>
      </c>
      <c r="I284" s="8">
        <f t="shared" si="16"/>
        <v>1</v>
      </c>
      <c r="J284" s="8" t="str">
        <f t="shared" si="17"/>
        <v>No</v>
      </c>
      <c r="K284" s="5" t="str">
        <f t="shared" si="18"/>
        <v>No</v>
      </c>
      <c r="L284" s="25">
        <f t="shared" si="19"/>
        <v>85.302521008403374</v>
      </c>
    </row>
    <row r="285" spans="1:12">
      <c r="A285" s="9" t="s">
        <v>536</v>
      </c>
      <c r="B285" s="8">
        <v>12</v>
      </c>
      <c r="C285" s="8" t="s">
        <v>51</v>
      </c>
      <c r="D285" s="8" t="s">
        <v>36</v>
      </c>
      <c r="E285" s="8" t="s">
        <v>537</v>
      </c>
      <c r="F285" s="8">
        <v>587</v>
      </c>
      <c r="G285" s="8">
        <v>183.12</v>
      </c>
      <c r="H285" s="10">
        <v>23.11</v>
      </c>
      <c r="I285" s="8">
        <f t="shared" si="16"/>
        <v>1</v>
      </c>
      <c r="J285" s="8" t="str">
        <f t="shared" si="17"/>
        <v>No</v>
      </c>
      <c r="K285" s="5" t="str">
        <f t="shared" si="18"/>
        <v>No</v>
      </c>
      <c r="L285" s="25">
        <f t="shared" si="19"/>
        <v>153.88235294117649</v>
      </c>
    </row>
    <row r="286" spans="1:12">
      <c r="A286" s="9" t="s">
        <v>538</v>
      </c>
      <c r="B286" s="8">
        <v>24</v>
      </c>
      <c r="C286" s="8" t="s">
        <v>51</v>
      </c>
      <c r="D286" s="8" t="s">
        <v>36</v>
      </c>
      <c r="E286" s="8" t="s">
        <v>539</v>
      </c>
      <c r="F286" s="8">
        <v>386</v>
      </c>
      <c r="G286" s="8">
        <v>133.07</v>
      </c>
      <c r="H286" s="10">
        <v>19.420000000000002</v>
      </c>
      <c r="I286" s="8">
        <f t="shared" si="16"/>
        <v>1</v>
      </c>
      <c r="J286" s="8" t="str">
        <f t="shared" si="17"/>
        <v>No</v>
      </c>
      <c r="K286" s="5" t="str">
        <f t="shared" si="18"/>
        <v>No</v>
      </c>
      <c r="L286" s="25">
        <f t="shared" si="19"/>
        <v>111.82352941176471</v>
      </c>
    </row>
    <row r="287" spans="1:12">
      <c r="A287" s="9" t="s">
        <v>540</v>
      </c>
      <c r="B287" s="8">
        <v>12</v>
      </c>
      <c r="C287" s="8" t="s">
        <v>35</v>
      </c>
      <c r="D287" s="8" t="s">
        <v>36</v>
      </c>
      <c r="E287" s="8" t="s">
        <v>541</v>
      </c>
      <c r="F287" s="8">
        <v>244</v>
      </c>
      <c r="G287" s="8">
        <v>93.93</v>
      </c>
      <c r="H287" s="10">
        <v>24.37</v>
      </c>
      <c r="I287" s="8">
        <f t="shared" si="16"/>
        <v>1</v>
      </c>
      <c r="J287" s="8" t="str">
        <f t="shared" si="17"/>
        <v>No</v>
      </c>
      <c r="K287" s="5" t="str">
        <f t="shared" si="18"/>
        <v>No</v>
      </c>
      <c r="L287" s="25">
        <f t="shared" si="19"/>
        <v>78.932773109243712</v>
      </c>
    </row>
    <row r="288" spans="1:12">
      <c r="A288" s="9" t="s">
        <v>542</v>
      </c>
      <c r="B288" s="8">
        <v>12</v>
      </c>
      <c r="C288" s="8" t="s">
        <v>35</v>
      </c>
      <c r="D288" s="8" t="s">
        <v>36</v>
      </c>
      <c r="E288" s="8" t="s">
        <v>236</v>
      </c>
      <c r="F288" s="8">
        <v>168</v>
      </c>
      <c r="G288" s="8">
        <v>71.56</v>
      </c>
      <c r="H288" s="10">
        <v>23.42</v>
      </c>
      <c r="I288" s="8">
        <f t="shared" si="16"/>
        <v>1</v>
      </c>
      <c r="J288" s="8" t="str">
        <f t="shared" si="17"/>
        <v>No</v>
      </c>
      <c r="K288" s="5" t="str">
        <f t="shared" si="18"/>
        <v>No</v>
      </c>
      <c r="L288" s="25">
        <f t="shared" si="19"/>
        <v>60.134453781512612</v>
      </c>
    </row>
    <row r="289" spans="1:12">
      <c r="A289" s="9" t="s">
        <v>543</v>
      </c>
      <c r="B289" s="8">
        <v>12</v>
      </c>
      <c r="C289" s="8" t="s">
        <v>39</v>
      </c>
      <c r="D289" s="8" t="s">
        <v>36</v>
      </c>
      <c r="E289" s="8" t="s">
        <v>544</v>
      </c>
      <c r="F289" s="8">
        <v>104</v>
      </c>
      <c r="G289" s="8">
        <v>46.51</v>
      </c>
      <c r="H289" s="10">
        <v>28.21</v>
      </c>
      <c r="I289" s="8">
        <f t="shared" si="16"/>
        <v>1</v>
      </c>
      <c r="J289" s="8" t="str">
        <f t="shared" si="17"/>
        <v>No</v>
      </c>
      <c r="K289" s="5" t="str">
        <f t="shared" si="18"/>
        <v>No</v>
      </c>
      <c r="L289" s="25">
        <f t="shared" si="19"/>
        <v>39.084033613445378</v>
      </c>
    </row>
    <row r="290" spans="1:12">
      <c r="A290" s="9" t="s">
        <v>545</v>
      </c>
      <c r="B290" s="8">
        <v>12</v>
      </c>
      <c r="C290" s="8" t="s">
        <v>51</v>
      </c>
      <c r="D290" s="8" t="s">
        <v>36</v>
      </c>
      <c r="E290" s="8" t="s">
        <v>546</v>
      </c>
      <c r="F290" s="8">
        <v>576</v>
      </c>
      <c r="G290" s="8">
        <v>187.21</v>
      </c>
      <c r="H290" s="10">
        <v>16.66</v>
      </c>
      <c r="I290" s="8">
        <f t="shared" si="16"/>
        <v>1</v>
      </c>
      <c r="J290" s="8" t="str">
        <f t="shared" si="17"/>
        <v>No</v>
      </c>
      <c r="K290" s="5" t="str">
        <f t="shared" si="18"/>
        <v>No</v>
      </c>
      <c r="L290" s="25">
        <f t="shared" si="19"/>
        <v>157.31932773109244</v>
      </c>
    </row>
    <row r="291" spans="1:12">
      <c r="A291" s="9" t="s">
        <v>547</v>
      </c>
      <c r="B291" s="8">
        <v>24</v>
      </c>
      <c r="C291" s="8" t="s">
        <v>39</v>
      </c>
      <c r="D291" s="8" t="s">
        <v>36</v>
      </c>
      <c r="E291" s="8" t="s">
        <v>548</v>
      </c>
      <c r="F291" s="8">
        <v>166</v>
      </c>
      <c r="G291" s="8">
        <v>70.27</v>
      </c>
      <c r="H291" s="10">
        <v>29.69</v>
      </c>
      <c r="I291" s="8">
        <f t="shared" si="16"/>
        <v>1</v>
      </c>
      <c r="J291" s="8" t="str">
        <f t="shared" si="17"/>
        <v>No</v>
      </c>
      <c r="K291" s="5" t="str">
        <f t="shared" si="18"/>
        <v>No</v>
      </c>
      <c r="L291" s="25">
        <f t="shared" si="19"/>
        <v>59.050420168067227</v>
      </c>
    </row>
    <row r="292" spans="1:12">
      <c r="A292" s="9" t="s">
        <v>549</v>
      </c>
      <c r="B292" s="8">
        <v>12</v>
      </c>
      <c r="C292" s="8" t="s">
        <v>51</v>
      </c>
      <c r="D292" s="8" t="s">
        <v>36</v>
      </c>
      <c r="E292" s="8" t="s">
        <v>550</v>
      </c>
      <c r="F292" s="8">
        <v>366</v>
      </c>
      <c r="G292" s="8">
        <v>123.49</v>
      </c>
      <c r="H292" s="10">
        <v>16.920000000000002</v>
      </c>
      <c r="I292" s="8">
        <f t="shared" si="16"/>
        <v>1</v>
      </c>
      <c r="J292" s="8" t="str">
        <f t="shared" si="17"/>
        <v>No</v>
      </c>
      <c r="K292" s="5" t="str">
        <f t="shared" si="18"/>
        <v>No</v>
      </c>
      <c r="L292" s="25">
        <f t="shared" si="19"/>
        <v>103.77310924369748</v>
      </c>
    </row>
    <row r="293" spans="1:12">
      <c r="A293" s="9" t="s">
        <v>551</v>
      </c>
      <c r="B293" s="8">
        <v>12</v>
      </c>
      <c r="C293" s="8" t="s">
        <v>35</v>
      </c>
      <c r="D293" s="8" t="s">
        <v>46</v>
      </c>
      <c r="E293" s="8" t="s">
        <v>108</v>
      </c>
      <c r="F293" s="8">
        <v>234</v>
      </c>
      <c r="G293" s="8">
        <v>84.1</v>
      </c>
      <c r="H293" s="10">
        <v>24.43</v>
      </c>
      <c r="I293" s="8">
        <f t="shared" si="16"/>
        <v>1</v>
      </c>
      <c r="J293" s="8" t="str">
        <f t="shared" si="17"/>
        <v>No</v>
      </c>
      <c r="K293" s="5" t="str">
        <f t="shared" si="18"/>
        <v>No</v>
      </c>
      <c r="L293" s="25">
        <f t="shared" si="19"/>
        <v>70.672268907563023</v>
      </c>
    </row>
    <row r="294" spans="1:12">
      <c r="A294" s="9" t="s">
        <v>552</v>
      </c>
      <c r="B294" s="8">
        <v>24</v>
      </c>
      <c r="C294" s="8" t="s">
        <v>35</v>
      </c>
      <c r="D294" s="8" t="s">
        <v>36</v>
      </c>
      <c r="E294" s="8" t="s">
        <v>553</v>
      </c>
      <c r="F294" s="8">
        <v>300</v>
      </c>
      <c r="G294" s="8">
        <v>115.89</v>
      </c>
      <c r="H294" s="10">
        <v>25.52</v>
      </c>
      <c r="I294" s="8">
        <f t="shared" si="16"/>
        <v>1</v>
      </c>
      <c r="J294" s="8" t="str">
        <f t="shared" si="17"/>
        <v>No</v>
      </c>
      <c r="K294" s="5" t="str">
        <f t="shared" si="18"/>
        <v>No</v>
      </c>
      <c r="L294" s="25">
        <f t="shared" si="19"/>
        <v>97.386554621848745</v>
      </c>
    </row>
    <row r="295" spans="1:12">
      <c r="A295" s="9" t="s">
        <v>554</v>
      </c>
      <c r="B295" s="8">
        <v>12</v>
      </c>
      <c r="C295" s="8" t="s">
        <v>35</v>
      </c>
      <c r="D295" s="8" t="s">
        <v>36</v>
      </c>
      <c r="E295" s="8" t="s">
        <v>555</v>
      </c>
      <c r="F295" s="8">
        <v>201</v>
      </c>
      <c r="G295" s="8">
        <v>79.94</v>
      </c>
      <c r="H295" s="10">
        <v>25.53</v>
      </c>
      <c r="I295" s="8">
        <f t="shared" si="16"/>
        <v>1</v>
      </c>
      <c r="J295" s="8" t="str">
        <f t="shared" si="17"/>
        <v>No</v>
      </c>
      <c r="K295" s="5" t="str">
        <f t="shared" si="18"/>
        <v>No</v>
      </c>
      <c r="L295" s="25">
        <f t="shared" si="19"/>
        <v>67.17647058823529</v>
      </c>
    </row>
    <row r="296" spans="1:12">
      <c r="A296" s="9" t="s">
        <v>556</v>
      </c>
      <c r="B296" s="8">
        <v>12</v>
      </c>
      <c r="C296" s="8" t="s">
        <v>39</v>
      </c>
      <c r="D296" s="8" t="s">
        <v>56</v>
      </c>
      <c r="E296" s="8" t="s">
        <v>91</v>
      </c>
      <c r="F296" s="8">
        <v>130</v>
      </c>
      <c r="G296" s="8">
        <v>54.75</v>
      </c>
      <c r="H296" s="10">
        <v>32.64</v>
      </c>
      <c r="I296" s="8">
        <f t="shared" si="16"/>
        <v>1</v>
      </c>
      <c r="J296" s="8" t="str">
        <f t="shared" si="17"/>
        <v>No</v>
      </c>
      <c r="K296" s="5" t="str">
        <f t="shared" si="18"/>
        <v>No</v>
      </c>
      <c r="L296" s="25">
        <f t="shared" si="19"/>
        <v>46.008403361344541</v>
      </c>
    </row>
    <row r="297" spans="1:12">
      <c r="A297" s="9" t="s">
        <v>557</v>
      </c>
      <c r="B297" s="8">
        <v>12</v>
      </c>
      <c r="C297" s="8" t="s">
        <v>39</v>
      </c>
      <c r="D297" s="8" t="s">
        <v>36</v>
      </c>
      <c r="E297" s="8" t="s">
        <v>558</v>
      </c>
      <c r="F297" s="8">
        <v>145</v>
      </c>
      <c r="G297" s="8">
        <v>61.31</v>
      </c>
      <c r="H297" s="10">
        <v>28.84</v>
      </c>
      <c r="I297" s="8">
        <f t="shared" si="16"/>
        <v>1</v>
      </c>
      <c r="J297" s="8" t="str">
        <f t="shared" si="17"/>
        <v>No</v>
      </c>
      <c r="K297" s="5" t="str">
        <f t="shared" si="18"/>
        <v>No</v>
      </c>
      <c r="L297" s="25">
        <f t="shared" si="19"/>
        <v>51.52100840336135</v>
      </c>
    </row>
    <row r="298" spans="1:12">
      <c r="A298" s="9" t="s">
        <v>559</v>
      </c>
      <c r="B298" s="8">
        <v>24</v>
      </c>
      <c r="C298" s="8" t="s">
        <v>39</v>
      </c>
      <c r="D298" s="8" t="s">
        <v>46</v>
      </c>
      <c r="E298" s="8" t="s">
        <v>560</v>
      </c>
      <c r="F298" s="8">
        <v>135</v>
      </c>
      <c r="G298" s="8">
        <v>59.11</v>
      </c>
      <c r="H298" s="10">
        <v>31.45</v>
      </c>
      <c r="I298" s="8">
        <f t="shared" si="16"/>
        <v>1</v>
      </c>
      <c r="J298" s="8" t="str">
        <f t="shared" si="17"/>
        <v>No</v>
      </c>
      <c r="K298" s="5" t="str">
        <f t="shared" si="18"/>
        <v>No</v>
      </c>
      <c r="L298" s="25">
        <f t="shared" si="19"/>
        <v>49.67226890756303</v>
      </c>
    </row>
    <row r="299" spans="1:12">
      <c r="A299" s="9" t="s">
        <v>561</v>
      </c>
      <c r="B299" s="8">
        <v>12</v>
      </c>
      <c r="C299" s="8" t="s">
        <v>39</v>
      </c>
      <c r="D299" s="8" t="s">
        <v>36</v>
      </c>
      <c r="E299" s="8" t="s">
        <v>562</v>
      </c>
      <c r="F299" s="8">
        <v>99</v>
      </c>
      <c r="G299" s="8">
        <v>44.22</v>
      </c>
      <c r="H299" s="10">
        <v>31.54</v>
      </c>
      <c r="I299" s="8">
        <f t="shared" si="16"/>
        <v>1</v>
      </c>
      <c r="J299" s="8" t="str">
        <f t="shared" si="17"/>
        <v>No</v>
      </c>
      <c r="K299" s="5" t="str">
        <f t="shared" si="18"/>
        <v>No</v>
      </c>
      <c r="L299" s="25">
        <f t="shared" si="19"/>
        <v>37.159663865546221</v>
      </c>
    </row>
    <row r="300" spans="1:12">
      <c r="A300" s="9" t="s">
        <v>563</v>
      </c>
      <c r="B300" s="8">
        <v>24</v>
      </c>
      <c r="C300" s="8" t="s">
        <v>51</v>
      </c>
      <c r="D300" s="8" t="s">
        <v>46</v>
      </c>
      <c r="E300" s="8" t="s">
        <v>564</v>
      </c>
      <c r="F300" s="8">
        <v>452</v>
      </c>
      <c r="G300" s="8">
        <v>152.9</v>
      </c>
      <c r="H300" s="10">
        <v>17.48</v>
      </c>
      <c r="I300" s="8">
        <f t="shared" si="16"/>
        <v>1</v>
      </c>
      <c r="J300" s="8" t="str">
        <f t="shared" si="17"/>
        <v>No</v>
      </c>
      <c r="K300" s="5" t="str">
        <f t="shared" si="18"/>
        <v>No</v>
      </c>
      <c r="L300" s="25">
        <f t="shared" si="19"/>
        <v>128.48739495798321</v>
      </c>
    </row>
    <row r="301" spans="1:12">
      <c r="A301" s="9" t="s">
        <v>565</v>
      </c>
      <c r="B301" s="8">
        <v>12</v>
      </c>
      <c r="C301" s="8" t="s">
        <v>35</v>
      </c>
      <c r="D301" s="8" t="s">
        <v>46</v>
      </c>
      <c r="E301" s="8" t="s">
        <v>566</v>
      </c>
      <c r="F301" s="8">
        <v>297</v>
      </c>
      <c r="G301" s="8">
        <v>109.73</v>
      </c>
      <c r="H301" s="10">
        <v>24.95</v>
      </c>
      <c r="I301" s="8">
        <f t="shared" si="16"/>
        <v>1</v>
      </c>
      <c r="J301" s="8" t="str">
        <f t="shared" si="17"/>
        <v>No</v>
      </c>
      <c r="K301" s="5" t="str">
        <f t="shared" si="18"/>
        <v>No</v>
      </c>
      <c r="L301" s="25">
        <f t="shared" si="19"/>
        <v>92.210084033613455</v>
      </c>
    </row>
    <row r="302" spans="1:12">
      <c r="A302" s="9" t="s">
        <v>567</v>
      </c>
      <c r="B302" s="8">
        <v>12</v>
      </c>
      <c r="C302" s="8" t="s">
        <v>39</v>
      </c>
      <c r="D302" s="8" t="s">
        <v>36</v>
      </c>
      <c r="E302" s="8" t="s">
        <v>108</v>
      </c>
      <c r="F302" s="8">
        <v>130</v>
      </c>
      <c r="G302" s="8">
        <v>55.21</v>
      </c>
      <c r="H302" s="10">
        <v>29.15</v>
      </c>
      <c r="I302" s="8">
        <f t="shared" si="16"/>
        <v>1</v>
      </c>
      <c r="J302" s="8" t="str">
        <f t="shared" si="17"/>
        <v>No</v>
      </c>
      <c r="K302" s="5" t="str">
        <f t="shared" si="18"/>
        <v>No</v>
      </c>
      <c r="L302" s="25">
        <f t="shared" si="19"/>
        <v>46.394957983193279</v>
      </c>
    </row>
    <row r="303" spans="1:12">
      <c r="A303" s="9" t="s">
        <v>568</v>
      </c>
      <c r="B303" s="8">
        <v>12</v>
      </c>
      <c r="C303" s="8" t="s">
        <v>51</v>
      </c>
      <c r="D303" s="8" t="s">
        <v>56</v>
      </c>
      <c r="E303" s="8" t="s">
        <v>69</v>
      </c>
      <c r="F303" s="8">
        <v>335</v>
      </c>
      <c r="G303" s="8">
        <v>121.08</v>
      </c>
      <c r="H303" s="10">
        <v>20.51</v>
      </c>
      <c r="I303" s="8">
        <f t="shared" si="16"/>
        <v>1</v>
      </c>
      <c r="J303" s="8" t="str">
        <f t="shared" si="17"/>
        <v>No</v>
      </c>
      <c r="K303" s="5" t="str">
        <f t="shared" si="18"/>
        <v>No</v>
      </c>
      <c r="L303" s="25">
        <f t="shared" si="19"/>
        <v>101.74789915966387</v>
      </c>
    </row>
    <row r="304" spans="1:12">
      <c r="A304" s="9" t="s">
        <v>569</v>
      </c>
      <c r="B304" s="8">
        <v>12</v>
      </c>
      <c r="C304" s="8" t="s">
        <v>51</v>
      </c>
      <c r="D304" s="8" t="s">
        <v>36</v>
      </c>
      <c r="E304" s="8" t="s">
        <v>281</v>
      </c>
      <c r="F304" s="8">
        <v>587</v>
      </c>
      <c r="G304" s="8">
        <v>199.29</v>
      </c>
      <c r="H304" s="10">
        <v>23.49</v>
      </c>
      <c r="I304" s="8">
        <f t="shared" si="16"/>
        <v>1</v>
      </c>
      <c r="J304" s="8" t="str">
        <f t="shared" si="17"/>
        <v>No</v>
      </c>
      <c r="K304" s="5" t="str">
        <f t="shared" si="18"/>
        <v>No</v>
      </c>
      <c r="L304" s="25">
        <f t="shared" si="19"/>
        <v>167.47058823529412</v>
      </c>
    </row>
    <row r="305" spans="1:12">
      <c r="A305" s="9" t="s">
        <v>570</v>
      </c>
      <c r="B305" s="8">
        <v>24</v>
      </c>
      <c r="C305" s="8" t="s">
        <v>51</v>
      </c>
      <c r="D305" s="8" t="s">
        <v>36</v>
      </c>
      <c r="E305" s="8" t="s">
        <v>238</v>
      </c>
      <c r="F305" s="8">
        <v>345</v>
      </c>
      <c r="G305" s="8">
        <v>120.9</v>
      </c>
      <c r="H305" s="10">
        <v>16.649999999999999</v>
      </c>
      <c r="I305" s="8">
        <f t="shared" si="16"/>
        <v>1</v>
      </c>
      <c r="J305" s="8" t="str">
        <f t="shared" si="17"/>
        <v>No</v>
      </c>
      <c r="K305" s="5" t="str">
        <f t="shared" si="18"/>
        <v>No</v>
      </c>
      <c r="L305" s="25">
        <f t="shared" si="19"/>
        <v>101.5966386554622</v>
      </c>
    </row>
    <row r="306" spans="1:12">
      <c r="A306" s="9" t="s">
        <v>571</v>
      </c>
      <c r="B306" s="8">
        <v>24</v>
      </c>
      <c r="C306" s="8" t="s">
        <v>51</v>
      </c>
      <c r="D306" s="8" t="s">
        <v>46</v>
      </c>
      <c r="E306" s="8" t="s">
        <v>572</v>
      </c>
      <c r="F306" s="8">
        <v>-15</v>
      </c>
      <c r="G306" s="8">
        <v>201.44</v>
      </c>
      <c r="H306" s="10">
        <v>22.49</v>
      </c>
      <c r="I306" s="8">
        <f t="shared" si="16"/>
        <v>1</v>
      </c>
      <c r="J306" s="8" t="str">
        <f t="shared" si="17"/>
        <v>No</v>
      </c>
      <c r="K306" s="5" t="str">
        <f t="shared" si="18"/>
        <v>Yes</v>
      </c>
      <c r="L306" s="25">
        <f t="shared" si="19"/>
        <v>169.27731092436974</v>
      </c>
    </row>
    <row r="307" spans="1:12">
      <c r="A307" s="9" t="s">
        <v>573</v>
      </c>
      <c r="B307" s="8">
        <v>24</v>
      </c>
      <c r="C307" s="8" t="s">
        <v>39</v>
      </c>
      <c r="D307" s="8" t="s">
        <v>56</v>
      </c>
      <c r="E307" s="8" t="s">
        <v>574</v>
      </c>
      <c r="F307" s="8">
        <v>100</v>
      </c>
      <c r="G307" s="8">
        <v>43.64</v>
      </c>
      <c r="H307" s="10">
        <v>30.49</v>
      </c>
      <c r="I307" s="8">
        <f t="shared" si="16"/>
        <v>1</v>
      </c>
      <c r="J307" s="8" t="str">
        <f t="shared" si="17"/>
        <v>No</v>
      </c>
      <c r="K307" s="5" t="str">
        <f t="shared" si="18"/>
        <v>No</v>
      </c>
      <c r="L307" s="25">
        <f t="shared" si="19"/>
        <v>36.67226890756303</v>
      </c>
    </row>
    <row r="308" spans="1:12">
      <c r="A308" s="9" t="s">
        <v>575</v>
      </c>
      <c r="B308" s="8">
        <v>12</v>
      </c>
      <c r="C308" s="8" t="s">
        <v>35</v>
      </c>
      <c r="D308" s="8" t="s">
        <v>36</v>
      </c>
      <c r="E308" s="8" t="s">
        <v>315</v>
      </c>
      <c r="F308" s="8">
        <v>326</v>
      </c>
      <c r="G308" s="8">
        <v>119.62</v>
      </c>
      <c r="H308" s="10">
        <v>25.89</v>
      </c>
      <c r="I308" s="8">
        <f t="shared" si="16"/>
        <v>1</v>
      </c>
      <c r="J308" s="8" t="str">
        <f t="shared" si="17"/>
        <v>No</v>
      </c>
      <c r="K308" s="5" t="str">
        <f t="shared" si="18"/>
        <v>No</v>
      </c>
      <c r="L308" s="25">
        <f t="shared" si="19"/>
        <v>100.52100840336135</v>
      </c>
    </row>
    <row r="309" spans="1:12">
      <c r="A309" s="9" t="s">
        <v>576</v>
      </c>
      <c r="B309" s="8">
        <v>12</v>
      </c>
      <c r="C309" s="8" t="s">
        <v>51</v>
      </c>
      <c r="D309" s="8" t="s">
        <v>36</v>
      </c>
      <c r="E309" s="8" t="s">
        <v>577</v>
      </c>
      <c r="F309" s="8">
        <v>456</v>
      </c>
      <c r="G309" s="8">
        <v>153.16999999999999</v>
      </c>
      <c r="H309" s="10">
        <v>18.829999999999998</v>
      </c>
      <c r="I309" s="8">
        <f t="shared" si="16"/>
        <v>1</v>
      </c>
      <c r="J309" s="8" t="str">
        <f t="shared" si="17"/>
        <v>No</v>
      </c>
      <c r="K309" s="5" t="str">
        <f t="shared" si="18"/>
        <v>No</v>
      </c>
      <c r="L309" s="25">
        <f t="shared" si="19"/>
        <v>128.71428571428572</v>
      </c>
    </row>
    <row r="310" spans="1:12">
      <c r="A310" s="9" t="s">
        <v>578</v>
      </c>
      <c r="B310" s="8">
        <v>24</v>
      </c>
      <c r="C310" s="8" t="s">
        <v>35</v>
      </c>
      <c r="D310" s="8" t="s">
        <v>36</v>
      </c>
      <c r="E310" s="8" t="s">
        <v>579</v>
      </c>
      <c r="F310" s="8">
        <v>221</v>
      </c>
      <c r="G310" s="8">
        <v>90.83</v>
      </c>
      <c r="H310" s="10">
        <v>25.39</v>
      </c>
      <c r="I310" s="8">
        <f t="shared" si="16"/>
        <v>1</v>
      </c>
      <c r="J310" s="8" t="str">
        <f t="shared" si="17"/>
        <v>No</v>
      </c>
      <c r="K310" s="5" t="str">
        <f t="shared" si="18"/>
        <v>No</v>
      </c>
      <c r="L310" s="25">
        <f t="shared" si="19"/>
        <v>76.327731092436977</v>
      </c>
    </row>
    <row r="311" spans="1:12">
      <c r="A311" s="9" t="s">
        <v>580</v>
      </c>
      <c r="B311" s="8">
        <v>12</v>
      </c>
      <c r="C311" s="8" t="s">
        <v>39</v>
      </c>
      <c r="D311" s="8" t="s">
        <v>36</v>
      </c>
      <c r="E311" s="8" t="s">
        <v>581</v>
      </c>
      <c r="F311" s="8">
        <v>96</v>
      </c>
      <c r="G311" s="8">
        <v>48.62</v>
      </c>
      <c r="H311" s="10">
        <v>28.25</v>
      </c>
      <c r="I311" s="8">
        <f t="shared" si="16"/>
        <v>1</v>
      </c>
      <c r="J311" s="8" t="str">
        <f t="shared" si="17"/>
        <v>No</v>
      </c>
      <c r="K311" s="5" t="str">
        <f t="shared" si="18"/>
        <v>No</v>
      </c>
      <c r="L311" s="25">
        <f t="shared" si="19"/>
        <v>40.857142857142854</v>
      </c>
    </row>
    <row r="312" spans="1:12">
      <c r="A312" s="9" t="s">
        <v>582</v>
      </c>
      <c r="B312" s="8">
        <v>12</v>
      </c>
      <c r="C312" s="8" t="s">
        <v>51</v>
      </c>
      <c r="D312" s="8" t="s">
        <v>46</v>
      </c>
      <c r="E312" s="8" t="s">
        <v>583</v>
      </c>
      <c r="F312" s="8">
        <v>435</v>
      </c>
      <c r="G312" s="8">
        <v>145.29</v>
      </c>
      <c r="H312" s="10">
        <v>18.18</v>
      </c>
      <c r="I312" s="8">
        <f t="shared" si="16"/>
        <v>1</v>
      </c>
      <c r="J312" s="8" t="str">
        <f t="shared" si="17"/>
        <v>No</v>
      </c>
      <c r="K312" s="5" t="str">
        <f t="shared" si="18"/>
        <v>No</v>
      </c>
      <c r="L312" s="25">
        <f t="shared" si="19"/>
        <v>122.09243697478992</v>
      </c>
    </row>
    <row r="313" spans="1:12">
      <c r="A313" s="9" t="s">
        <v>584</v>
      </c>
      <c r="B313" s="8">
        <v>12</v>
      </c>
      <c r="C313" s="8" t="s">
        <v>39</v>
      </c>
      <c r="D313" s="8" t="s">
        <v>36</v>
      </c>
      <c r="E313" s="8" t="s">
        <v>585</v>
      </c>
      <c r="F313" s="8">
        <v>157</v>
      </c>
      <c r="G313" s="8">
        <v>71.069999999999993</v>
      </c>
      <c r="H313" s="10">
        <v>28.27</v>
      </c>
      <c r="I313" s="8">
        <f t="shared" si="16"/>
        <v>1</v>
      </c>
      <c r="J313" s="8" t="str">
        <f t="shared" si="17"/>
        <v>No</v>
      </c>
      <c r="K313" s="5" t="str">
        <f t="shared" si="18"/>
        <v>No</v>
      </c>
      <c r="L313" s="25">
        <f t="shared" si="19"/>
        <v>59.72268907563025</v>
      </c>
    </row>
    <row r="314" spans="1:12">
      <c r="A314" s="9" t="s">
        <v>586</v>
      </c>
      <c r="B314" s="8">
        <v>12</v>
      </c>
      <c r="C314" s="8" t="s">
        <v>39</v>
      </c>
      <c r="D314" s="8" t="s">
        <v>36</v>
      </c>
      <c r="E314" s="8" t="s">
        <v>587</v>
      </c>
      <c r="F314" s="8">
        <v>167</v>
      </c>
      <c r="G314" s="8">
        <v>68.650000000000006</v>
      </c>
      <c r="H314" s="10">
        <v>31.9</v>
      </c>
      <c r="I314" s="8">
        <f t="shared" si="16"/>
        <v>1</v>
      </c>
      <c r="J314" s="8" t="str">
        <f t="shared" si="17"/>
        <v>No</v>
      </c>
      <c r="K314" s="5" t="str">
        <f t="shared" si="18"/>
        <v>No</v>
      </c>
      <c r="L314" s="25">
        <f t="shared" si="19"/>
        <v>57.689075630252105</v>
      </c>
    </row>
    <row r="315" spans="1:12">
      <c r="A315" s="9" t="s">
        <v>588</v>
      </c>
      <c r="B315" s="8">
        <v>24</v>
      </c>
      <c r="C315" s="8" t="s">
        <v>35</v>
      </c>
      <c r="D315" s="8" t="s">
        <v>36</v>
      </c>
      <c r="E315" s="8" t="s">
        <v>589</v>
      </c>
      <c r="F315" s="8">
        <v>228</v>
      </c>
      <c r="G315" s="8">
        <v>93.28</v>
      </c>
      <c r="H315" s="10">
        <v>27.27</v>
      </c>
      <c r="I315" s="8">
        <f t="shared" si="16"/>
        <v>1</v>
      </c>
      <c r="J315" s="8" t="str">
        <f t="shared" si="17"/>
        <v>No</v>
      </c>
      <c r="K315" s="5" t="str">
        <f t="shared" si="18"/>
        <v>No</v>
      </c>
      <c r="L315" s="25">
        <f t="shared" si="19"/>
        <v>78.386554621848745</v>
      </c>
    </row>
    <row r="316" spans="1:12">
      <c r="A316" s="9" t="s">
        <v>590</v>
      </c>
      <c r="B316" s="8">
        <v>24</v>
      </c>
      <c r="C316" s="8" t="s">
        <v>35</v>
      </c>
      <c r="D316" s="8" t="s">
        <v>36</v>
      </c>
      <c r="E316" s="8" t="s">
        <v>591</v>
      </c>
      <c r="F316" s="8">
        <v>242</v>
      </c>
      <c r="G316" s="8">
        <v>96.83</v>
      </c>
      <c r="H316" s="10">
        <v>25.41</v>
      </c>
      <c r="I316" s="8">
        <f t="shared" si="16"/>
        <v>1</v>
      </c>
      <c r="J316" s="8" t="str">
        <f t="shared" si="17"/>
        <v>No</v>
      </c>
      <c r="K316" s="5" t="str">
        <f t="shared" si="18"/>
        <v>No</v>
      </c>
      <c r="L316" s="25">
        <f t="shared" si="19"/>
        <v>81.369747899159663</v>
      </c>
    </row>
    <row r="317" spans="1:12">
      <c r="A317" s="9" t="s">
        <v>592</v>
      </c>
      <c r="B317" s="8">
        <v>24</v>
      </c>
      <c r="C317" s="8" t="s">
        <v>35</v>
      </c>
      <c r="D317" s="8" t="s">
        <v>36</v>
      </c>
      <c r="E317" s="8" t="s">
        <v>593</v>
      </c>
      <c r="F317" s="8">
        <v>287</v>
      </c>
      <c r="G317" s="8">
        <v>106.51</v>
      </c>
      <c r="H317" s="10">
        <v>25.75</v>
      </c>
      <c r="I317" s="8">
        <f t="shared" si="16"/>
        <v>1</v>
      </c>
      <c r="J317" s="8" t="str">
        <f t="shared" si="17"/>
        <v>No</v>
      </c>
      <c r="K317" s="5" t="str">
        <f t="shared" si="18"/>
        <v>No</v>
      </c>
      <c r="L317" s="25">
        <f t="shared" si="19"/>
        <v>89.504201680672281</v>
      </c>
    </row>
    <row r="318" spans="1:12">
      <c r="A318" s="9" t="s">
        <v>594</v>
      </c>
      <c r="B318" s="8">
        <v>12</v>
      </c>
      <c r="C318" s="8" t="s">
        <v>39</v>
      </c>
      <c r="D318" s="8" t="s">
        <v>46</v>
      </c>
      <c r="E318" s="8" t="s">
        <v>517</v>
      </c>
      <c r="F318" s="8">
        <v>157</v>
      </c>
      <c r="G318" s="8">
        <v>68.2</v>
      </c>
      <c r="H318" s="10">
        <v>28.34</v>
      </c>
      <c r="I318" s="8">
        <f t="shared" si="16"/>
        <v>1</v>
      </c>
      <c r="J318" s="8" t="str">
        <f t="shared" si="17"/>
        <v>No</v>
      </c>
      <c r="K318" s="5" t="str">
        <f t="shared" si="18"/>
        <v>No</v>
      </c>
      <c r="L318" s="25">
        <f t="shared" si="19"/>
        <v>57.310924369747902</v>
      </c>
    </row>
    <row r="319" spans="1:12">
      <c r="A319" s="9" t="s">
        <v>595</v>
      </c>
      <c r="B319" s="8">
        <v>12</v>
      </c>
      <c r="C319" s="8" t="s">
        <v>51</v>
      </c>
      <c r="D319" s="8" t="s">
        <v>56</v>
      </c>
      <c r="E319" s="8" t="s">
        <v>37</v>
      </c>
      <c r="F319" s="8">
        <v>531</v>
      </c>
      <c r="G319" s="8">
        <v>167.42</v>
      </c>
      <c r="H319" s="10">
        <v>18.43</v>
      </c>
      <c r="I319" s="8">
        <f t="shared" si="16"/>
        <v>1</v>
      </c>
      <c r="J319" s="8" t="str">
        <f t="shared" si="17"/>
        <v>No</v>
      </c>
      <c r="K319" s="5" t="str">
        <f t="shared" si="18"/>
        <v>No</v>
      </c>
      <c r="L319" s="25">
        <f t="shared" si="19"/>
        <v>140.68907563025209</v>
      </c>
    </row>
    <row r="320" spans="1:12">
      <c r="A320" s="9" t="s">
        <v>596</v>
      </c>
      <c r="B320" s="8">
        <v>12</v>
      </c>
      <c r="C320" s="8" t="s">
        <v>39</v>
      </c>
      <c r="D320" s="8" t="s">
        <v>56</v>
      </c>
      <c r="E320" s="8" t="s">
        <v>418</v>
      </c>
      <c r="F320" s="8">
        <v>116</v>
      </c>
      <c r="G320" s="8">
        <v>53.43</v>
      </c>
      <c r="H320" s="10">
        <v>28.28</v>
      </c>
      <c r="I320" s="8">
        <f t="shared" si="16"/>
        <v>1</v>
      </c>
      <c r="J320" s="8" t="str">
        <f t="shared" si="17"/>
        <v>No</v>
      </c>
      <c r="K320" s="5" t="str">
        <f t="shared" si="18"/>
        <v>No</v>
      </c>
      <c r="L320" s="25">
        <f t="shared" si="19"/>
        <v>44.899159663865547</v>
      </c>
    </row>
    <row r="321" spans="1:12">
      <c r="A321" s="9" t="s">
        <v>597</v>
      </c>
      <c r="B321" s="8">
        <v>12</v>
      </c>
      <c r="C321" s="8" t="s">
        <v>39</v>
      </c>
      <c r="D321" s="8" t="s">
        <v>36</v>
      </c>
      <c r="E321" s="8" t="s">
        <v>598</v>
      </c>
      <c r="F321" s="8">
        <v>118</v>
      </c>
      <c r="G321" s="8">
        <v>52.25</v>
      </c>
      <c r="H321" s="10">
        <v>30.84</v>
      </c>
      <c r="I321" s="8">
        <f t="shared" si="16"/>
        <v>1</v>
      </c>
      <c r="J321" s="8" t="str">
        <f t="shared" si="17"/>
        <v>No</v>
      </c>
      <c r="K321" s="5" t="str">
        <f t="shared" si="18"/>
        <v>No</v>
      </c>
      <c r="L321" s="25">
        <f t="shared" si="19"/>
        <v>43.907563025210088</v>
      </c>
    </row>
    <row r="322" spans="1:12">
      <c r="A322" s="9" t="s">
        <v>599</v>
      </c>
      <c r="B322" s="8">
        <v>12</v>
      </c>
      <c r="C322" s="8" t="s">
        <v>51</v>
      </c>
      <c r="D322" s="8" t="s">
        <v>56</v>
      </c>
      <c r="E322" s="8" t="s">
        <v>600</v>
      </c>
      <c r="F322" s="8">
        <v>565</v>
      </c>
      <c r="G322" s="8">
        <v>187.55</v>
      </c>
      <c r="H322" s="10">
        <v>17.649999999999999</v>
      </c>
      <c r="I322" s="8">
        <f t="shared" ref="I322:I385" si="20">COUNTIF($A:$A,A322)</f>
        <v>1</v>
      </c>
      <c r="J322" s="8" t="str">
        <f t="shared" ref="J322:J385" si="21">IF(F322=0,"Yes","No")</f>
        <v>No</v>
      </c>
      <c r="K322" s="5" t="str">
        <f t="shared" ref="K322:K385" si="22">IF(F322&lt;0,"Yes","No")</f>
        <v>No</v>
      </c>
      <c r="L322" s="25">
        <f t="shared" ref="L322:L385" si="23">G322/1.19</f>
        <v>157.60504201680675</v>
      </c>
    </row>
    <row r="323" spans="1:12">
      <c r="A323" s="9" t="s">
        <v>601</v>
      </c>
      <c r="B323" s="8">
        <v>24</v>
      </c>
      <c r="C323" s="8" t="s">
        <v>51</v>
      </c>
      <c r="D323" s="8" t="s">
        <v>46</v>
      </c>
      <c r="E323" s="8" t="s">
        <v>533</v>
      </c>
      <c r="F323" s="8">
        <v>334</v>
      </c>
      <c r="G323" s="8">
        <v>124.49</v>
      </c>
      <c r="H323" s="10">
        <v>18.850000000000001</v>
      </c>
      <c r="I323" s="8">
        <f t="shared" si="20"/>
        <v>1</v>
      </c>
      <c r="J323" s="8" t="str">
        <f t="shared" si="21"/>
        <v>No</v>
      </c>
      <c r="K323" s="5" t="str">
        <f t="shared" si="22"/>
        <v>No</v>
      </c>
      <c r="L323" s="25">
        <f t="shared" si="23"/>
        <v>104.61344537815125</v>
      </c>
    </row>
    <row r="324" spans="1:12">
      <c r="A324" s="9" t="s">
        <v>602</v>
      </c>
      <c r="B324" s="8">
        <v>24</v>
      </c>
      <c r="C324" s="8" t="s">
        <v>51</v>
      </c>
      <c r="D324" s="8" t="s">
        <v>46</v>
      </c>
      <c r="E324" s="8" t="s">
        <v>603</v>
      </c>
      <c r="F324" s="8">
        <v>540</v>
      </c>
      <c r="G324" s="8">
        <v>183.38</v>
      </c>
      <c r="H324" s="10">
        <v>17.84</v>
      </c>
      <c r="I324" s="8">
        <f t="shared" si="20"/>
        <v>1</v>
      </c>
      <c r="J324" s="8" t="str">
        <f t="shared" si="21"/>
        <v>No</v>
      </c>
      <c r="K324" s="5" t="str">
        <f t="shared" si="22"/>
        <v>No</v>
      </c>
      <c r="L324" s="25">
        <f t="shared" si="23"/>
        <v>154.10084033613447</v>
      </c>
    </row>
    <row r="325" spans="1:12">
      <c r="A325" s="9" t="s">
        <v>604</v>
      </c>
      <c r="B325" s="8">
        <v>12</v>
      </c>
      <c r="C325" s="8" t="s">
        <v>51</v>
      </c>
      <c r="D325" s="8" t="s">
        <v>36</v>
      </c>
      <c r="E325" s="8" t="s">
        <v>605</v>
      </c>
      <c r="F325" s="8">
        <v>452</v>
      </c>
      <c r="G325" s="8">
        <v>151.26</v>
      </c>
      <c r="H325" s="10">
        <v>17</v>
      </c>
      <c r="I325" s="8">
        <f t="shared" si="20"/>
        <v>1</v>
      </c>
      <c r="J325" s="8" t="str">
        <f t="shared" si="21"/>
        <v>No</v>
      </c>
      <c r="K325" s="5" t="str">
        <f t="shared" si="22"/>
        <v>No</v>
      </c>
      <c r="L325" s="25">
        <f t="shared" si="23"/>
        <v>127.10924369747899</v>
      </c>
    </row>
    <row r="326" spans="1:12">
      <c r="A326" s="9" t="s">
        <v>606</v>
      </c>
      <c r="B326" s="8">
        <v>24</v>
      </c>
      <c r="C326" s="8" t="s">
        <v>35</v>
      </c>
      <c r="D326" s="8" t="s">
        <v>36</v>
      </c>
      <c r="E326" s="8" t="s">
        <v>607</v>
      </c>
      <c r="F326" s="8">
        <v>299</v>
      </c>
      <c r="G326" s="8">
        <v>118.51</v>
      </c>
      <c r="H326" s="10">
        <v>22.67</v>
      </c>
      <c r="I326" s="8">
        <f t="shared" si="20"/>
        <v>1</v>
      </c>
      <c r="J326" s="8" t="str">
        <f t="shared" si="21"/>
        <v>No</v>
      </c>
      <c r="K326" s="5" t="str">
        <f t="shared" si="22"/>
        <v>No</v>
      </c>
      <c r="L326" s="25">
        <f t="shared" si="23"/>
        <v>99.588235294117652</v>
      </c>
    </row>
    <row r="327" spans="1:12">
      <c r="A327" s="9" t="s">
        <v>608</v>
      </c>
      <c r="B327" s="8">
        <v>24</v>
      </c>
      <c r="C327" s="8" t="s">
        <v>35</v>
      </c>
      <c r="D327" s="8" t="s">
        <v>36</v>
      </c>
      <c r="E327" s="8" t="s">
        <v>609</v>
      </c>
      <c r="F327" s="8">
        <v>182</v>
      </c>
      <c r="G327" s="8">
        <v>77.209999999999994</v>
      </c>
      <c r="H327" s="10">
        <v>22.59</v>
      </c>
      <c r="I327" s="8">
        <f t="shared" si="20"/>
        <v>1</v>
      </c>
      <c r="J327" s="8" t="str">
        <f t="shared" si="21"/>
        <v>No</v>
      </c>
      <c r="K327" s="5" t="str">
        <f t="shared" si="22"/>
        <v>No</v>
      </c>
      <c r="L327" s="25">
        <f t="shared" si="23"/>
        <v>64.882352941176464</v>
      </c>
    </row>
    <row r="328" spans="1:12">
      <c r="A328" s="9" t="s">
        <v>610</v>
      </c>
      <c r="B328" s="8">
        <v>24</v>
      </c>
      <c r="C328" s="8" t="s">
        <v>39</v>
      </c>
      <c r="D328" s="8" t="s">
        <v>36</v>
      </c>
      <c r="E328" s="8" t="s">
        <v>611</v>
      </c>
      <c r="F328" s="8">
        <v>132</v>
      </c>
      <c r="G328" s="8">
        <v>56.35</v>
      </c>
      <c r="H328" s="10">
        <v>31.89</v>
      </c>
      <c r="I328" s="8">
        <f t="shared" si="20"/>
        <v>1</v>
      </c>
      <c r="J328" s="8" t="str">
        <f t="shared" si="21"/>
        <v>No</v>
      </c>
      <c r="K328" s="5" t="str">
        <f t="shared" si="22"/>
        <v>No</v>
      </c>
      <c r="L328" s="25">
        <f t="shared" si="23"/>
        <v>47.352941176470594</v>
      </c>
    </row>
    <row r="329" spans="1:12">
      <c r="A329" s="9" t="s">
        <v>612</v>
      </c>
      <c r="B329" s="8">
        <v>24</v>
      </c>
      <c r="C329" s="8" t="s">
        <v>35</v>
      </c>
      <c r="D329" s="8" t="s">
        <v>36</v>
      </c>
      <c r="E329" s="8" t="s">
        <v>143</v>
      </c>
      <c r="F329" s="8">
        <v>247</v>
      </c>
      <c r="G329" s="8">
        <v>98.67</v>
      </c>
      <c r="H329" s="10">
        <v>25.04</v>
      </c>
      <c r="I329" s="8">
        <f t="shared" si="20"/>
        <v>1</v>
      </c>
      <c r="J329" s="8" t="str">
        <f t="shared" si="21"/>
        <v>No</v>
      </c>
      <c r="K329" s="5" t="str">
        <f t="shared" si="22"/>
        <v>No</v>
      </c>
      <c r="L329" s="25">
        <f t="shared" si="23"/>
        <v>82.915966386554629</v>
      </c>
    </row>
    <row r="330" spans="1:12">
      <c r="A330" s="9" t="s">
        <v>613</v>
      </c>
      <c r="B330" s="8">
        <v>12</v>
      </c>
      <c r="C330" s="8" t="s">
        <v>35</v>
      </c>
      <c r="D330" s="8" t="s">
        <v>36</v>
      </c>
      <c r="E330" s="8" t="s">
        <v>491</v>
      </c>
      <c r="F330" s="8">
        <v>274</v>
      </c>
      <c r="G330" s="8">
        <v>98.28</v>
      </c>
      <c r="H330" s="10">
        <v>25.87</v>
      </c>
      <c r="I330" s="8">
        <f t="shared" si="20"/>
        <v>1</v>
      </c>
      <c r="J330" s="8" t="str">
        <f t="shared" si="21"/>
        <v>No</v>
      </c>
      <c r="K330" s="5" t="str">
        <f t="shared" si="22"/>
        <v>No</v>
      </c>
      <c r="L330" s="25">
        <f t="shared" si="23"/>
        <v>82.588235294117652</v>
      </c>
    </row>
    <row r="331" spans="1:12">
      <c r="A331" s="9" t="s">
        <v>614</v>
      </c>
      <c r="B331" s="8">
        <v>12</v>
      </c>
      <c r="C331" s="8" t="s">
        <v>39</v>
      </c>
      <c r="D331" s="8" t="s">
        <v>36</v>
      </c>
      <c r="E331" s="8" t="s">
        <v>615</v>
      </c>
      <c r="F331" s="8">
        <v>88</v>
      </c>
      <c r="G331" s="8">
        <v>45.6</v>
      </c>
      <c r="H331" s="10">
        <v>29.76</v>
      </c>
      <c r="I331" s="8">
        <f t="shared" si="20"/>
        <v>1</v>
      </c>
      <c r="J331" s="8" t="str">
        <f t="shared" si="21"/>
        <v>No</v>
      </c>
      <c r="K331" s="5" t="str">
        <f t="shared" si="22"/>
        <v>No</v>
      </c>
      <c r="L331" s="25">
        <f t="shared" si="23"/>
        <v>38.319327731092443</v>
      </c>
    </row>
    <row r="332" spans="1:12">
      <c r="A332" s="9" t="s">
        <v>616</v>
      </c>
      <c r="B332" s="8">
        <v>12</v>
      </c>
      <c r="C332" s="8" t="s">
        <v>35</v>
      </c>
      <c r="D332" s="8" t="s">
        <v>46</v>
      </c>
      <c r="E332" s="8" t="s">
        <v>562</v>
      </c>
      <c r="F332" s="8">
        <v>263</v>
      </c>
      <c r="G332" s="8">
        <v>97.85</v>
      </c>
      <c r="H332" s="10">
        <v>23.11</v>
      </c>
      <c r="I332" s="8">
        <f t="shared" si="20"/>
        <v>1</v>
      </c>
      <c r="J332" s="8" t="str">
        <f t="shared" si="21"/>
        <v>No</v>
      </c>
      <c r="K332" s="5" t="str">
        <f t="shared" si="22"/>
        <v>No</v>
      </c>
      <c r="L332" s="25">
        <f t="shared" si="23"/>
        <v>82.226890756302524</v>
      </c>
    </row>
    <row r="333" spans="1:12">
      <c r="A333" s="9" t="s">
        <v>617</v>
      </c>
      <c r="B333" s="8">
        <v>24</v>
      </c>
      <c r="C333" s="8" t="s">
        <v>35</v>
      </c>
      <c r="D333" s="8" t="s">
        <v>36</v>
      </c>
      <c r="E333" s="8" t="s">
        <v>416</v>
      </c>
      <c r="F333" s="8">
        <v>260</v>
      </c>
      <c r="G333" s="8">
        <v>96.81</v>
      </c>
      <c r="H333" s="10">
        <v>25.19</v>
      </c>
      <c r="I333" s="8">
        <f t="shared" si="20"/>
        <v>1</v>
      </c>
      <c r="J333" s="8" t="str">
        <f t="shared" si="21"/>
        <v>No</v>
      </c>
      <c r="K333" s="5" t="str">
        <f t="shared" si="22"/>
        <v>No</v>
      </c>
      <c r="L333" s="25">
        <f t="shared" si="23"/>
        <v>81.352941176470594</v>
      </c>
    </row>
    <row r="334" spans="1:12">
      <c r="A334" s="9" t="s">
        <v>618</v>
      </c>
      <c r="B334" s="8">
        <v>12</v>
      </c>
      <c r="C334" s="8" t="s">
        <v>39</v>
      </c>
      <c r="D334" s="8" t="s">
        <v>36</v>
      </c>
      <c r="E334" s="8" t="s">
        <v>619</v>
      </c>
      <c r="F334" s="8">
        <v>130</v>
      </c>
      <c r="G334" s="8">
        <v>55.39</v>
      </c>
      <c r="H334" s="10">
        <v>29.31</v>
      </c>
      <c r="I334" s="8">
        <f t="shared" si="20"/>
        <v>1</v>
      </c>
      <c r="J334" s="8" t="str">
        <f t="shared" si="21"/>
        <v>No</v>
      </c>
      <c r="K334" s="5" t="str">
        <f t="shared" si="22"/>
        <v>No</v>
      </c>
      <c r="L334" s="25">
        <f t="shared" si="23"/>
        <v>46.54621848739496</v>
      </c>
    </row>
    <row r="335" spans="1:12">
      <c r="A335" s="9" t="s">
        <v>620</v>
      </c>
      <c r="B335" s="8">
        <v>12</v>
      </c>
      <c r="C335" s="8" t="s">
        <v>39</v>
      </c>
      <c r="D335" s="8" t="s">
        <v>56</v>
      </c>
      <c r="E335" s="8" t="s">
        <v>383</v>
      </c>
      <c r="F335" s="8">
        <v>134</v>
      </c>
      <c r="G335" s="8">
        <v>57.21</v>
      </c>
      <c r="H335" s="10">
        <v>29.2</v>
      </c>
      <c r="I335" s="8">
        <f t="shared" si="20"/>
        <v>1</v>
      </c>
      <c r="J335" s="8" t="str">
        <f t="shared" si="21"/>
        <v>No</v>
      </c>
      <c r="K335" s="5" t="str">
        <f t="shared" si="22"/>
        <v>No</v>
      </c>
      <c r="L335" s="25">
        <f t="shared" si="23"/>
        <v>48.075630252100844</v>
      </c>
    </row>
    <row r="336" spans="1:12">
      <c r="A336" s="9" t="s">
        <v>621</v>
      </c>
      <c r="B336" s="8">
        <v>12</v>
      </c>
      <c r="C336" s="8" t="s">
        <v>35</v>
      </c>
      <c r="D336" s="8" t="s">
        <v>56</v>
      </c>
      <c r="E336" s="8" t="s">
        <v>374</v>
      </c>
      <c r="F336" s="8">
        <v>279</v>
      </c>
      <c r="G336" s="8">
        <v>105.97</v>
      </c>
      <c r="H336" s="10">
        <v>22.93</v>
      </c>
      <c r="I336" s="8">
        <f t="shared" si="20"/>
        <v>1</v>
      </c>
      <c r="J336" s="8" t="str">
        <f t="shared" si="21"/>
        <v>No</v>
      </c>
      <c r="K336" s="5" t="str">
        <f t="shared" si="22"/>
        <v>No</v>
      </c>
      <c r="L336" s="25">
        <f t="shared" si="23"/>
        <v>89.050420168067234</v>
      </c>
    </row>
    <row r="337" spans="1:12">
      <c r="A337" s="9" t="s">
        <v>622</v>
      </c>
      <c r="B337" s="8">
        <v>12</v>
      </c>
      <c r="C337" s="8" t="s">
        <v>39</v>
      </c>
      <c r="D337" s="8" t="s">
        <v>46</v>
      </c>
      <c r="E337" s="8" t="s">
        <v>455</v>
      </c>
      <c r="F337" s="8">
        <v>151</v>
      </c>
      <c r="G337" s="8">
        <v>61.78</v>
      </c>
      <c r="H337" s="10">
        <v>30.52</v>
      </c>
      <c r="I337" s="8">
        <f t="shared" si="20"/>
        <v>1</v>
      </c>
      <c r="J337" s="8" t="str">
        <f t="shared" si="21"/>
        <v>No</v>
      </c>
      <c r="K337" s="5" t="str">
        <f t="shared" si="22"/>
        <v>No</v>
      </c>
      <c r="L337" s="25">
        <f t="shared" si="23"/>
        <v>51.915966386554622</v>
      </c>
    </row>
    <row r="338" spans="1:12">
      <c r="A338" s="9" t="s">
        <v>623</v>
      </c>
      <c r="B338" s="8">
        <v>24</v>
      </c>
      <c r="C338" s="8" t="s">
        <v>51</v>
      </c>
      <c r="D338" s="8" t="s">
        <v>56</v>
      </c>
      <c r="E338" s="8" t="s">
        <v>428</v>
      </c>
      <c r="F338" s="8">
        <v>0</v>
      </c>
      <c r="G338" s="8">
        <v>147.32</v>
      </c>
      <c r="H338" s="10">
        <v>19.28</v>
      </c>
      <c r="I338" s="8">
        <f t="shared" si="20"/>
        <v>1</v>
      </c>
      <c r="J338" s="8" t="str">
        <f t="shared" si="21"/>
        <v>Yes</v>
      </c>
      <c r="K338" s="5" t="str">
        <f t="shared" si="22"/>
        <v>No</v>
      </c>
      <c r="L338" s="25">
        <f t="shared" si="23"/>
        <v>123.79831932773109</v>
      </c>
    </row>
    <row r="339" spans="1:12">
      <c r="A339" s="9" t="s">
        <v>624</v>
      </c>
      <c r="B339" s="8">
        <v>24</v>
      </c>
      <c r="C339" s="8" t="s">
        <v>35</v>
      </c>
      <c r="D339" s="8" t="s">
        <v>36</v>
      </c>
      <c r="E339" s="8" t="s">
        <v>145</v>
      </c>
      <c r="F339" s="8">
        <v>304</v>
      </c>
      <c r="G339" s="8">
        <v>117.38</v>
      </c>
      <c r="H339" s="10">
        <v>25.42</v>
      </c>
      <c r="I339" s="8">
        <f t="shared" si="20"/>
        <v>1</v>
      </c>
      <c r="J339" s="8" t="str">
        <f t="shared" si="21"/>
        <v>No</v>
      </c>
      <c r="K339" s="5" t="str">
        <f t="shared" si="22"/>
        <v>No</v>
      </c>
      <c r="L339" s="25">
        <f t="shared" si="23"/>
        <v>98.638655462184872</v>
      </c>
    </row>
    <row r="340" spans="1:12">
      <c r="A340" s="9" t="s">
        <v>625</v>
      </c>
      <c r="B340" s="8">
        <v>12</v>
      </c>
      <c r="C340" s="8" t="s">
        <v>35</v>
      </c>
      <c r="D340" s="8" t="s">
        <v>56</v>
      </c>
      <c r="E340" s="8" t="s">
        <v>626</v>
      </c>
      <c r="F340" s="8">
        <v>250</v>
      </c>
      <c r="G340" s="8">
        <v>94.93</v>
      </c>
      <c r="H340" s="10">
        <v>26.7</v>
      </c>
      <c r="I340" s="8">
        <f t="shared" si="20"/>
        <v>1</v>
      </c>
      <c r="J340" s="8" t="str">
        <f t="shared" si="21"/>
        <v>No</v>
      </c>
      <c r="K340" s="5" t="str">
        <f t="shared" si="22"/>
        <v>No</v>
      </c>
      <c r="L340" s="25">
        <f t="shared" si="23"/>
        <v>79.77310924369749</v>
      </c>
    </row>
    <row r="341" spans="1:12">
      <c r="A341" s="9" t="s">
        <v>627</v>
      </c>
      <c r="B341" s="8">
        <v>12</v>
      </c>
      <c r="C341" s="8" t="s">
        <v>35</v>
      </c>
      <c r="D341" s="8" t="s">
        <v>36</v>
      </c>
      <c r="E341" s="8" t="s">
        <v>628</v>
      </c>
      <c r="F341" s="8">
        <v>180</v>
      </c>
      <c r="G341" s="8">
        <v>72.05</v>
      </c>
      <c r="H341" s="10">
        <v>22.25</v>
      </c>
      <c r="I341" s="8">
        <f t="shared" si="20"/>
        <v>1</v>
      </c>
      <c r="J341" s="8" t="str">
        <f t="shared" si="21"/>
        <v>No</v>
      </c>
      <c r="K341" s="5" t="str">
        <f t="shared" si="22"/>
        <v>No</v>
      </c>
      <c r="L341" s="25">
        <f t="shared" si="23"/>
        <v>60.54621848739496</v>
      </c>
    </row>
    <row r="342" spans="1:12">
      <c r="A342" s="9" t="s">
        <v>629</v>
      </c>
      <c r="B342" s="8">
        <v>12</v>
      </c>
      <c r="C342" s="8" t="s">
        <v>51</v>
      </c>
      <c r="D342" s="8" t="s">
        <v>36</v>
      </c>
      <c r="E342" s="8" t="s">
        <v>40</v>
      </c>
      <c r="F342" s="8">
        <v>353</v>
      </c>
      <c r="G342" s="8">
        <v>120.64</v>
      </c>
      <c r="H342" s="10">
        <v>17.55</v>
      </c>
      <c r="I342" s="8">
        <f t="shared" si="20"/>
        <v>1</v>
      </c>
      <c r="J342" s="8" t="str">
        <f t="shared" si="21"/>
        <v>No</v>
      </c>
      <c r="K342" s="5" t="str">
        <f t="shared" si="22"/>
        <v>No</v>
      </c>
      <c r="L342" s="25">
        <f t="shared" si="23"/>
        <v>101.37815126050421</v>
      </c>
    </row>
    <row r="343" spans="1:12">
      <c r="A343" s="9" t="s">
        <v>630</v>
      </c>
      <c r="B343" s="8">
        <v>12</v>
      </c>
      <c r="C343" s="8" t="s">
        <v>39</v>
      </c>
      <c r="D343" s="8" t="s">
        <v>36</v>
      </c>
      <c r="E343" s="8" t="s">
        <v>631</v>
      </c>
      <c r="F343" s="8">
        <v>111</v>
      </c>
      <c r="G343" s="8">
        <v>47.33</v>
      </c>
      <c r="H343" s="10">
        <v>31.24</v>
      </c>
      <c r="I343" s="8">
        <f t="shared" si="20"/>
        <v>1</v>
      </c>
      <c r="J343" s="8" t="str">
        <f t="shared" si="21"/>
        <v>No</v>
      </c>
      <c r="K343" s="5" t="str">
        <f t="shared" si="22"/>
        <v>No</v>
      </c>
      <c r="L343" s="25">
        <f t="shared" si="23"/>
        <v>39.773109243697476</v>
      </c>
    </row>
    <row r="344" spans="1:12">
      <c r="A344" s="9" t="s">
        <v>632</v>
      </c>
      <c r="B344" s="8">
        <v>12</v>
      </c>
      <c r="C344" s="8" t="s">
        <v>35</v>
      </c>
      <c r="D344" s="8" t="s">
        <v>36</v>
      </c>
      <c r="E344" s="8" t="s">
        <v>633</v>
      </c>
      <c r="F344" s="8">
        <v>297</v>
      </c>
      <c r="G344" s="8">
        <v>114.75</v>
      </c>
      <c r="H344" s="10">
        <v>22.59</v>
      </c>
      <c r="I344" s="8">
        <f t="shared" si="20"/>
        <v>1</v>
      </c>
      <c r="J344" s="8" t="str">
        <f t="shared" si="21"/>
        <v>No</v>
      </c>
      <c r="K344" s="5" t="str">
        <f t="shared" si="22"/>
        <v>No</v>
      </c>
      <c r="L344" s="25">
        <f t="shared" si="23"/>
        <v>96.428571428571431</v>
      </c>
    </row>
    <row r="345" spans="1:12">
      <c r="A345" s="9" t="s">
        <v>634</v>
      </c>
      <c r="B345" s="8">
        <v>12</v>
      </c>
      <c r="C345" s="8" t="s">
        <v>35</v>
      </c>
      <c r="D345" s="8" t="s">
        <v>36</v>
      </c>
      <c r="E345" s="8" t="s">
        <v>635</v>
      </c>
      <c r="F345" s="8">
        <v>284</v>
      </c>
      <c r="G345" s="8">
        <v>111.29</v>
      </c>
      <c r="H345" s="10">
        <v>23.37</v>
      </c>
      <c r="I345" s="8">
        <f t="shared" si="20"/>
        <v>1</v>
      </c>
      <c r="J345" s="8" t="str">
        <f t="shared" si="21"/>
        <v>No</v>
      </c>
      <c r="K345" s="5" t="str">
        <f t="shared" si="22"/>
        <v>No</v>
      </c>
      <c r="L345" s="25">
        <f t="shared" si="23"/>
        <v>93.52100840336135</v>
      </c>
    </row>
    <row r="346" spans="1:12">
      <c r="A346" s="9" t="s">
        <v>636</v>
      </c>
      <c r="B346" s="8">
        <v>12</v>
      </c>
      <c r="C346" s="8" t="s">
        <v>39</v>
      </c>
      <c r="D346" s="8" t="s">
        <v>46</v>
      </c>
      <c r="E346" s="8" t="s">
        <v>403</v>
      </c>
      <c r="F346" s="8">
        <v>149</v>
      </c>
      <c r="G346" s="8">
        <v>64.3</v>
      </c>
      <c r="H346" s="10">
        <v>31.46</v>
      </c>
      <c r="I346" s="8">
        <f t="shared" si="20"/>
        <v>1</v>
      </c>
      <c r="J346" s="8" t="str">
        <f t="shared" si="21"/>
        <v>No</v>
      </c>
      <c r="K346" s="5" t="str">
        <f t="shared" si="22"/>
        <v>No</v>
      </c>
      <c r="L346" s="25">
        <f t="shared" si="23"/>
        <v>54.033613445378151</v>
      </c>
    </row>
    <row r="347" spans="1:12">
      <c r="A347" s="9" t="s">
        <v>637</v>
      </c>
      <c r="B347" s="8">
        <v>24</v>
      </c>
      <c r="C347" s="8" t="s">
        <v>51</v>
      </c>
      <c r="D347" s="8" t="s">
        <v>46</v>
      </c>
      <c r="E347" s="8" t="s">
        <v>153</v>
      </c>
      <c r="F347" s="8">
        <v>506</v>
      </c>
      <c r="G347" s="8">
        <v>170.56</v>
      </c>
      <c r="H347" s="10">
        <v>17.27</v>
      </c>
      <c r="I347" s="8">
        <f t="shared" si="20"/>
        <v>1</v>
      </c>
      <c r="J347" s="8" t="str">
        <f t="shared" si="21"/>
        <v>No</v>
      </c>
      <c r="K347" s="5" t="str">
        <f t="shared" si="22"/>
        <v>No</v>
      </c>
      <c r="L347" s="25">
        <f t="shared" si="23"/>
        <v>143.32773109243698</v>
      </c>
    </row>
    <row r="348" spans="1:12">
      <c r="A348" s="9" t="s">
        <v>638</v>
      </c>
      <c r="B348" s="8">
        <v>24</v>
      </c>
      <c r="C348" s="8" t="s">
        <v>51</v>
      </c>
      <c r="D348" s="8" t="s">
        <v>46</v>
      </c>
      <c r="E348" s="8" t="s">
        <v>85</v>
      </c>
      <c r="F348" s="8">
        <v>480</v>
      </c>
      <c r="G348" s="8">
        <v>169.11</v>
      </c>
      <c r="H348" s="10">
        <v>18.91</v>
      </c>
      <c r="I348" s="8">
        <f t="shared" si="20"/>
        <v>1</v>
      </c>
      <c r="J348" s="8" t="str">
        <f t="shared" si="21"/>
        <v>No</v>
      </c>
      <c r="K348" s="5" t="str">
        <f t="shared" si="22"/>
        <v>No</v>
      </c>
      <c r="L348" s="25">
        <f t="shared" si="23"/>
        <v>142.109243697479</v>
      </c>
    </row>
    <row r="349" spans="1:12">
      <c r="A349" s="9" t="s">
        <v>639</v>
      </c>
      <c r="B349" s="8">
        <v>12</v>
      </c>
      <c r="C349" s="8" t="s">
        <v>35</v>
      </c>
      <c r="D349" s="8" t="s">
        <v>36</v>
      </c>
      <c r="E349" s="8" t="s">
        <v>640</v>
      </c>
      <c r="F349" s="8">
        <v>192</v>
      </c>
      <c r="G349" s="8">
        <v>77.98</v>
      </c>
      <c r="H349" s="10">
        <v>23.94</v>
      </c>
      <c r="I349" s="8">
        <f t="shared" si="20"/>
        <v>1</v>
      </c>
      <c r="J349" s="8" t="str">
        <f t="shared" si="21"/>
        <v>No</v>
      </c>
      <c r="K349" s="5" t="str">
        <f t="shared" si="22"/>
        <v>No</v>
      </c>
      <c r="L349" s="25">
        <f t="shared" si="23"/>
        <v>65.529411764705884</v>
      </c>
    </row>
    <row r="350" spans="1:12">
      <c r="A350" s="9" t="s">
        <v>641</v>
      </c>
      <c r="B350" s="8">
        <v>12</v>
      </c>
      <c r="C350" s="8" t="s">
        <v>51</v>
      </c>
      <c r="D350" s="8" t="s">
        <v>56</v>
      </c>
      <c r="E350" s="8" t="s">
        <v>642</v>
      </c>
      <c r="F350" s="8">
        <v>443</v>
      </c>
      <c r="G350" s="8">
        <v>154.59</v>
      </c>
      <c r="H350" s="10">
        <v>18.010000000000002</v>
      </c>
      <c r="I350" s="8">
        <f t="shared" si="20"/>
        <v>1</v>
      </c>
      <c r="J350" s="8" t="str">
        <f t="shared" si="21"/>
        <v>No</v>
      </c>
      <c r="K350" s="5" t="str">
        <f t="shared" si="22"/>
        <v>No</v>
      </c>
      <c r="L350" s="25">
        <f t="shared" si="23"/>
        <v>129.9075630252101</v>
      </c>
    </row>
    <row r="351" spans="1:12">
      <c r="A351" s="9" t="s">
        <v>643</v>
      </c>
      <c r="B351" s="8">
        <v>24</v>
      </c>
      <c r="C351" s="8" t="s">
        <v>51</v>
      </c>
      <c r="D351" s="8" t="s">
        <v>46</v>
      </c>
      <c r="E351" s="8" t="s">
        <v>644</v>
      </c>
      <c r="F351" s="8">
        <v>478</v>
      </c>
      <c r="G351" s="8">
        <v>163.11000000000001</v>
      </c>
      <c r="H351" s="10">
        <v>19.32</v>
      </c>
      <c r="I351" s="8">
        <f t="shared" si="20"/>
        <v>1</v>
      </c>
      <c r="J351" s="8" t="str">
        <f t="shared" si="21"/>
        <v>No</v>
      </c>
      <c r="K351" s="5" t="str">
        <f t="shared" si="22"/>
        <v>No</v>
      </c>
      <c r="L351" s="25">
        <f t="shared" si="23"/>
        <v>137.06722689075633</v>
      </c>
    </row>
    <row r="352" spans="1:12">
      <c r="A352" s="9" t="s">
        <v>645</v>
      </c>
      <c r="B352" s="8">
        <v>12</v>
      </c>
      <c r="C352" s="8" t="s">
        <v>35</v>
      </c>
      <c r="D352" s="8" t="s">
        <v>36</v>
      </c>
      <c r="E352" s="8" t="s">
        <v>646</v>
      </c>
      <c r="F352" s="8">
        <v>182</v>
      </c>
      <c r="G352" s="8">
        <v>73.38</v>
      </c>
      <c r="H352" s="10">
        <v>25.22</v>
      </c>
      <c r="I352" s="8">
        <f t="shared" si="20"/>
        <v>1</v>
      </c>
      <c r="J352" s="8" t="str">
        <f t="shared" si="21"/>
        <v>No</v>
      </c>
      <c r="K352" s="5" t="str">
        <f t="shared" si="22"/>
        <v>No</v>
      </c>
      <c r="L352" s="25">
        <f t="shared" si="23"/>
        <v>61.663865546218489</v>
      </c>
    </row>
    <row r="353" spans="1:12">
      <c r="A353" s="9" t="s">
        <v>647</v>
      </c>
      <c r="B353" s="8">
        <v>24</v>
      </c>
      <c r="C353" s="8" t="s">
        <v>51</v>
      </c>
      <c r="D353" s="8" t="s">
        <v>46</v>
      </c>
      <c r="E353" s="8" t="s">
        <v>648</v>
      </c>
      <c r="F353" s="8">
        <v>407</v>
      </c>
      <c r="G353" s="8">
        <v>140.19</v>
      </c>
      <c r="H353" s="10">
        <v>17.190000000000001</v>
      </c>
      <c r="I353" s="8">
        <f t="shared" si="20"/>
        <v>1</v>
      </c>
      <c r="J353" s="8" t="str">
        <f t="shared" si="21"/>
        <v>No</v>
      </c>
      <c r="K353" s="5" t="str">
        <f t="shared" si="22"/>
        <v>No</v>
      </c>
      <c r="L353" s="25">
        <f t="shared" si="23"/>
        <v>117.80672268907563</v>
      </c>
    </row>
    <row r="354" spans="1:12">
      <c r="A354" s="9" t="s">
        <v>649</v>
      </c>
      <c r="B354" s="8">
        <v>24</v>
      </c>
      <c r="C354" s="8" t="s">
        <v>35</v>
      </c>
      <c r="D354" s="8" t="s">
        <v>36</v>
      </c>
      <c r="E354" s="8" t="s">
        <v>650</v>
      </c>
      <c r="F354" s="8">
        <v>266</v>
      </c>
      <c r="G354" s="8">
        <v>103.34</v>
      </c>
      <c r="H354" s="10">
        <v>24.32</v>
      </c>
      <c r="I354" s="8">
        <f t="shared" si="20"/>
        <v>1</v>
      </c>
      <c r="J354" s="8" t="str">
        <f t="shared" si="21"/>
        <v>No</v>
      </c>
      <c r="K354" s="5" t="str">
        <f t="shared" si="22"/>
        <v>No</v>
      </c>
      <c r="L354" s="25">
        <f t="shared" si="23"/>
        <v>86.840336134453793</v>
      </c>
    </row>
    <row r="355" spans="1:12">
      <c r="A355" s="9" t="s">
        <v>651</v>
      </c>
      <c r="B355" s="8">
        <v>12</v>
      </c>
      <c r="C355" s="8" t="s">
        <v>35</v>
      </c>
      <c r="D355" s="8" t="s">
        <v>36</v>
      </c>
      <c r="E355" s="8" t="s">
        <v>652</v>
      </c>
      <c r="F355" s="8">
        <v>289</v>
      </c>
      <c r="G355" s="8">
        <v>114.18</v>
      </c>
      <c r="H355" s="10">
        <v>24.02</v>
      </c>
      <c r="I355" s="8">
        <f t="shared" si="20"/>
        <v>1</v>
      </c>
      <c r="J355" s="8" t="str">
        <f t="shared" si="21"/>
        <v>No</v>
      </c>
      <c r="K355" s="5" t="str">
        <f t="shared" si="22"/>
        <v>No</v>
      </c>
      <c r="L355" s="25">
        <f t="shared" si="23"/>
        <v>95.94957983193278</v>
      </c>
    </row>
    <row r="356" spans="1:12">
      <c r="A356" s="9" t="s">
        <v>653</v>
      </c>
      <c r="B356" s="8">
        <v>12</v>
      </c>
      <c r="C356" s="8" t="s">
        <v>35</v>
      </c>
      <c r="D356" s="8" t="s">
        <v>56</v>
      </c>
      <c r="E356" s="8" t="s">
        <v>654</v>
      </c>
      <c r="F356" s="8">
        <v>333</v>
      </c>
      <c r="G356" s="8">
        <v>124.08</v>
      </c>
      <c r="H356" s="10">
        <v>22.58</v>
      </c>
      <c r="I356" s="8">
        <f t="shared" si="20"/>
        <v>1</v>
      </c>
      <c r="J356" s="8" t="str">
        <f t="shared" si="21"/>
        <v>No</v>
      </c>
      <c r="K356" s="5" t="str">
        <f t="shared" si="22"/>
        <v>No</v>
      </c>
      <c r="L356" s="25">
        <f t="shared" si="23"/>
        <v>104.26890756302521</v>
      </c>
    </row>
    <row r="357" spans="1:12">
      <c r="A357" s="9" t="s">
        <v>655</v>
      </c>
      <c r="B357" s="8">
        <v>24</v>
      </c>
      <c r="C357" s="8" t="s">
        <v>51</v>
      </c>
      <c r="D357" s="8" t="s">
        <v>36</v>
      </c>
      <c r="E357" s="8" t="s">
        <v>656</v>
      </c>
      <c r="F357" s="8">
        <v>645</v>
      </c>
      <c r="G357" s="8">
        <v>216.71</v>
      </c>
      <c r="H357" s="10">
        <v>19.62</v>
      </c>
      <c r="I357" s="8">
        <f t="shared" si="20"/>
        <v>1</v>
      </c>
      <c r="J357" s="8" t="str">
        <f t="shared" si="21"/>
        <v>No</v>
      </c>
      <c r="K357" s="5" t="str">
        <f t="shared" si="22"/>
        <v>No</v>
      </c>
      <c r="L357" s="25">
        <f t="shared" si="23"/>
        <v>182.109243697479</v>
      </c>
    </row>
    <row r="358" spans="1:12">
      <c r="A358" s="9" t="s">
        <v>657</v>
      </c>
      <c r="B358" s="8">
        <v>12</v>
      </c>
      <c r="C358" s="8" t="s">
        <v>39</v>
      </c>
      <c r="D358" s="8" t="s">
        <v>36</v>
      </c>
      <c r="E358" s="8" t="s">
        <v>130</v>
      </c>
      <c r="F358" s="8">
        <v>137</v>
      </c>
      <c r="G358" s="8">
        <v>57.12</v>
      </c>
      <c r="H358" s="10">
        <v>29.09</v>
      </c>
      <c r="I358" s="8">
        <f t="shared" si="20"/>
        <v>1</v>
      </c>
      <c r="J358" s="8" t="str">
        <f t="shared" si="21"/>
        <v>No</v>
      </c>
      <c r="K358" s="5" t="str">
        <f t="shared" si="22"/>
        <v>No</v>
      </c>
      <c r="L358" s="25">
        <f t="shared" si="23"/>
        <v>48</v>
      </c>
    </row>
    <row r="359" spans="1:12">
      <c r="A359" s="9" t="s">
        <v>658</v>
      </c>
      <c r="B359" s="8">
        <v>24</v>
      </c>
      <c r="C359" s="8" t="s">
        <v>51</v>
      </c>
      <c r="D359" s="8" t="s">
        <v>56</v>
      </c>
      <c r="E359" s="8" t="s">
        <v>47</v>
      </c>
      <c r="F359" s="8">
        <v>474</v>
      </c>
      <c r="G359" s="8">
        <v>164.65</v>
      </c>
      <c r="H359" s="10">
        <v>18.940000000000001</v>
      </c>
      <c r="I359" s="8">
        <f t="shared" si="20"/>
        <v>1</v>
      </c>
      <c r="J359" s="8" t="str">
        <f t="shared" si="21"/>
        <v>No</v>
      </c>
      <c r="K359" s="5" t="str">
        <f t="shared" si="22"/>
        <v>No</v>
      </c>
      <c r="L359" s="25">
        <f t="shared" si="23"/>
        <v>138.36134453781514</v>
      </c>
    </row>
    <row r="360" spans="1:12">
      <c r="A360" s="9" t="s">
        <v>659</v>
      </c>
      <c r="B360" s="8">
        <v>24</v>
      </c>
      <c r="C360" s="8" t="s">
        <v>51</v>
      </c>
      <c r="D360" s="8" t="s">
        <v>46</v>
      </c>
      <c r="E360" s="8" t="s">
        <v>660</v>
      </c>
      <c r="F360" s="8">
        <v>546</v>
      </c>
      <c r="G360" s="8">
        <v>185.17</v>
      </c>
      <c r="H360" s="10">
        <v>16.91</v>
      </c>
      <c r="I360" s="8">
        <f t="shared" si="20"/>
        <v>1</v>
      </c>
      <c r="J360" s="8" t="str">
        <f t="shared" si="21"/>
        <v>No</v>
      </c>
      <c r="K360" s="5" t="str">
        <f t="shared" si="22"/>
        <v>No</v>
      </c>
      <c r="L360" s="25">
        <f t="shared" si="23"/>
        <v>155.60504201680672</v>
      </c>
    </row>
    <row r="361" spans="1:12">
      <c r="A361" s="9" t="s">
        <v>661</v>
      </c>
      <c r="B361" s="8">
        <v>24</v>
      </c>
      <c r="C361" s="8" t="s">
        <v>39</v>
      </c>
      <c r="D361" s="8" t="s">
        <v>36</v>
      </c>
      <c r="E361" s="8" t="s">
        <v>662</v>
      </c>
      <c r="F361" s="8">
        <v>149</v>
      </c>
      <c r="G361" s="8">
        <v>61.21</v>
      </c>
      <c r="H361" s="10">
        <v>29.84</v>
      </c>
      <c r="I361" s="8">
        <f t="shared" si="20"/>
        <v>1</v>
      </c>
      <c r="J361" s="8" t="str">
        <f t="shared" si="21"/>
        <v>No</v>
      </c>
      <c r="K361" s="5" t="str">
        <f t="shared" si="22"/>
        <v>No</v>
      </c>
      <c r="L361" s="25">
        <f t="shared" si="23"/>
        <v>51.436974789915972</v>
      </c>
    </row>
    <row r="362" spans="1:12">
      <c r="A362" s="9" t="s">
        <v>663</v>
      </c>
      <c r="B362" s="8">
        <v>12</v>
      </c>
      <c r="C362" s="8" t="s">
        <v>51</v>
      </c>
      <c r="D362" s="8" t="s">
        <v>36</v>
      </c>
      <c r="E362" s="8" t="s">
        <v>208</v>
      </c>
      <c r="F362" s="8">
        <v>372</v>
      </c>
      <c r="G362" s="8">
        <v>121.86</v>
      </c>
      <c r="H362" s="10">
        <v>18.03</v>
      </c>
      <c r="I362" s="8">
        <f t="shared" si="20"/>
        <v>1</v>
      </c>
      <c r="J362" s="8" t="str">
        <f t="shared" si="21"/>
        <v>No</v>
      </c>
      <c r="K362" s="5" t="str">
        <f t="shared" si="22"/>
        <v>No</v>
      </c>
      <c r="L362" s="25">
        <f t="shared" si="23"/>
        <v>102.40336134453781</v>
      </c>
    </row>
    <row r="363" spans="1:12">
      <c r="A363" s="9" t="s">
        <v>664</v>
      </c>
      <c r="B363" s="8">
        <v>24</v>
      </c>
      <c r="C363" s="8" t="s">
        <v>39</v>
      </c>
      <c r="D363" s="8" t="s">
        <v>36</v>
      </c>
      <c r="E363" s="8" t="s">
        <v>665</v>
      </c>
      <c r="F363" s="8">
        <v>117</v>
      </c>
      <c r="G363" s="8">
        <v>51.36</v>
      </c>
      <c r="H363" s="10">
        <v>31.29</v>
      </c>
      <c r="I363" s="8">
        <f t="shared" si="20"/>
        <v>1</v>
      </c>
      <c r="J363" s="8" t="str">
        <f t="shared" si="21"/>
        <v>No</v>
      </c>
      <c r="K363" s="5" t="str">
        <f t="shared" si="22"/>
        <v>No</v>
      </c>
      <c r="L363" s="25">
        <f t="shared" si="23"/>
        <v>43.159663865546221</v>
      </c>
    </row>
    <row r="364" spans="1:12">
      <c r="A364" s="9" t="s">
        <v>666</v>
      </c>
      <c r="B364" s="8">
        <v>12</v>
      </c>
      <c r="C364" s="8" t="s">
        <v>39</v>
      </c>
      <c r="D364" s="8" t="s">
        <v>46</v>
      </c>
      <c r="E364" s="8" t="s">
        <v>361</v>
      </c>
      <c r="F364" s="8">
        <v>154</v>
      </c>
      <c r="G364" s="8">
        <v>66.400000000000006</v>
      </c>
      <c r="H364" s="10">
        <v>28.23</v>
      </c>
      <c r="I364" s="8">
        <f t="shared" si="20"/>
        <v>1</v>
      </c>
      <c r="J364" s="8" t="str">
        <f t="shared" si="21"/>
        <v>No</v>
      </c>
      <c r="K364" s="5" t="str">
        <f t="shared" si="22"/>
        <v>No</v>
      </c>
      <c r="L364" s="25">
        <f t="shared" si="23"/>
        <v>55.7983193277311</v>
      </c>
    </row>
    <row r="365" spans="1:12">
      <c r="A365" s="9" t="s">
        <v>667</v>
      </c>
      <c r="B365" s="8">
        <v>12</v>
      </c>
      <c r="C365" s="8" t="s">
        <v>35</v>
      </c>
      <c r="D365" s="8" t="s">
        <v>36</v>
      </c>
      <c r="E365" s="8" t="s">
        <v>126</v>
      </c>
      <c r="F365" s="8">
        <v>231</v>
      </c>
      <c r="G365" s="8">
        <v>88.81</v>
      </c>
      <c r="H365" s="10">
        <v>23.67</v>
      </c>
      <c r="I365" s="8">
        <f t="shared" si="20"/>
        <v>1</v>
      </c>
      <c r="J365" s="8" t="str">
        <f t="shared" si="21"/>
        <v>No</v>
      </c>
      <c r="K365" s="5" t="str">
        <f t="shared" si="22"/>
        <v>No</v>
      </c>
      <c r="L365" s="25">
        <f t="shared" si="23"/>
        <v>74.630252100840337</v>
      </c>
    </row>
    <row r="366" spans="1:12">
      <c r="A366" s="9" t="s">
        <v>668</v>
      </c>
      <c r="B366" s="8">
        <v>24</v>
      </c>
      <c r="C366" s="8" t="s">
        <v>39</v>
      </c>
      <c r="D366" s="8" t="s">
        <v>36</v>
      </c>
      <c r="E366" s="8" t="s">
        <v>361</v>
      </c>
      <c r="F366" s="8">
        <v>131</v>
      </c>
      <c r="G366" s="8">
        <v>54.93</v>
      </c>
      <c r="H366" s="10">
        <v>29.83</v>
      </c>
      <c r="I366" s="8">
        <f t="shared" si="20"/>
        <v>1</v>
      </c>
      <c r="J366" s="8" t="str">
        <f t="shared" si="21"/>
        <v>No</v>
      </c>
      <c r="K366" s="5" t="str">
        <f t="shared" si="22"/>
        <v>No</v>
      </c>
      <c r="L366" s="25">
        <f t="shared" si="23"/>
        <v>46.159663865546221</v>
      </c>
    </row>
    <row r="367" spans="1:12">
      <c r="A367" s="9" t="s">
        <v>669</v>
      </c>
      <c r="B367" s="8">
        <v>12</v>
      </c>
      <c r="C367" s="8" t="s">
        <v>51</v>
      </c>
      <c r="D367" s="8" t="s">
        <v>56</v>
      </c>
      <c r="E367" s="8" t="s">
        <v>670</v>
      </c>
      <c r="F367" s="8">
        <v>529</v>
      </c>
      <c r="G367" s="8">
        <v>181.12</v>
      </c>
      <c r="H367" s="10">
        <v>20.13</v>
      </c>
      <c r="I367" s="8">
        <f t="shared" si="20"/>
        <v>1</v>
      </c>
      <c r="J367" s="8" t="str">
        <f t="shared" si="21"/>
        <v>No</v>
      </c>
      <c r="K367" s="5" t="str">
        <f t="shared" si="22"/>
        <v>No</v>
      </c>
      <c r="L367" s="25">
        <f t="shared" si="23"/>
        <v>152.20168067226891</v>
      </c>
    </row>
    <row r="368" spans="1:12">
      <c r="A368" s="9" t="s">
        <v>671</v>
      </c>
      <c r="B368" s="8">
        <v>24</v>
      </c>
      <c r="C368" s="8" t="s">
        <v>51</v>
      </c>
      <c r="D368" s="8" t="s">
        <v>36</v>
      </c>
      <c r="E368" s="8" t="s">
        <v>215</v>
      </c>
      <c r="F368" s="8">
        <v>395</v>
      </c>
      <c r="G368" s="8">
        <v>129.04</v>
      </c>
      <c r="H368" s="10">
        <v>19.37</v>
      </c>
      <c r="I368" s="8">
        <f t="shared" si="20"/>
        <v>1</v>
      </c>
      <c r="J368" s="8" t="str">
        <f t="shared" si="21"/>
        <v>No</v>
      </c>
      <c r="K368" s="5" t="str">
        <f t="shared" si="22"/>
        <v>No</v>
      </c>
      <c r="L368" s="25">
        <f t="shared" si="23"/>
        <v>108.43697478991596</v>
      </c>
    </row>
    <row r="369" spans="1:12">
      <c r="A369" s="9" t="s">
        <v>672</v>
      </c>
      <c r="B369" s="8">
        <v>24</v>
      </c>
      <c r="C369" s="8" t="s">
        <v>35</v>
      </c>
      <c r="D369" s="8" t="s">
        <v>36</v>
      </c>
      <c r="E369" s="8" t="s">
        <v>673</v>
      </c>
      <c r="F369" s="8">
        <v>227</v>
      </c>
      <c r="G369" s="8">
        <v>86.7</v>
      </c>
      <c r="H369" s="10">
        <v>24.67</v>
      </c>
      <c r="I369" s="8">
        <f t="shared" si="20"/>
        <v>1</v>
      </c>
      <c r="J369" s="8" t="str">
        <f t="shared" si="21"/>
        <v>No</v>
      </c>
      <c r="K369" s="5" t="str">
        <f t="shared" si="22"/>
        <v>No</v>
      </c>
      <c r="L369" s="25">
        <f t="shared" si="23"/>
        <v>72.857142857142861</v>
      </c>
    </row>
    <row r="370" spans="1:12">
      <c r="A370" s="9" t="s">
        <v>674</v>
      </c>
      <c r="B370" s="8">
        <v>12</v>
      </c>
      <c r="C370" s="8" t="s">
        <v>39</v>
      </c>
      <c r="D370" s="8" t="s">
        <v>36</v>
      </c>
      <c r="E370" s="8" t="s">
        <v>675</v>
      </c>
      <c r="F370" s="8">
        <v>111</v>
      </c>
      <c r="G370" s="8">
        <v>48.15</v>
      </c>
      <c r="H370" s="10">
        <v>31.11</v>
      </c>
      <c r="I370" s="8">
        <f t="shared" si="20"/>
        <v>1</v>
      </c>
      <c r="J370" s="8" t="str">
        <f t="shared" si="21"/>
        <v>No</v>
      </c>
      <c r="K370" s="5" t="str">
        <f t="shared" si="22"/>
        <v>No</v>
      </c>
      <c r="L370" s="25">
        <f t="shared" si="23"/>
        <v>40.462184873949582</v>
      </c>
    </row>
    <row r="371" spans="1:12">
      <c r="A371" s="9" t="s">
        <v>676</v>
      </c>
      <c r="B371" s="8">
        <v>12</v>
      </c>
      <c r="C371" s="8" t="s">
        <v>39</v>
      </c>
      <c r="D371" s="8" t="s">
        <v>46</v>
      </c>
      <c r="E371" s="8" t="s">
        <v>677</v>
      </c>
      <c r="F371" s="8">
        <v>85</v>
      </c>
      <c r="G371" s="8">
        <v>42.13</v>
      </c>
      <c r="H371" s="10">
        <v>31.45</v>
      </c>
      <c r="I371" s="8">
        <f t="shared" si="20"/>
        <v>1</v>
      </c>
      <c r="J371" s="8" t="str">
        <f t="shared" si="21"/>
        <v>No</v>
      </c>
      <c r="K371" s="5" t="str">
        <f t="shared" si="22"/>
        <v>No</v>
      </c>
      <c r="L371" s="25">
        <f t="shared" si="23"/>
        <v>35.403361344537821</v>
      </c>
    </row>
    <row r="372" spans="1:12">
      <c r="A372" s="9" t="s">
        <v>678</v>
      </c>
      <c r="B372" s="8">
        <v>12</v>
      </c>
      <c r="C372" s="8" t="s">
        <v>35</v>
      </c>
      <c r="D372" s="8" t="s">
        <v>36</v>
      </c>
      <c r="E372" s="8" t="s">
        <v>553</v>
      </c>
      <c r="F372" s="8">
        <v>171</v>
      </c>
      <c r="G372" s="8">
        <v>66.709999999999994</v>
      </c>
      <c r="H372" s="10">
        <v>23.26</v>
      </c>
      <c r="I372" s="8">
        <f t="shared" si="20"/>
        <v>1</v>
      </c>
      <c r="J372" s="8" t="str">
        <f t="shared" si="21"/>
        <v>No</v>
      </c>
      <c r="K372" s="5" t="str">
        <f t="shared" si="22"/>
        <v>No</v>
      </c>
      <c r="L372" s="25">
        <f t="shared" si="23"/>
        <v>56.058823529411761</v>
      </c>
    </row>
    <row r="373" spans="1:12">
      <c r="A373" s="9" t="s">
        <v>679</v>
      </c>
      <c r="B373" s="8">
        <v>12</v>
      </c>
      <c r="C373" s="8" t="s">
        <v>51</v>
      </c>
      <c r="D373" s="8" t="s">
        <v>36</v>
      </c>
      <c r="E373" s="8" t="s">
        <v>499</v>
      </c>
      <c r="F373" s="8">
        <v>611</v>
      </c>
      <c r="G373" s="8">
        <v>198.72</v>
      </c>
      <c r="H373" s="10">
        <v>19.190000000000001</v>
      </c>
      <c r="I373" s="8">
        <f t="shared" si="20"/>
        <v>1</v>
      </c>
      <c r="J373" s="8" t="str">
        <f t="shared" si="21"/>
        <v>No</v>
      </c>
      <c r="K373" s="5" t="str">
        <f t="shared" si="22"/>
        <v>No</v>
      </c>
      <c r="L373" s="25">
        <f t="shared" si="23"/>
        <v>166.99159663865547</v>
      </c>
    </row>
    <row r="374" spans="1:12">
      <c r="A374" s="9" t="s">
        <v>680</v>
      </c>
      <c r="B374" s="8">
        <v>12</v>
      </c>
      <c r="C374" s="8" t="s">
        <v>35</v>
      </c>
      <c r="D374" s="8" t="s">
        <v>56</v>
      </c>
      <c r="E374" s="8" t="s">
        <v>258</v>
      </c>
      <c r="F374" s="8">
        <v>212</v>
      </c>
      <c r="G374" s="8">
        <v>76.94</v>
      </c>
      <c r="H374" s="10">
        <v>25.36</v>
      </c>
      <c r="I374" s="8">
        <f t="shared" si="20"/>
        <v>1</v>
      </c>
      <c r="J374" s="8" t="str">
        <f t="shared" si="21"/>
        <v>No</v>
      </c>
      <c r="K374" s="5" t="str">
        <f t="shared" si="22"/>
        <v>No</v>
      </c>
      <c r="L374" s="25">
        <f t="shared" si="23"/>
        <v>64.655462184873954</v>
      </c>
    </row>
    <row r="375" spans="1:12">
      <c r="A375" s="9" t="s">
        <v>681</v>
      </c>
      <c r="B375" s="8">
        <v>24</v>
      </c>
      <c r="C375" s="8" t="s">
        <v>39</v>
      </c>
      <c r="D375" s="8" t="s">
        <v>36</v>
      </c>
      <c r="E375" s="8" t="s">
        <v>199</v>
      </c>
      <c r="F375" s="8">
        <v>126</v>
      </c>
      <c r="G375" s="8">
        <v>53.63</v>
      </c>
      <c r="H375" s="10">
        <v>31.96</v>
      </c>
      <c r="I375" s="8">
        <f t="shared" si="20"/>
        <v>1</v>
      </c>
      <c r="J375" s="8" t="str">
        <f t="shared" si="21"/>
        <v>No</v>
      </c>
      <c r="K375" s="5" t="str">
        <f t="shared" si="22"/>
        <v>No</v>
      </c>
      <c r="L375" s="25">
        <f t="shared" si="23"/>
        <v>45.067226890756309</v>
      </c>
    </row>
    <row r="376" spans="1:12">
      <c r="A376" s="9" t="s">
        <v>682</v>
      </c>
      <c r="B376" s="8">
        <v>12</v>
      </c>
      <c r="C376" s="8" t="s">
        <v>35</v>
      </c>
      <c r="D376" s="8" t="s">
        <v>36</v>
      </c>
      <c r="E376" s="8" t="s">
        <v>683</v>
      </c>
      <c r="F376" s="8">
        <v>217</v>
      </c>
      <c r="G376" s="8">
        <v>83.91</v>
      </c>
      <c r="H376" s="10">
        <v>25.56</v>
      </c>
      <c r="I376" s="8">
        <f t="shared" si="20"/>
        <v>1</v>
      </c>
      <c r="J376" s="8" t="str">
        <f t="shared" si="21"/>
        <v>No</v>
      </c>
      <c r="K376" s="5" t="str">
        <f t="shared" si="22"/>
        <v>No</v>
      </c>
      <c r="L376" s="25">
        <f t="shared" si="23"/>
        <v>70.512605042016801</v>
      </c>
    </row>
    <row r="377" spans="1:12">
      <c r="A377" s="9" t="s">
        <v>684</v>
      </c>
      <c r="B377" s="8">
        <v>12</v>
      </c>
      <c r="C377" s="8" t="s">
        <v>35</v>
      </c>
      <c r="D377" s="8" t="s">
        <v>36</v>
      </c>
      <c r="E377" s="8" t="s">
        <v>401</v>
      </c>
      <c r="F377" s="8">
        <v>323</v>
      </c>
      <c r="G377" s="8">
        <v>120.91</v>
      </c>
      <c r="H377" s="10">
        <v>23.49</v>
      </c>
      <c r="I377" s="8">
        <f t="shared" si="20"/>
        <v>1</v>
      </c>
      <c r="J377" s="8" t="str">
        <f t="shared" si="21"/>
        <v>No</v>
      </c>
      <c r="K377" s="5" t="str">
        <f t="shared" si="22"/>
        <v>No</v>
      </c>
      <c r="L377" s="25">
        <f t="shared" si="23"/>
        <v>101.60504201680672</v>
      </c>
    </row>
    <row r="378" spans="1:12">
      <c r="A378" s="9" t="s">
        <v>685</v>
      </c>
      <c r="B378" s="8">
        <v>24</v>
      </c>
      <c r="C378" s="8" t="s">
        <v>51</v>
      </c>
      <c r="D378" s="8" t="s">
        <v>36</v>
      </c>
      <c r="E378" s="8" t="s">
        <v>686</v>
      </c>
      <c r="F378" s="8">
        <v>420</v>
      </c>
      <c r="G378" s="8">
        <v>144.31</v>
      </c>
      <c r="H378" s="10">
        <v>17.48</v>
      </c>
      <c r="I378" s="8">
        <f t="shared" si="20"/>
        <v>1</v>
      </c>
      <c r="J378" s="8" t="str">
        <f t="shared" si="21"/>
        <v>No</v>
      </c>
      <c r="K378" s="5" t="str">
        <f t="shared" si="22"/>
        <v>No</v>
      </c>
      <c r="L378" s="25">
        <f t="shared" si="23"/>
        <v>121.26890756302522</v>
      </c>
    </row>
    <row r="379" spans="1:12">
      <c r="A379" s="9" t="s">
        <v>687</v>
      </c>
      <c r="B379" s="8">
        <v>12</v>
      </c>
      <c r="C379" s="8" t="s">
        <v>39</v>
      </c>
      <c r="D379" s="8" t="s">
        <v>36</v>
      </c>
      <c r="E379" s="8" t="s">
        <v>688</v>
      </c>
      <c r="F379" s="8">
        <v>119</v>
      </c>
      <c r="G379" s="8">
        <v>53.19</v>
      </c>
      <c r="H379" s="10">
        <v>29.96</v>
      </c>
      <c r="I379" s="8">
        <f t="shared" si="20"/>
        <v>1</v>
      </c>
      <c r="J379" s="8" t="str">
        <f t="shared" si="21"/>
        <v>No</v>
      </c>
      <c r="K379" s="5" t="str">
        <f t="shared" si="22"/>
        <v>No</v>
      </c>
      <c r="L379" s="25">
        <f t="shared" si="23"/>
        <v>44.69747899159664</v>
      </c>
    </row>
    <row r="380" spans="1:12">
      <c r="A380" s="9" t="s">
        <v>689</v>
      </c>
      <c r="B380" s="8">
        <v>24</v>
      </c>
      <c r="C380" s="8" t="s">
        <v>51</v>
      </c>
      <c r="D380" s="8" t="s">
        <v>36</v>
      </c>
      <c r="E380" s="8" t="s">
        <v>464</v>
      </c>
      <c r="F380" s="8">
        <v>624</v>
      </c>
      <c r="G380" s="8">
        <v>201.14</v>
      </c>
      <c r="H380" s="10">
        <v>20.21</v>
      </c>
      <c r="I380" s="8">
        <f t="shared" si="20"/>
        <v>1</v>
      </c>
      <c r="J380" s="8" t="str">
        <f t="shared" si="21"/>
        <v>No</v>
      </c>
      <c r="K380" s="5" t="str">
        <f t="shared" si="22"/>
        <v>No</v>
      </c>
      <c r="L380" s="25">
        <f t="shared" si="23"/>
        <v>169.0252100840336</v>
      </c>
    </row>
    <row r="381" spans="1:12">
      <c r="A381" s="9" t="s">
        <v>690</v>
      </c>
      <c r="B381" s="8">
        <v>12</v>
      </c>
      <c r="C381" s="8" t="s">
        <v>35</v>
      </c>
      <c r="D381" s="8" t="s">
        <v>36</v>
      </c>
      <c r="E381" s="8" t="s">
        <v>691</v>
      </c>
      <c r="F381" s="8">
        <v>307</v>
      </c>
      <c r="G381" s="8">
        <v>116.16</v>
      </c>
      <c r="H381" s="10">
        <v>23.97</v>
      </c>
      <c r="I381" s="8">
        <f t="shared" si="20"/>
        <v>1</v>
      </c>
      <c r="J381" s="8" t="str">
        <f t="shared" si="21"/>
        <v>No</v>
      </c>
      <c r="K381" s="5" t="str">
        <f t="shared" si="22"/>
        <v>No</v>
      </c>
      <c r="L381" s="25">
        <f t="shared" si="23"/>
        <v>97.613445378151269</v>
      </c>
    </row>
    <row r="382" spans="1:12">
      <c r="A382" s="9" t="s">
        <v>692</v>
      </c>
      <c r="B382" s="8">
        <v>12</v>
      </c>
      <c r="C382" s="8" t="s">
        <v>51</v>
      </c>
      <c r="D382" s="8" t="s">
        <v>36</v>
      </c>
      <c r="E382" s="8" t="s">
        <v>693</v>
      </c>
      <c r="F382" s="8">
        <v>395</v>
      </c>
      <c r="G382" s="8">
        <v>127.48</v>
      </c>
      <c r="H382" s="10">
        <v>18.920000000000002</v>
      </c>
      <c r="I382" s="8">
        <f t="shared" si="20"/>
        <v>1</v>
      </c>
      <c r="J382" s="8" t="str">
        <f t="shared" si="21"/>
        <v>No</v>
      </c>
      <c r="K382" s="5" t="str">
        <f t="shared" si="22"/>
        <v>No</v>
      </c>
      <c r="L382" s="25">
        <f t="shared" si="23"/>
        <v>107.12605042016807</v>
      </c>
    </row>
    <row r="383" spans="1:12">
      <c r="A383" s="9" t="s">
        <v>694</v>
      </c>
      <c r="B383" s="8">
        <v>24</v>
      </c>
      <c r="C383" s="8" t="s">
        <v>39</v>
      </c>
      <c r="D383" s="8" t="s">
        <v>56</v>
      </c>
      <c r="E383" s="8" t="s">
        <v>553</v>
      </c>
      <c r="F383" s="8">
        <v>150</v>
      </c>
      <c r="G383" s="8">
        <v>0</v>
      </c>
      <c r="H383" s="10">
        <v>29.35</v>
      </c>
      <c r="I383" s="8">
        <f t="shared" si="20"/>
        <v>1</v>
      </c>
      <c r="J383" s="8" t="str">
        <f t="shared" si="21"/>
        <v>No</v>
      </c>
      <c r="K383" s="5" t="str">
        <f t="shared" si="22"/>
        <v>No</v>
      </c>
      <c r="L383" s="25">
        <f t="shared" si="23"/>
        <v>0</v>
      </c>
    </row>
    <row r="384" spans="1:12">
      <c r="A384" s="9" t="s">
        <v>695</v>
      </c>
      <c r="B384" s="8">
        <v>24</v>
      </c>
      <c r="C384" s="8" t="s">
        <v>35</v>
      </c>
      <c r="D384" s="8" t="s">
        <v>56</v>
      </c>
      <c r="E384" s="8" t="s">
        <v>231</v>
      </c>
      <c r="F384" s="8">
        <v>243</v>
      </c>
      <c r="G384" s="8">
        <v>93.23</v>
      </c>
      <c r="H384" s="10">
        <v>23.45</v>
      </c>
      <c r="I384" s="8">
        <f t="shared" si="20"/>
        <v>1</v>
      </c>
      <c r="J384" s="8" t="str">
        <f t="shared" si="21"/>
        <v>No</v>
      </c>
      <c r="K384" s="5" t="str">
        <f t="shared" si="22"/>
        <v>No</v>
      </c>
      <c r="L384" s="25">
        <f t="shared" si="23"/>
        <v>78.34453781512606</v>
      </c>
    </row>
    <row r="385" spans="1:12">
      <c r="A385" s="9" t="s">
        <v>696</v>
      </c>
      <c r="B385" s="8">
        <v>24</v>
      </c>
      <c r="C385" s="8" t="s">
        <v>51</v>
      </c>
      <c r="D385" s="8" t="s">
        <v>46</v>
      </c>
      <c r="E385" s="8" t="s">
        <v>376</v>
      </c>
      <c r="F385" s="8">
        <v>494</v>
      </c>
      <c r="G385" s="8">
        <v>171.02</v>
      </c>
      <c r="H385" s="10">
        <v>20.8</v>
      </c>
      <c r="I385" s="8">
        <f t="shared" si="20"/>
        <v>1</v>
      </c>
      <c r="J385" s="8" t="str">
        <f t="shared" si="21"/>
        <v>No</v>
      </c>
      <c r="K385" s="5" t="str">
        <f t="shared" si="22"/>
        <v>No</v>
      </c>
      <c r="L385" s="25">
        <f t="shared" si="23"/>
        <v>143.71428571428572</v>
      </c>
    </row>
    <row r="386" spans="1:12">
      <c r="A386" s="9" t="s">
        <v>697</v>
      </c>
      <c r="B386" s="8">
        <v>24</v>
      </c>
      <c r="C386" s="8" t="s">
        <v>39</v>
      </c>
      <c r="D386" s="8" t="s">
        <v>56</v>
      </c>
      <c r="E386" s="8" t="s">
        <v>698</v>
      </c>
      <c r="F386" s="8">
        <v>94</v>
      </c>
      <c r="G386" s="8">
        <v>47.44</v>
      </c>
      <c r="H386" s="10">
        <v>29.63</v>
      </c>
      <c r="I386" s="8">
        <f t="shared" ref="I386:I449" si="24">COUNTIF($A:$A,A386)</f>
        <v>1</v>
      </c>
      <c r="J386" s="8" t="str">
        <f t="shared" ref="J386:J449" si="25">IF(F386=0,"Yes","No")</f>
        <v>No</v>
      </c>
      <c r="K386" s="5" t="str">
        <f t="shared" ref="K386:K449" si="26">IF(F386&lt;0,"Yes","No")</f>
        <v>No</v>
      </c>
      <c r="L386" s="25">
        <f t="shared" ref="L386:L449" si="27">G386/1.19</f>
        <v>39.865546218487395</v>
      </c>
    </row>
    <row r="387" spans="1:12">
      <c r="A387" s="9" t="s">
        <v>699</v>
      </c>
      <c r="B387" s="8">
        <v>24</v>
      </c>
      <c r="C387" s="8" t="s">
        <v>51</v>
      </c>
      <c r="D387" s="8" t="s">
        <v>36</v>
      </c>
      <c r="E387" s="8" t="s">
        <v>579</v>
      </c>
      <c r="F387" s="8">
        <v>360</v>
      </c>
      <c r="G387" s="8">
        <v>128.22999999999999</v>
      </c>
      <c r="H387" s="10">
        <v>18.14</v>
      </c>
      <c r="I387" s="8">
        <f t="shared" si="24"/>
        <v>1</v>
      </c>
      <c r="J387" s="8" t="str">
        <f t="shared" si="25"/>
        <v>No</v>
      </c>
      <c r="K387" s="5" t="str">
        <f t="shared" si="26"/>
        <v>No</v>
      </c>
      <c r="L387" s="25">
        <f t="shared" si="27"/>
        <v>107.75630252100839</v>
      </c>
    </row>
    <row r="388" spans="1:12">
      <c r="A388" s="9" t="s">
        <v>700</v>
      </c>
      <c r="B388" s="8">
        <v>12</v>
      </c>
      <c r="C388" s="8" t="s">
        <v>35</v>
      </c>
      <c r="D388" s="8" t="s">
        <v>56</v>
      </c>
      <c r="E388" s="8" t="s">
        <v>701</v>
      </c>
      <c r="F388" s="8">
        <v>288</v>
      </c>
      <c r="G388" s="8">
        <v>113.37</v>
      </c>
      <c r="H388" s="10">
        <v>23.82</v>
      </c>
      <c r="I388" s="8">
        <f t="shared" si="24"/>
        <v>1</v>
      </c>
      <c r="J388" s="8" t="str">
        <f t="shared" si="25"/>
        <v>No</v>
      </c>
      <c r="K388" s="5" t="str">
        <f t="shared" si="26"/>
        <v>No</v>
      </c>
      <c r="L388" s="25">
        <f t="shared" si="27"/>
        <v>95.268907563025223</v>
      </c>
    </row>
    <row r="389" spans="1:12">
      <c r="A389" s="9" t="s">
        <v>702</v>
      </c>
      <c r="B389" s="8">
        <v>12</v>
      </c>
      <c r="C389" s="8" t="s">
        <v>39</v>
      </c>
      <c r="D389" s="8" t="s">
        <v>36</v>
      </c>
      <c r="E389" s="8" t="s">
        <v>703</v>
      </c>
      <c r="F389" s="8">
        <v>125</v>
      </c>
      <c r="G389" s="8">
        <v>53.02</v>
      </c>
      <c r="H389" s="10">
        <v>31.05</v>
      </c>
      <c r="I389" s="8">
        <f t="shared" si="24"/>
        <v>1</v>
      </c>
      <c r="J389" s="8" t="str">
        <f t="shared" si="25"/>
        <v>No</v>
      </c>
      <c r="K389" s="5" t="str">
        <f t="shared" si="26"/>
        <v>No</v>
      </c>
      <c r="L389" s="25">
        <f t="shared" si="27"/>
        <v>44.554621848739501</v>
      </c>
    </row>
    <row r="390" spans="1:12">
      <c r="A390" s="9" t="s">
        <v>704</v>
      </c>
      <c r="B390" s="8">
        <v>24</v>
      </c>
      <c r="C390" s="8" t="s">
        <v>39</v>
      </c>
      <c r="D390" s="8" t="s">
        <v>56</v>
      </c>
      <c r="E390" s="8" t="s">
        <v>705</v>
      </c>
      <c r="F390" s="8">
        <v>120</v>
      </c>
      <c r="G390" s="8">
        <v>54.28</v>
      </c>
      <c r="H390" s="10">
        <v>28.5</v>
      </c>
      <c r="I390" s="8">
        <f t="shared" si="24"/>
        <v>1</v>
      </c>
      <c r="J390" s="8" t="str">
        <f t="shared" si="25"/>
        <v>No</v>
      </c>
      <c r="K390" s="5" t="str">
        <f t="shared" si="26"/>
        <v>No</v>
      </c>
      <c r="L390" s="25">
        <f t="shared" si="27"/>
        <v>45.613445378151262</v>
      </c>
    </row>
    <row r="391" spans="1:12">
      <c r="A391" s="9" t="s">
        <v>706</v>
      </c>
      <c r="B391" s="8">
        <v>24</v>
      </c>
      <c r="C391" s="8" t="s">
        <v>35</v>
      </c>
      <c r="D391" s="8" t="s">
        <v>56</v>
      </c>
      <c r="E391" s="8" t="s">
        <v>707</v>
      </c>
      <c r="F391" s="8">
        <v>288</v>
      </c>
      <c r="G391" s="8">
        <v>103.84</v>
      </c>
      <c r="H391" s="10">
        <v>22.79</v>
      </c>
      <c r="I391" s="8">
        <f t="shared" si="24"/>
        <v>1</v>
      </c>
      <c r="J391" s="8" t="str">
        <f t="shared" si="25"/>
        <v>No</v>
      </c>
      <c r="K391" s="5" t="str">
        <f t="shared" si="26"/>
        <v>No</v>
      </c>
      <c r="L391" s="25">
        <f t="shared" si="27"/>
        <v>87.260504201680675</v>
      </c>
    </row>
    <row r="392" spans="1:12">
      <c r="A392" s="9" t="s">
        <v>708</v>
      </c>
      <c r="B392" s="8">
        <v>24</v>
      </c>
      <c r="C392" s="8" t="s">
        <v>39</v>
      </c>
      <c r="D392" s="8" t="s">
        <v>46</v>
      </c>
      <c r="E392" s="8" t="s">
        <v>709</v>
      </c>
      <c r="F392" s="8">
        <v>147</v>
      </c>
      <c r="G392" s="8">
        <v>61.16</v>
      </c>
      <c r="H392" s="10">
        <v>31.81</v>
      </c>
      <c r="I392" s="8">
        <f t="shared" si="24"/>
        <v>1</v>
      </c>
      <c r="J392" s="8" t="str">
        <f t="shared" si="25"/>
        <v>No</v>
      </c>
      <c r="K392" s="5" t="str">
        <f t="shared" si="26"/>
        <v>No</v>
      </c>
      <c r="L392" s="25">
        <f t="shared" si="27"/>
        <v>51.394957983193279</v>
      </c>
    </row>
    <row r="393" spans="1:12">
      <c r="A393" s="9" t="s">
        <v>710</v>
      </c>
      <c r="B393" s="8">
        <v>12</v>
      </c>
      <c r="C393" s="8" t="s">
        <v>35</v>
      </c>
      <c r="D393" s="8" t="s">
        <v>56</v>
      </c>
      <c r="E393" s="8" t="s">
        <v>381</v>
      </c>
      <c r="F393" s="8">
        <v>193</v>
      </c>
      <c r="G393" s="8">
        <v>77.569999999999993</v>
      </c>
      <c r="H393" s="10">
        <v>22.7</v>
      </c>
      <c r="I393" s="8">
        <f t="shared" si="24"/>
        <v>1</v>
      </c>
      <c r="J393" s="8" t="str">
        <f t="shared" si="25"/>
        <v>No</v>
      </c>
      <c r="K393" s="5" t="str">
        <f t="shared" si="26"/>
        <v>No</v>
      </c>
      <c r="L393" s="25">
        <f t="shared" si="27"/>
        <v>65.184873949579824</v>
      </c>
    </row>
    <row r="394" spans="1:12">
      <c r="A394" s="9" t="s">
        <v>711</v>
      </c>
      <c r="B394" s="8">
        <v>12</v>
      </c>
      <c r="C394" s="8" t="s">
        <v>39</v>
      </c>
      <c r="D394" s="8" t="s">
        <v>46</v>
      </c>
      <c r="E394" s="8" t="s">
        <v>126</v>
      </c>
      <c r="F394" s="8">
        <v>134</v>
      </c>
      <c r="G394" s="8">
        <v>61.01</v>
      </c>
      <c r="H394" s="10">
        <v>30.27</v>
      </c>
      <c r="I394" s="8">
        <f t="shared" si="24"/>
        <v>1</v>
      </c>
      <c r="J394" s="8" t="str">
        <f t="shared" si="25"/>
        <v>No</v>
      </c>
      <c r="K394" s="5" t="str">
        <f t="shared" si="26"/>
        <v>No</v>
      </c>
      <c r="L394" s="25">
        <f t="shared" si="27"/>
        <v>51.268907563025209</v>
      </c>
    </row>
    <row r="395" spans="1:12">
      <c r="A395" s="9" t="s">
        <v>712</v>
      </c>
      <c r="B395" s="8">
        <v>24</v>
      </c>
      <c r="C395" s="8" t="s">
        <v>35</v>
      </c>
      <c r="D395" s="8" t="s">
        <v>36</v>
      </c>
      <c r="E395" s="8" t="s">
        <v>354</v>
      </c>
      <c r="F395" s="8">
        <v>190</v>
      </c>
      <c r="G395" s="8">
        <v>75.150000000000006</v>
      </c>
      <c r="H395" s="10">
        <v>24.32</v>
      </c>
      <c r="I395" s="8">
        <f t="shared" si="24"/>
        <v>1</v>
      </c>
      <c r="J395" s="8" t="str">
        <f t="shared" si="25"/>
        <v>No</v>
      </c>
      <c r="K395" s="5" t="str">
        <f t="shared" si="26"/>
        <v>No</v>
      </c>
      <c r="L395" s="25">
        <f t="shared" si="27"/>
        <v>63.151260504201687</v>
      </c>
    </row>
    <row r="396" spans="1:12">
      <c r="A396" s="9" t="s">
        <v>713</v>
      </c>
      <c r="B396" s="8">
        <v>12</v>
      </c>
      <c r="C396" s="8" t="s">
        <v>39</v>
      </c>
      <c r="D396" s="8" t="s">
        <v>36</v>
      </c>
      <c r="E396" s="8" t="s">
        <v>464</v>
      </c>
      <c r="F396" s="8">
        <v>146</v>
      </c>
      <c r="G396" s="8">
        <v>64.11</v>
      </c>
      <c r="H396" s="10">
        <v>29.96</v>
      </c>
      <c r="I396" s="8">
        <f t="shared" si="24"/>
        <v>1</v>
      </c>
      <c r="J396" s="8" t="str">
        <f t="shared" si="25"/>
        <v>No</v>
      </c>
      <c r="K396" s="5" t="str">
        <f t="shared" si="26"/>
        <v>No</v>
      </c>
      <c r="L396" s="25">
        <f t="shared" si="27"/>
        <v>53.873949579831937</v>
      </c>
    </row>
    <row r="397" spans="1:12">
      <c r="A397" s="9" t="s">
        <v>714</v>
      </c>
      <c r="B397" s="8">
        <v>24</v>
      </c>
      <c r="C397" s="8" t="s">
        <v>51</v>
      </c>
      <c r="D397" s="8" t="s">
        <v>46</v>
      </c>
      <c r="E397" s="8" t="s">
        <v>715</v>
      </c>
      <c r="F397" s="8">
        <v>552</v>
      </c>
      <c r="G397" s="8">
        <v>194.29</v>
      </c>
      <c r="H397" s="10">
        <v>19.72</v>
      </c>
      <c r="I397" s="8">
        <f t="shared" si="24"/>
        <v>1</v>
      </c>
      <c r="J397" s="8" t="str">
        <f t="shared" si="25"/>
        <v>No</v>
      </c>
      <c r="K397" s="5" t="str">
        <f t="shared" si="26"/>
        <v>No</v>
      </c>
      <c r="L397" s="25">
        <f t="shared" si="27"/>
        <v>163.26890756302521</v>
      </c>
    </row>
    <row r="398" spans="1:12">
      <c r="A398" s="9" t="s">
        <v>716</v>
      </c>
      <c r="B398" s="8">
        <v>24</v>
      </c>
      <c r="C398" s="8" t="s">
        <v>51</v>
      </c>
      <c r="D398" s="8" t="s">
        <v>36</v>
      </c>
      <c r="E398" s="8" t="s">
        <v>510</v>
      </c>
      <c r="F398" s="8">
        <v>652</v>
      </c>
      <c r="G398" s="8">
        <v>214.06</v>
      </c>
      <c r="H398" s="10">
        <v>17.649999999999999</v>
      </c>
      <c r="I398" s="8">
        <f t="shared" si="24"/>
        <v>1</v>
      </c>
      <c r="J398" s="8" t="str">
        <f t="shared" si="25"/>
        <v>No</v>
      </c>
      <c r="K398" s="5" t="str">
        <f t="shared" si="26"/>
        <v>No</v>
      </c>
      <c r="L398" s="25">
        <f t="shared" si="27"/>
        <v>179.88235294117649</v>
      </c>
    </row>
    <row r="399" spans="1:12">
      <c r="A399" s="9" t="s">
        <v>717</v>
      </c>
      <c r="B399" s="8">
        <v>12</v>
      </c>
      <c r="C399" s="8" t="s">
        <v>51</v>
      </c>
      <c r="D399" s="8" t="s">
        <v>46</v>
      </c>
      <c r="E399" s="8" t="s">
        <v>260</v>
      </c>
      <c r="F399" s="8">
        <v>356</v>
      </c>
      <c r="G399" s="8">
        <v>114.6</v>
      </c>
      <c r="H399" s="10">
        <v>19.260000000000002</v>
      </c>
      <c r="I399" s="8">
        <f t="shared" si="24"/>
        <v>1</v>
      </c>
      <c r="J399" s="8" t="str">
        <f t="shared" si="25"/>
        <v>No</v>
      </c>
      <c r="K399" s="5" t="str">
        <f t="shared" si="26"/>
        <v>No</v>
      </c>
      <c r="L399" s="25">
        <f t="shared" si="27"/>
        <v>96.30252100840336</v>
      </c>
    </row>
    <row r="400" spans="1:12">
      <c r="A400" s="9" t="s">
        <v>718</v>
      </c>
      <c r="B400" s="8">
        <v>24</v>
      </c>
      <c r="C400" s="8" t="s">
        <v>35</v>
      </c>
      <c r="D400" s="8" t="s">
        <v>56</v>
      </c>
      <c r="E400" s="8" t="s">
        <v>719</v>
      </c>
      <c r="F400" s="8">
        <v>176</v>
      </c>
      <c r="G400" s="8">
        <v>69.150000000000006</v>
      </c>
      <c r="H400" s="10">
        <v>23.49</v>
      </c>
      <c r="I400" s="8">
        <f t="shared" si="24"/>
        <v>1</v>
      </c>
      <c r="J400" s="8" t="str">
        <f t="shared" si="25"/>
        <v>No</v>
      </c>
      <c r="K400" s="5" t="str">
        <f t="shared" si="26"/>
        <v>No</v>
      </c>
      <c r="L400" s="25">
        <f t="shared" si="27"/>
        <v>58.109243697479002</v>
      </c>
    </row>
    <row r="401" spans="1:12">
      <c r="A401" s="9" t="s">
        <v>720</v>
      </c>
      <c r="B401" s="8">
        <v>24</v>
      </c>
      <c r="C401" s="8" t="s">
        <v>39</v>
      </c>
      <c r="D401" s="8" t="s">
        <v>36</v>
      </c>
      <c r="E401" s="8" t="s">
        <v>721</v>
      </c>
      <c r="F401" s="8">
        <v>107</v>
      </c>
      <c r="G401" s="8">
        <v>46.9</v>
      </c>
      <c r="H401" s="10">
        <v>30.65</v>
      </c>
      <c r="I401" s="8">
        <f t="shared" si="24"/>
        <v>1</v>
      </c>
      <c r="J401" s="8" t="str">
        <f t="shared" si="25"/>
        <v>No</v>
      </c>
      <c r="K401" s="5" t="str">
        <f t="shared" si="26"/>
        <v>No</v>
      </c>
      <c r="L401" s="25">
        <f t="shared" si="27"/>
        <v>39.411764705882355</v>
      </c>
    </row>
    <row r="402" spans="1:12">
      <c r="A402" s="9" t="s">
        <v>722</v>
      </c>
      <c r="B402" s="8">
        <v>12</v>
      </c>
      <c r="C402" s="8" t="s">
        <v>51</v>
      </c>
      <c r="D402" s="8" t="s">
        <v>46</v>
      </c>
      <c r="E402" s="8" t="s">
        <v>723</v>
      </c>
      <c r="F402" s="8">
        <v>420</v>
      </c>
      <c r="G402" s="8">
        <v>135.38999999999999</v>
      </c>
      <c r="H402" s="10">
        <v>17.21</v>
      </c>
      <c r="I402" s="8">
        <f t="shared" si="24"/>
        <v>1</v>
      </c>
      <c r="J402" s="8" t="str">
        <f t="shared" si="25"/>
        <v>No</v>
      </c>
      <c r="K402" s="5" t="str">
        <f t="shared" si="26"/>
        <v>No</v>
      </c>
      <c r="L402" s="25">
        <f t="shared" si="27"/>
        <v>113.77310924369748</v>
      </c>
    </row>
    <row r="403" spans="1:12">
      <c r="A403" s="9" t="s">
        <v>724</v>
      </c>
      <c r="B403" s="8">
        <v>24</v>
      </c>
      <c r="C403" s="8" t="s">
        <v>39</v>
      </c>
      <c r="D403" s="8" t="s">
        <v>56</v>
      </c>
      <c r="E403" s="8" t="s">
        <v>397</v>
      </c>
      <c r="F403" s="8">
        <v>104</v>
      </c>
      <c r="G403" s="8">
        <v>50.67</v>
      </c>
      <c r="H403" s="10">
        <v>30.28</v>
      </c>
      <c r="I403" s="8">
        <f t="shared" si="24"/>
        <v>1</v>
      </c>
      <c r="J403" s="8" t="str">
        <f t="shared" si="25"/>
        <v>No</v>
      </c>
      <c r="K403" s="5" t="str">
        <f t="shared" si="26"/>
        <v>No</v>
      </c>
      <c r="L403" s="25">
        <f t="shared" si="27"/>
        <v>42.579831932773111</v>
      </c>
    </row>
    <row r="404" spans="1:12">
      <c r="A404" s="9" t="s">
        <v>725</v>
      </c>
      <c r="B404" s="8">
        <v>12</v>
      </c>
      <c r="C404" s="8" t="s">
        <v>39</v>
      </c>
      <c r="D404" s="8" t="s">
        <v>56</v>
      </c>
      <c r="E404" s="8" t="s">
        <v>726</v>
      </c>
      <c r="F404" s="8">
        <v>159</v>
      </c>
      <c r="G404" s="8">
        <v>66.989999999999995</v>
      </c>
      <c r="H404" s="10">
        <v>28.74</v>
      </c>
      <c r="I404" s="8">
        <f t="shared" si="24"/>
        <v>1</v>
      </c>
      <c r="J404" s="8" t="str">
        <f t="shared" si="25"/>
        <v>No</v>
      </c>
      <c r="K404" s="5" t="str">
        <f t="shared" si="26"/>
        <v>No</v>
      </c>
      <c r="L404" s="25">
        <f t="shared" si="27"/>
        <v>56.294117647058819</v>
      </c>
    </row>
    <row r="405" spans="1:12">
      <c r="A405" s="9" t="s">
        <v>727</v>
      </c>
      <c r="B405" s="8">
        <v>24</v>
      </c>
      <c r="C405" s="8" t="s">
        <v>39</v>
      </c>
      <c r="D405" s="8" t="s">
        <v>56</v>
      </c>
      <c r="E405" s="8" t="s">
        <v>607</v>
      </c>
      <c r="F405" s="8">
        <v>104</v>
      </c>
      <c r="G405" s="8">
        <v>48.91</v>
      </c>
      <c r="H405" s="10">
        <v>29.11</v>
      </c>
      <c r="I405" s="8">
        <f t="shared" si="24"/>
        <v>1</v>
      </c>
      <c r="J405" s="8" t="str">
        <f t="shared" si="25"/>
        <v>No</v>
      </c>
      <c r="K405" s="5" t="str">
        <f t="shared" si="26"/>
        <v>No</v>
      </c>
      <c r="L405" s="25">
        <f t="shared" si="27"/>
        <v>41.100840336134453</v>
      </c>
    </row>
    <row r="406" spans="1:12">
      <c r="A406" s="9" t="s">
        <v>728</v>
      </c>
      <c r="B406" s="8">
        <v>12</v>
      </c>
      <c r="C406" s="8" t="s">
        <v>35</v>
      </c>
      <c r="D406" s="8" t="s">
        <v>36</v>
      </c>
      <c r="E406" s="8" t="s">
        <v>124</v>
      </c>
      <c r="F406" s="8">
        <v>212</v>
      </c>
      <c r="G406" s="8">
        <v>88.55</v>
      </c>
      <c r="H406" s="10">
        <v>22.87</v>
      </c>
      <c r="I406" s="8">
        <f t="shared" si="24"/>
        <v>1</v>
      </c>
      <c r="J406" s="8" t="str">
        <f t="shared" si="25"/>
        <v>No</v>
      </c>
      <c r="K406" s="5" t="str">
        <f t="shared" si="26"/>
        <v>No</v>
      </c>
      <c r="L406" s="25">
        <f t="shared" si="27"/>
        <v>74.411764705882348</v>
      </c>
    </row>
    <row r="407" spans="1:12">
      <c r="A407" s="9" t="s">
        <v>729</v>
      </c>
      <c r="B407" s="8">
        <v>24</v>
      </c>
      <c r="C407" s="8" t="s">
        <v>51</v>
      </c>
      <c r="D407" s="8" t="s">
        <v>56</v>
      </c>
      <c r="E407" s="8" t="s">
        <v>730</v>
      </c>
      <c r="F407" s="8">
        <v>587</v>
      </c>
      <c r="G407" s="8">
        <v>200.14</v>
      </c>
      <c r="H407" s="10">
        <v>17.41</v>
      </c>
      <c r="I407" s="8">
        <f t="shared" si="24"/>
        <v>1</v>
      </c>
      <c r="J407" s="8" t="str">
        <f t="shared" si="25"/>
        <v>No</v>
      </c>
      <c r="K407" s="5" t="str">
        <f t="shared" si="26"/>
        <v>No</v>
      </c>
      <c r="L407" s="25">
        <f t="shared" si="27"/>
        <v>168.18487394957984</v>
      </c>
    </row>
    <row r="408" spans="1:12">
      <c r="A408" s="9" t="s">
        <v>731</v>
      </c>
      <c r="B408" s="8">
        <v>12</v>
      </c>
      <c r="C408" s="8" t="s">
        <v>35</v>
      </c>
      <c r="D408" s="8" t="s">
        <v>46</v>
      </c>
      <c r="E408" s="8" t="s">
        <v>164</v>
      </c>
      <c r="F408" s="8">
        <v>242</v>
      </c>
      <c r="G408" s="8">
        <v>97.76</v>
      </c>
      <c r="H408" s="10">
        <v>25.3</v>
      </c>
      <c r="I408" s="8">
        <f t="shared" si="24"/>
        <v>1</v>
      </c>
      <c r="J408" s="8" t="str">
        <f t="shared" si="25"/>
        <v>No</v>
      </c>
      <c r="K408" s="5" t="str">
        <f t="shared" si="26"/>
        <v>No</v>
      </c>
      <c r="L408" s="25">
        <f t="shared" si="27"/>
        <v>82.151260504201687</v>
      </c>
    </row>
    <row r="409" spans="1:12">
      <c r="A409" s="9" t="s">
        <v>732</v>
      </c>
      <c r="B409" s="8">
        <v>12</v>
      </c>
      <c r="C409" s="8" t="s">
        <v>35</v>
      </c>
      <c r="D409" s="8" t="s">
        <v>36</v>
      </c>
      <c r="E409" s="8" t="s">
        <v>733</v>
      </c>
      <c r="F409" s="8">
        <v>296</v>
      </c>
      <c r="G409" s="8">
        <v>106.42</v>
      </c>
      <c r="H409" s="10">
        <v>25.14</v>
      </c>
      <c r="I409" s="8">
        <f t="shared" si="24"/>
        <v>1</v>
      </c>
      <c r="J409" s="8" t="str">
        <f t="shared" si="25"/>
        <v>No</v>
      </c>
      <c r="K409" s="5" t="str">
        <f t="shared" si="26"/>
        <v>No</v>
      </c>
      <c r="L409" s="25">
        <f t="shared" si="27"/>
        <v>89.428571428571431</v>
      </c>
    </row>
    <row r="410" spans="1:12">
      <c r="A410" s="9" t="s">
        <v>734</v>
      </c>
      <c r="B410" s="8">
        <v>24</v>
      </c>
      <c r="C410" s="8" t="s">
        <v>39</v>
      </c>
      <c r="D410" s="8" t="s">
        <v>36</v>
      </c>
      <c r="E410" s="8" t="s">
        <v>735</v>
      </c>
      <c r="F410" s="8">
        <v>88</v>
      </c>
      <c r="G410" s="8">
        <v>44.36</v>
      </c>
      <c r="H410" s="10">
        <v>31.71</v>
      </c>
      <c r="I410" s="8">
        <f t="shared" si="24"/>
        <v>1</v>
      </c>
      <c r="J410" s="8" t="str">
        <f t="shared" si="25"/>
        <v>No</v>
      </c>
      <c r="K410" s="5" t="str">
        <f t="shared" si="26"/>
        <v>No</v>
      </c>
      <c r="L410" s="25">
        <f t="shared" si="27"/>
        <v>37.27731092436975</v>
      </c>
    </row>
    <row r="411" spans="1:12">
      <c r="A411" s="9" t="s">
        <v>736</v>
      </c>
      <c r="B411" s="8">
        <v>12</v>
      </c>
      <c r="C411" s="8" t="s">
        <v>51</v>
      </c>
      <c r="D411" s="8" t="s">
        <v>46</v>
      </c>
      <c r="E411" s="8" t="s">
        <v>737</v>
      </c>
      <c r="F411" s="8">
        <v>496</v>
      </c>
      <c r="G411" s="8">
        <v>164.72</v>
      </c>
      <c r="H411" s="10">
        <v>21.35</v>
      </c>
      <c r="I411" s="8">
        <f t="shared" si="24"/>
        <v>1</v>
      </c>
      <c r="J411" s="8" t="str">
        <f t="shared" si="25"/>
        <v>No</v>
      </c>
      <c r="K411" s="5" t="str">
        <f t="shared" si="26"/>
        <v>No</v>
      </c>
      <c r="L411" s="25">
        <f t="shared" si="27"/>
        <v>138.42016806722688</v>
      </c>
    </row>
    <row r="412" spans="1:12">
      <c r="A412" s="9" t="s">
        <v>738</v>
      </c>
      <c r="B412" s="8">
        <v>12</v>
      </c>
      <c r="C412" s="8" t="s">
        <v>35</v>
      </c>
      <c r="D412" s="8" t="s">
        <v>36</v>
      </c>
      <c r="E412" s="8" t="s">
        <v>277</v>
      </c>
      <c r="F412" s="8">
        <v>173</v>
      </c>
      <c r="G412" s="8">
        <v>68.930000000000007</v>
      </c>
      <c r="H412" s="10">
        <v>24.29</v>
      </c>
      <c r="I412" s="8">
        <f t="shared" si="24"/>
        <v>1</v>
      </c>
      <c r="J412" s="8" t="str">
        <f t="shared" si="25"/>
        <v>No</v>
      </c>
      <c r="K412" s="5" t="str">
        <f t="shared" si="26"/>
        <v>No</v>
      </c>
      <c r="L412" s="25">
        <f t="shared" si="27"/>
        <v>57.924369747899171</v>
      </c>
    </row>
    <row r="413" spans="1:12">
      <c r="A413" s="9" t="s">
        <v>739</v>
      </c>
      <c r="B413" s="8">
        <v>24</v>
      </c>
      <c r="C413" s="8" t="s">
        <v>35</v>
      </c>
      <c r="D413" s="8" t="s">
        <v>46</v>
      </c>
      <c r="E413" s="8" t="s">
        <v>740</v>
      </c>
      <c r="F413" s="8">
        <v>177</v>
      </c>
      <c r="G413" s="8">
        <v>67.59</v>
      </c>
      <c r="H413" s="10">
        <v>22.57</v>
      </c>
      <c r="I413" s="8">
        <f t="shared" si="24"/>
        <v>1</v>
      </c>
      <c r="J413" s="8" t="str">
        <f t="shared" si="25"/>
        <v>No</v>
      </c>
      <c r="K413" s="5" t="str">
        <f t="shared" si="26"/>
        <v>No</v>
      </c>
      <c r="L413" s="25">
        <f t="shared" si="27"/>
        <v>56.7983193277311</v>
      </c>
    </row>
    <row r="414" spans="1:12">
      <c r="A414" s="9" t="s">
        <v>741</v>
      </c>
      <c r="B414" s="8">
        <v>24</v>
      </c>
      <c r="C414" s="8" t="s">
        <v>39</v>
      </c>
      <c r="D414" s="8" t="s">
        <v>46</v>
      </c>
      <c r="E414" s="8" t="s">
        <v>742</v>
      </c>
      <c r="F414" s="8">
        <v>159</v>
      </c>
      <c r="G414" s="8">
        <v>67.88</v>
      </c>
      <c r="H414" s="10">
        <v>29.5</v>
      </c>
      <c r="I414" s="8">
        <f t="shared" si="24"/>
        <v>1</v>
      </c>
      <c r="J414" s="8" t="str">
        <f t="shared" si="25"/>
        <v>No</v>
      </c>
      <c r="K414" s="5" t="str">
        <f t="shared" si="26"/>
        <v>No</v>
      </c>
      <c r="L414" s="25">
        <f t="shared" si="27"/>
        <v>57.042016806722685</v>
      </c>
    </row>
    <row r="415" spans="1:12">
      <c r="A415" s="9" t="s">
        <v>743</v>
      </c>
      <c r="B415" s="8">
        <v>24</v>
      </c>
      <c r="C415" s="8" t="s">
        <v>51</v>
      </c>
      <c r="D415" s="8" t="s">
        <v>36</v>
      </c>
      <c r="E415" s="8" t="s">
        <v>562</v>
      </c>
      <c r="F415" s="8">
        <v>380</v>
      </c>
      <c r="G415" s="8">
        <v>134.72999999999999</v>
      </c>
      <c r="H415" s="10">
        <v>20.49</v>
      </c>
      <c r="I415" s="8">
        <f t="shared" si="24"/>
        <v>1</v>
      </c>
      <c r="J415" s="8" t="str">
        <f t="shared" si="25"/>
        <v>No</v>
      </c>
      <c r="K415" s="5" t="str">
        <f t="shared" si="26"/>
        <v>No</v>
      </c>
      <c r="L415" s="25">
        <f t="shared" si="27"/>
        <v>113.21848739495798</v>
      </c>
    </row>
    <row r="416" spans="1:12">
      <c r="A416" s="9" t="s">
        <v>744</v>
      </c>
      <c r="B416" s="8">
        <v>24</v>
      </c>
      <c r="C416" s="8" t="s">
        <v>35</v>
      </c>
      <c r="D416" s="8" t="s">
        <v>46</v>
      </c>
      <c r="E416" s="8" t="s">
        <v>605</v>
      </c>
      <c r="F416" s="8">
        <v>255</v>
      </c>
      <c r="G416" s="8">
        <v>97.2</v>
      </c>
      <c r="H416" s="10">
        <v>23.47</v>
      </c>
      <c r="I416" s="8">
        <f t="shared" si="24"/>
        <v>1</v>
      </c>
      <c r="J416" s="8" t="str">
        <f t="shared" si="25"/>
        <v>No</v>
      </c>
      <c r="K416" s="5" t="str">
        <f t="shared" si="26"/>
        <v>No</v>
      </c>
      <c r="L416" s="25">
        <f t="shared" si="27"/>
        <v>81.680672268907571</v>
      </c>
    </row>
    <row r="417" spans="1:12">
      <c r="A417" s="9" t="s">
        <v>745</v>
      </c>
      <c r="B417" s="8">
        <v>12</v>
      </c>
      <c r="C417" s="8" t="s">
        <v>39</v>
      </c>
      <c r="D417" s="8" t="s">
        <v>46</v>
      </c>
      <c r="E417" s="8" t="s">
        <v>746</v>
      </c>
      <c r="F417" s="8">
        <v>118</v>
      </c>
      <c r="G417" s="8">
        <v>53.62</v>
      </c>
      <c r="H417" s="10">
        <v>28.35</v>
      </c>
      <c r="I417" s="8">
        <f t="shared" si="24"/>
        <v>1</v>
      </c>
      <c r="J417" s="8" t="str">
        <f t="shared" si="25"/>
        <v>No</v>
      </c>
      <c r="K417" s="5" t="str">
        <f t="shared" si="26"/>
        <v>No</v>
      </c>
      <c r="L417" s="25">
        <f t="shared" si="27"/>
        <v>45.058823529411768</v>
      </c>
    </row>
    <row r="418" spans="1:12">
      <c r="A418" s="9" t="s">
        <v>747</v>
      </c>
      <c r="B418" s="8">
        <v>12</v>
      </c>
      <c r="C418" s="8" t="s">
        <v>39</v>
      </c>
      <c r="D418" s="8" t="s">
        <v>36</v>
      </c>
      <c r="E418" s="8" t="s">
        <v>748</v>
      </c>
      <c r="F418" s="8">
        <v>112</v>
      </c>
      <c r="G418" s="8">
        <v>50.69</v>
      </c>
      <c r="H418" s="10">
        <v>30.23</v>
      </c>
      <c r="I418" s="8">
        <f t="shared" si="24"/>
        <v>1</v>
      </c>
      <c r="J418" s="8" t="str">
        <f t="shared" si="25"/>
        <v>No</v>
      </c>
      <c r="K418" s="5" t="str">
        <f t="shared" si="26"/>
        <v>No</v>
      </c>
      <c r="L418" s="25">
        <f t="shared" si="27"/>
        <v>42.596638655462186</v>
      </c>
    </row>
    <row r="419" spans="1:12">
      <c r="A419" s="9" t="s">
        <v>749</v>
      </c>
      <c r="B419" s="8">
        <v>12</v>
      </c>
      <c r="C419" s="8" t="s">
        <v>35</v>
      </c>
      <c r="D419" s="8" t="s">
        <v>36</v>
      </c>
      <c r="E419" s="8" t="s">
        <v>591</v>
      </c>
      <c r="F419" s="8">
        <v>316</v>
      </c>
      <c r="G419" s="8">
        <v>113.09</v>
      </c>
      <c r="H419" s="10">
        <v>25.38</v>
      </c>
      <c r="I419" s="8">
        <f t="shared" si="24"/>
        <v>1</v>
      </c>
      <c r="J419" s="8" t="str">
        <f t="shared" si="25"/>
        <v>No</v>
      </c>
      <c r="K419" s="5" t="str">
        <f t="shared" si="26"/>
        <v>No</v>
      </c>
      <c r="L419" s="25">
        <f t="shared" si="27"/>
        <v>95.033613445378165</v>
      </c>
    </row>
    <row r="420" spans="1:12">
      <c r="A420" s="9" t="s">
        <v>750</v>
      </c>
      <c r="B420" s="8">
        <v>24</v>
      </c>
      <c r="C420" s="8" t="s">
        <v>35</v>
      </c>
      <c r="D420" s="8" t="s">
        <v>36</v>
      </c>
      <c r="E420" s="8" t="s">
        <v>591</v>
      </c>
      <c r="F420" s="8">
        <v>171</v>
      </c>
      <c r="G420" s="8">
        <v>67.47</v>
      </c>
      <c r="H420" s="10">
        <v>25.18</v>
      </c>
      <c r="I420" s="8">
        <f t="shared" si="24"/>
        <v>1</v>
      </c>
      <c r="J420" s="8" t="str">
        <f t="shared" si="25"/>
        <v>No</v>
      </c>
      <c r="K420" s="5" t="str">
        <f t="shared" si="26"/>
        <v>No</v>
      </c>
      <c r="L420" s="25">
        <f t="shared" si="27"/>
        <v>56.69747899159664</v>
      </c>
    </row>
    <row r="421" spans="1:12">
      <c r="A421" s="9" t="s">
        <v>751</v>
      </c>
      <c r="B421" s="8">
        <v>24</v>
      </c>
      <c r="C421" s="8" t="s">
        <v>39</v>
      </c>
      <c r="D421" s="8" t="s">
        <v>36</v>
      </c>
      <c r="E421" s="8" t="s">
        <v>436</v>
      </c>
      <c r="F421" s="8">
        <v>139</v>
      </c>
      <c r="G421" s="8">
        <v>56.92</v>
      </c>
      <c r="H421" s="10">
        <v>28.7</v>
      </c>
      <c r="I421" s="8">
        <f t="shared" si="24"/>
        <v>1</v>
      </c>
      <c r="J421" s="8" t="str">
        <f t="shared" si="25"/>
        <v>No</v>
      </c>
      <c r="K421" s="5" t="str">
        <f t="shared" si="26"/>
        <v>No</v>
      </c>
      <c r="L421" s="25">
        <f t="shared" si="27"/>
        <v>47.831932773109244</v>
      </c>
    </row>
    <row r="422" spans="1:12">
      <c r="A422" s="9" t="s">
        <v>752</v>
      </c>
      <c r="B422" s="8">
        <v>24</v>
      </c>
      <c r="C422" s="8" t="s">
        <v>51</v>
      </c>
      <c r="D422" s="8" t="s">
        <v>56</v>
      </c>
      <c r="E422" s="8" t="s">
        <v>753</v>
      </c>
      <c r="F422" s="8">
        <v>655</v>
      </c>
      <c r="G422" s="8">
        <v>208.09</v>
      </c>
      <c r="H422" s="10">
        <v>19.86</v>
      </c>
      <c r="I422" s="8">
        <f t="shared" si="24"/>
        <v>1</v>
      </c>
      <c r="J422" s="8" t="str">
        <f t="shared" si="25"/>
        <v>No</v>
      </c>
      <c r="K422" s="5" t="str">
        <f t="shared" si="26"/>
        <v>No</v>
      </c>
      <c r="L422" s="25">
        <f t="shared" si="27"/>
        <v>174.8655462184874</v>
      </c>
    </row>
    <row r="423" spans="1:12">
      <c r="A423" s="9" t="s">
        <v>754</v>
      </c>
      <c r="B423" s="8">
        <v>24</v>
      </c>
      <c r="C423" s="8" t="s">
        <v>39</v>
      </c>
      <c r="D423" s="8" t="s">
        <v>36</v>
      </c>
      <c r="E423" s="8" t="s">
        <v>369</v>
      </c>
      <c r="F423" s="8">
        <v>130</v>
      </c>
      <c r="G423" s="8">
        <v>59.57</v>
      </c>
      <c r="H423" s="10">
        <v>28.88</v>
      </c>
      <c r="I423" s="8">
        <f t="shared" si="24"/>
        <v>1</v>
      </c>
      <c r="J423" s="8" t="str">
        <f t="shared" si="25"/>
        <v>No</v>
      </c>
      <c r="K423" s="5" t="str">
        <f t="shared" si="26"/>
        <v>No</v>
      </c>
      <c r="L423" s="25">
        <f t="shared" si="27"/>
        <v>50.058823529411768</v>
      </c>
    </row>
    <row r="424" spans="1:12">
      <c r="A424" s="9" t="s">
        <v>755</v>
      </c>
      <c r="B424" s="8">
        <v>12</v>
      </c>
      <c r="C424" s="8" t="s">
        <v>35</v>
      </c>
      <c r="D424" s="8" t="s">
        <v>46</v>
      </c>
      <c r="E424" s="8" t="s">
        <v>756</v>
      </c>
      <c r="F424" s="8">
        <v>322</v>
      </c>
      <c r="G424" s="8">
        <v>0</v>
      </c>
      <c r="H424" s="10">
        <v>22.87</v>
      </c>
      <c r="I424" s="8">
        <f t="shared" si="24"/>
        <v>1</v>
      </c>
      <c r="J424" s="8" t="str">
        <f t="shared" si="25"/>
        <v>No</v>
      </c>
      <c r="K424" s="5" t="str">
        <f t="shared" si="26"/>
        <v>No</v>
      </c>
      <c r="L424" s="25">
        <f t="shared" si="27"/>
        <v>0</v>
      </c>
    </row>
    <row r="425" spans="1:12">
      <c r="A425" s="9" t="s">
        <v>757</v>
      </c>
      <c r="B425" s="8">
        <v>12</v>
      </c>
      <c r="C425" s="8" t="s">
        <v>51</v>
      </c>
      <c r="D425" s="8" t="s">
        <v>36</v>
      </c>
      <c r="E425" s="8" t="s">
        <v>758</v>
      </c>
      <c r="F425" s="8">
        <v>350</v>
      </c>
      <c r="G425" s="8">
        <v>122.53</v>
      </c>
      <c r="H425" s="10">
        <v>20.87</v>
      </c>
      <c r="I425" s="8">
        <f t="shared" si="24"/>
        <v>1</v>
      </c>
      <c r="J425" s="8" t="str">
        <f t="shared" si="25"/>
        <v>No</v>
      </c>
      <c r="K425" s="5" t="str">
        <f t="shared" si="26"/>
        <v>No</v>
      </c>
      <c r="L425" s="25">
        <f t="shared" si="27"/>
        <v>102.96638655462185</v>
      </c>
    </row>
    <row r="426" spans="1:12">
      <c r="A426" s="9" t="s">
        <v>759</v>
      </c>
      <c r="B426" s="8">
        <v>12</v>
      </c>
      <c r="C426" s="8" t="s">
        <v>35</v>
      </c>
      <c r="D426" s="8" t="s">
        <v>36</v>
      </c>
      <c r="E426" s="8" t="s">
        <v>760</v>
      </c>
      <c r="F426" s="8">
        <v>236</v>
      </c>
      <c r="G426" s="8">
        <v>88.68</v>
      </c>
      <c r="H426" s="10">
        <v>23</v>
      </c>
      <c r="I426" s="8">
        <f t="shared" si="24"/>
        <v>1</v>
      </c>
      <c r="J426" s="8" t="str">
        <f t="shared" si="25"/>
        <v>No</v>
      </c>
      <c r="K426" s="5" t="str">
        <f t="shared" si="26"/>
        <v>No</v>
      </c>
      <c r="L426" s="25">
        <f t="shared" si="27"/>
        <v>74.52100840336135</v>
      </c>
    </row>
    <row r="427" spans="1:12">
      <c r="A427" s="9" t="s">
        <v>761</v>
      </c>
      <c r="B427" s="8">
        <v>12</v>
      </c>
      <c r="C427" s="8" t="s">
        <v>35</v>
      </c>
      <c r="D427" s="8" t="s">
        <v>56</v>
      </c>
      <c r="E427" s="8" t="s">
        <v>762</v>
      </c>
      <c r="F427" s="8">
        <v>210</v>
      </c>
      <c r="G427" s="8">
        <v>79.03</v>
      </c>
      <c r="H427" s="10">
        <v>23.05</v>
      </c>
      <c r="I427" s="8">
        <f t="shared" si="24"/>
        <v>1</v>
      </c>
      <c r="J427" s="8" t="str">
        <f t="shared" si="25"/>
        <v>No</v>
      </c>
      <c r="K427" s="5" t="str">
        <f t="shared" si="26"/>
        <v>No</v>
      </c>
      <c r="L427" s="25">
        <f t="shared" si="27"/>
        <v>66.411764705882362</v>
      </c>
    </row>
    <row r="428" spans="1:12">
      <c r="A428" s="9" t="s">
        <v>763</v>
      </c>
      <c r="B428" s="8">
        <v>12</v>
      </c>
      <c r="C428" s="8" t="s">
        <v>35</v>
      </c>
      <c r="D428" s="8" t="s">
        <v>46</v>
      </c>
      <c r="E428" s="8" t="s">
        <v>764</v>
      </c>
      <c r="F428" s="8">
        <v>0</v>
      </c>
      <c r="G428" s="8">
        <v>105.64</v>
      </c>
      <c r="H428" s="10">
        <v>22</v>
      </c>
      <c r="I428" s="8">
        <f t="shared" si="24"/>
        <v>1</v>
      </c>
      <c r="J428" s="8" t="str">
        <f t="shared" si="25"/>
        <v>Yes</v>
      </c>
      <c r="K428" s="5" t="str">
        <f t="shared" si="26"/>
        <v>No</v>
      </c>
      <c r="L428" s="25">
        <f t="shared" si="27"/>
        <v>88.77310924369749</v>
      </c>
    </row>
    <row r="429" spans="1:12">
      <c r="A429" s="9" t="s">
        <v>765</v>
      </c>
      <c r="B429" s="8">
        <v>24</v>
      </c>
      <c r="C429" s="8" t="s">
        <v>39</v>
      </c>
      <c r="D429" s="8" t="s">
        <v>36</v>
      </c>
      <c r="E429" s="8" t="s">
        <v>63</v>
      </c>
      <c r="F429" s="8">
        <v>165</v>
      </c>
      <c r="G429" s="8">
        <v>69.41</v>
      </c>
      <c r="H429" s="10">
        <v>31.48</v>
      </c>
      <c r="I429" s="8">
        <f t="shared" si="24"/>
        <v>1</v>
      </c>
      <c r="J429" s="8" t="str">
        <f t="shared" si="25"/>
        <v>No</v>
      </c>
      <c r="K429" s="5" t="str">
        <f t="shared" si="26"/>
        <v>No</v>
      </c>
      <c r="L429" s="25">
        <f t="shared" si="27"/>
        <v>58.327731092436977</v>
      </c>
    </row>
    <row r="430" spans="1:12">
      <c r="A430" s="9" t="s">
        <v>766</v>
      </c>
      <c r="B430" s="8">
        <v>12</v>
      </c>
      <c r="C430" s="8" t="s">
        <v>51</v>
      </c>
      <c r="D430" s="8" t="s">
        <v>36</v>
      </c>
      <c r="E430" s="8" t="s">
        <v>484</v>
      </c>
      <c r="F430" s="8">
        <v>419</v>
      </c>
      <c r="G430" s="8">
        <v>135.01</v>
      </c>
      <c r="H430" s="10">
        <v>20.46</v>
      </c>
      <c r="I430" s="8">
        <f t="shared" si="24"/>
        <v>1</v>
      </c>
      <c r="J430" s="8" t="str">
        <f t="shared" si="25"/>
        <v>No</v>
      </c>
      <c r="K430" s="5" t="str">
        <f t="shared" si="26"/>
        <v>No</v>
      </c>
      <c r="L430" s="25">
        <f t="shared" si="27"/>
        <v>113.45378151260503</v>
      </c>
    </row>
    <row r="431" spans="1:12">
      <c r="A431" s="9" t="s">
        <v>767</v>
      </c>
      <c r="B431" s="8">
        <v>12</v>
      </c>
      <c r="C431" s="8" t="s">
        <v>35</v>
      </c>
      <c r="D431" s="8" t="s">
        <v>36</v>
      </c>
      <c r="E431" s="8" t="s">
        <v>768</v>
      </c>
      <c r="F431" s="8">
        <v>276</v>
      </c>
      <c r="G431" s="8">
        <v>107.11</v>
      </c>
      <c r="H431" s="10">
        <v>24.51</v>
      </c>
      <c r="I431" s="8">
        <f t="shared" si="24"/>
        <v>1</v>
      </c>
      <c r="J431" s="8" t="str">
        <f t="shared" si="25"/>
        <v>No</v>
      </c>
      <c r="K431" s="5" t="str">
        <f t="shared" si="26"/>
        <v>No</v>
      </c>
      <c r="L431" s="25">
        <f t="shared" si="27"/>
        <v>90.008403361344548</v>
      </c>
    </row>
    <row r="432" spans="1:12">
      <c r="A432" s="9" t="s">
        <v>769</v>
      </c>
      <c r="B432" s="8">
        <v>12</v>
      </c>
      <c r="C432" s="8" t="s">
        <v>51</v>
      </c>
      <c r="D432" s="8" t="s">
        <v>36</v>
      </c>
      <c r="E432" s="8" t="s">
        <v>335</v>
      </c>
      <c r="F432" s="8">
        <v>399</v>
      </c>
      <c r="G432" s="8">
        <v>138.72</v>
      </c>
      <c r="H432" s="10">
        <v>20.25</v>
      </c>
      <c r="I432" s="8">
        <f t="shared" si="24"/>
        <v>1</v>
      </c>
      <c r="J432" s="8" t="str">
        <f t="shared" si="25"/>
        <v>No</v>
      </c>
      <c r="K432" s="5" t="str">
        <f t="shared" si="26"/>
        <v>No</v>
      </c>
      <c r="L432" s="25">
        <f t="shared" si="27"/>
        <v>116.57142857142857</v>
      </c>
    </row>
    <row r="433" spans="1:12">
      <c r="A433" s="9" t="s">
        <v>770</v>
      </c>
      <c r="B433" s="8">
        <v>24</v>
      </c>
      <c r="C433" s="8" t="s">
        <v>39</v>
      </c>
      <c r="D433" s="8" t="s">
        <v>46</v>
      </c>
      <c r="E433" s="8" t="s">
        <v>267</v>
      </c>
      <c r="F433" s="8">
        <v>130</v>
      </c>
      <c r="G433" s="8">
        <v>57.55</v>
      </c>
      <c r="H433" s="10">
        <v>28.61</v>
      </c>
      <c r="I433" s="8">
        <f t="shared" si="24"/>
        <v>1</v>
      </c>
      <c r="J433" s="8" t="str">
        <f t="shared" si="25"/>
        <v>No</v>
      </c>
      <c r="K433" s="5" t="str">
        <f t="shared" si="26"/>
        <v>No</v>
      </c>
      <c r="L433" s="25">
        <f t="shared" si="27"/>
        <v>48.361344537815128</v>
      </c>
    </row>
    <row r="434" spans="1:12">
      <c r="A434" s="9" t="s">
        <v>771</v>
      </c>
      <c r="B434" s="8">
        <v>24</v>
      </c>
      <c r="C434" s="8" t="s">
        <v>39</v>
      </c>
      <c r="D434" s="8" t="s">
        <v>36</v>
      </c>
      <c r="E434" s="8" t="s">
        <v>772</v>
      </c>
      <c r="F434" s="8">
        <v>122</v>
      </c>
      <c r="G434" s="8">
        <v>55.58</v>
      </c>
      <c r="H434" s="10">
        <v>29.83</v>
      </c>
      <c r="I434" s="8">
        <f t="shared" si="24"/>
        <v>1</v>
      </c>
      <c r="J434" s="8" t="str">
        <f t="shared" si="25"/>
        <v>No</v>
      </c>
      <c r="K434" s="5" t="str">
        <f t="shared" si="26"/>
        <v>No</v>
      </c>
      <c r="L434" s="25">
        <f t="shared" si="27"/>
        <v>46.705882352941174</v>
      </c>
    </row>
    <row r="435" spans="1:12">
      <c r="A435" s="9" t="s">
        <v>773</v>
      </c>
      <c r="B435" s="8">
        <v>12</v>
      </c>
      <c r="C435" s="8" t="s">
        <v>39</v>
      </c>
      <c r="D435" s="8" t="s">
        <v>36</v>
      </c>
      <c r="E435" s="8" t="s">
        <v>40</v>
      </c>
      <c r="F435" s="8">
        <v>165</v>
      </c>
      <c r="G435" s="8">
        <v>71.739999999999995</v>
      </c>
      <c r="H435" s="10">
        <v>29.4</v>
      </c>
      <c r="I435" s="8">
        <f t="shared" si="24"/>
        <v>1</v>
      </c>
      <c r="J435" s="8" t="str">
        <f t="shared" si="25"/>
        <v>No</v>
      </c>
      <c r="K435" s="5" t="str">
        <f t="shared" si="26"/>
        <v>No</v>
      </c>
      <c r="L435" s="25">
        <f t="shared" si="27"/>
        <v>60.285714285714285</v>
      </c>
    </row>
    <row r="436" spans="1:12">
      <c r="A436" s="9" t="s">
        <v>774</v>
      </c>
      <c r="B436" s="8">
        <v>12</v>
      </c>
      <c r="C436" s="8" t="s">
        <v>35</v>
      </c>
      <c r="D436" s="8" t="s">
        <v>36</v>
      </c>
      <c r="E436" s="8" t="s">
        <v>775</v>
      </c>
      <c r="F436" s="8">
        <v>268</v>
      </c>
      <c r="G436" s="8">
        <v>97.14</v>
      </c>
      <c r="H436" s="10">
        <v>22.38</v>
      </c>
      <c r="I436" s="8">
        <f t="shared" si="24"/>
        <v>1</v>
      </c>
      <c r="J436" s="8" t="str">
        <f t="shared" si="25"/>
        <v>No</v>
      </c>
      <c r="K436" s="5" t="str">
        <f t="shared" si="26"/>
        <v>No</v>
      </c>
      <c r="L436" s="25">
        <f t="shared" si="27"/>
        <v>81.630252100840337</v>
      </c>
    </row>
    <row r="437" spans="1:12">
      <c r="A437" s="9" t="s">
        <v>776</v>
      </c>
      <c r="B437" s="8">
        <v>24</v>
      </c>
      <c r="C437" s="8" t="s">
        <v>35</v>
      </c>
      <c r="D437" s="8" t="s">
        <v>56</v>
      </c>
      <c r="E437" s="8" t="s">
        <v>44</v>
      </c>
      <c r="F437" s="8">
        <v>225</v>
      </c>
      <c r="G437" s="8">
        <v>84.1</v>
      </c>
      <c r="H437" s="10">
        <v>23.94</v>
      </c>
      <c r="I437" s="8">
        <f t="shared" si="24"/>
        <v>1</v>
      </c>
      <c r="J437" s="8" t="str">
        <f t="shared" si="25"/>
        <v>No</v>
      </c>
      <c r="K437" s="5" t="str">
        <f t="shared" si="26"/>
        <v>No</v>
      </c>
      <c r="L437" s="25">
        <f t="shared" si="27"/>
        <v>70.672268907563023</v>
      </c>
    </row>
    <row r="438" spans="1:12">
      <c r="A438" s="9" t="s">
        <v>777</v>
      </c>
      <c r="B438" s="8">
        <v>12</v>
      </c>
      <c r="C438" s="8" t="s">
        <v>51</v>
      </c>
      <c r="D438" s="8" t="s">
        <v>56</v>
      </c>
      <c r="E438" s="8" t="s">
        <v>308</v>
      </c>
      <c r="F438" s="8">
        <v>371</v>
      </c>
      <c r="G438" s="8">
        <v>125.65</v>
      </c>
      <c r="H438" s="10">
        <v>23.1</v>
      </c>
      <c r="I438" s="8">
        <f t="shared" si="24"/>
        <v>1</v>
      </c>
      <c r="J438" s="8" t="str">
        <f t="shared" si="25"/>
        <v>No</v>
      </c>
      <c r="K438" s="5" t="str">
        <f t="shared" si="26"/>
        <v>No</v>
      </c>
      <c r="L438" s="25">
        <f t="shared" si="27"/>
        <v>105.58823529411765</v>
      </c>
    </row>
    <row r="439" spans="1:12">
      <c r="A439" s="9" t="s">
        <v>778</v>
      </c>
      <c r="B439" s="8">
        <v>24</v>
      </c>
      <c r="C439" s="8" t="s">
        <v>35</v>
      </c>
      <c r="D439" s="8" t="s">
        <v>36</v>
      </c>
      <c r="E439" s="8" t="s">
        <v>779</v>
      </c>
      <c r="F439" s="8">
        <v>192</v>
      </c>
      <c r="G439" s="8">
        <v>79.77</v>
      </c>
      <c r="H439" s="10">
        <v>22.16</v>
      </c>
      <c r="I439" s="8">
        <f t="shared" si="24"/>
        <v>1</v>
      </c>
      <c r="J439" s="8" t="str">
        <f t="shared" si="25"/>
        <v>No</v>
      </c>
      <c r="K439" s="5" t="str">
        <f t="shared" si="26"/>
        <v>No</v>
      </c>
      <c r="L439" s="25">
        <f t="shared" si="27"/>
        <v>67.033613445378151</v>
      </c>
    </row>
    <row r="440" spans="1:12">
      <c r="A440" s="9" t="s">
        <v>780</v>
      </c>
      <c r="B440" s="8">
        <v>24</v>
      </c>
      <c r="C440" s="8" t="s">
        <v>51</v>
      </c>
      <c r="D440" s="8" t="s">
        <v>46</v>
      </c>
      <c r="E440" s="8" t="s">
        <v>781</v>
      </c>
      <c r="F440" s="8">
        <v>408</v>
      </c>
      <c r="G440" s="8">
        <v>145.65</v>
      </c>
      <c r="H440" s="10">
        <v>17.96</v>
      </c>
      <c r="I440" s="8">
        <f t="shared" si="24"/>
        <v>1</v>
      </c>
      <c r="J440" s="8" t="str">
        <f t="shared" si="25"/>
        <v>No</v>
      </c>
      <c r="K440" s="5" t="str">
        <f t="shared" si="26"/>
        <v>No</v>
      </c>
      <c r="L440" s="25">
        <f t="shared" si="27"/>
        <v>122.39495798319329</v>
      </c>
    </row>
    <row r="441" spans="1:12">
      <c r="A441" s="9" t="s">
        <v>782</v>
      </c>
      <c r="B441" s="8">
        <v>12</v>
      </c>
      <c r="C441" s="8" t="s">
        <v>39</v>
      </c>
      <c r="D441" s="8" t="s">
        <v>36</v>
      </c>
      <c r="E441" s="8" t="s">
        <v>783</v>
      </c>
      <c r="F441" s="8">
        <v>104</v>
      </c>
      <c r="G441" s="8">
        <v>46.85</v>
      </c>
      <c r="H441" s="10">
        <v>28.83</v>
      </c>
      <c r="I441" s="8">
        <f t="shared" si="24"/>
        <v>1</v>
      </c>
      <c r="J441" s="8" t="str">
        <f t="shared" si="25"/>
        <v>No</v>
      </c>
      <c r="K441" s="5" t="str">
        <f t="shared" si="26"/>
        <v>No</v>
      </c>
      <c r="L441" s="25">
        <f t="shared" si="27"/>
        <v>39.36974789915967</v>
      </c>
    </row>
    <row r="442" spans="1:12">
      <c r="A442" s="9" t="s">
        <v>784</v>
      </c>
      <c r="B442" s="8">
        <v>12</v>
      </c>
      <c r="C442" s="8" t="s">
        <v>51</v>
      </c>
      <c r="D442" s="8" t="s">
        <v>36</v>
      </c>
      <c r="E442" s="8" t="s">
        <v>785</v>
      </c>
      <c r="F442" s="8">
        <v>617</v>
      </c>
      <c r="G442" s="8">
        <v>213.34</v>
      </c>
      <c r="H442" s="10">
        <v>17.690000000000001</v>
      </c>
      <c r="I442" s="8">
        <f t="shared" si="24"/>
        <v>1</v>
      </c>
      <c r="J442" s="8" t="str">
        <f t="shared" si="25"/>
        <v>No</v>
      </c>
      <c r="K442" s="5" t="str">
        <f t="shared" si="26"/>
        <v>No</v>
      </c>
      <c r="L442" s="25">
        <f t="shared" si="27"/>
        <v>179.27731092436977</v>
      </c>
    </row>
    <row r="443" spans="1:12">
      <c r="A443" s="9" t="s">
        <v>786</v>
      </c>
      <c r="B443" s="8">
        <v>24</v>
      </c>
      <c r="C443" s="8" t="s">
        <v>51</v>
      </c>
      <c r="D443" s="8" t="s">
        <v>46</v>
      </c>
      <c r="E443" s="8" t="s">
        <v>787</v>
      </c>
      <c r="F443" s="8">
        <v>520</v>
      </c>
      <c r="G443" s="8">
        <v>181.76</v>
      </c>
      <c r="H443" s="10">
        <v>21.04</v>
      </c>
      <c r="I443" s="8">
        <f t="shared" si="24"/>
        <v>1</v>
      </c>
      <c r="J443" s="8" t="str">
        <f t="shared" si="25"/>
        <v>No</v>
      </c>
      <c r="K443" s="5" t="str">
        <f t="shared" si="26"/>
        <v>No</v>
      </c>
      <c r="L443" s="25">
        <f t="shared" si="27"/>
        <v>152.73949579831933</v>
      </c>
    </row>
    <row r="444" spans="1:12">
      <c r="A444" s="9" t="s">
        <v>788</v>
      </c>
      <c r="B444" s="8">
        <v>12</v>
      </c>
      <c r="C444" s="8" t="s">
        <v>51</v>
      </c>
      <c r="D444" s="8" t="s">
        <v>56</v>
      </c>
      <c r="E444" s="8" t="s">
        <v>789</v>
      </c>
      <c r="F444" s="8">
        <v>508</v>
      </c>
      <c r="G444" s="8">
        <v>164.01</v>
      </c>
      <c r="H444" s="10">
        <v>20.84</v>
      </c>
      <c r="I444" s="8">
        <f t="shared" si="24"/>
        <v>1</v>
      </c>
      <c r="J444" s="8" t="str">
        <f t="shared" si="25"/>
        <v>No</v>
      </c>
      <c r="K444" s="5" t="str">
        <f t="shared" si="26"/>
        <v>No</v>
      </c>
      <c r="L444" s="25">
        <f t="shared" si="27"/>
        <v>137.8235294117647</v>
      </c>
    </row>
    <row r="445" spans="1:12">
      <c r="A445" s="9" t="s">
        <v>790</v>
      </c>
      <c r="B445" s="8">
        <v>12</v>
      </c>
      <c r="C445" s="8" t="s">
        <v>51</v>
      </c>
      <c r="D445" s="8" t="s">
        <v>56</v>
      </c>
      <c r="E445" s="8" t="s">
        <v>673</v>
      </c>
      <c r="F445" s="8">
        <v>371</v>
      </c>
      <c r="G445" s="8">
        <v>127.41</v>
      </c>
      <c r="H445" s="10">
        <v>18.829999999999998</v>
      </c>
      <c r="I445" s="8">
        <f t="shared" si="24"/>
        <v>1</v>
      </c>
      <c r="J445" s="8" t="str">
        <f t="shared" si="25"/>
        <v>No</v>
      </c>
      <c r="K445" s="5" t="str">
        <f t="shared" si="26"/>
        <v>No</v>
      </c>
      <c r="L445" s="25">
        <f t="shared" si="27"/>
        <v>107.0672268907563</v>
      </c>
    </row>
    <row r="446" spans="1:12">
      <c r="A446" s="9" t="s">
        <v>791</v>
      </c>
      <c r="B446" s="8">
        <v>24</v>
      </c>
      <c r="C446" s="8" t="s">
        <v>51</v>
      </c>
      <c r="D446" s="8" t="s">
        <v>46</v>
      </c>
      <c r="E446" s="8" t="s">
        <v>792</v>
      </c>
      <c r="F446" s="8">
        <v>620</v>
      </c>
      <c r="G446" s="8">
        <v>206.55</v>
      </c>
      <c r="H446" s="10">
        <v>20.3</v>
      </c>
      <c r="I446" s="8">
        <f t="shared" si="24"/>
        <v>1</v>
      </c>
      <c r="J446" s="8" t="str">
        <f t="shared" si="25"/>
        <v>No</v>
      </c>
      <c r="K446" s="5" t="str">
        <f t="shared" si="26"/>
        <v>No</v>
      </c>
      <c r="L446" s="25">
        <f t="shared" si="27"/>
        <v>173.57142857142858</v>
      </c>
    </row>
    <row r="447" spans="1:12">
      <c r="A447" s="9" t="s">
        <v>793</v>
      </c>
      <c r="B447" s="8">
        <v>24</v>
      </c>
      <c r="C447" s="8" t="s">
        <v>35</v>
      </c>
      <c r="D447" s="8" t="s">
        <v>36</v>
      </c>
      <c r="E447" s="8" t="s">
        <v>603</v>
      </c>
      <c r="F447" s="8">
        <v>287</v>
      </c>
      <c r="G447" s="8">
        <v>114.51</v>
      </c>
      <c r="H447" s="10">
        <v>22.62</v>
      </c>
      <c r="I447" s="8">
        <f t="shared" si="24"/>
        <v>1</v>
      </c>
      <c r="J447" s="8" t="str">
        <f t="shared" si="25"/>
        <v>No</v>
      </c>
      <c r="K447" s="5" t="str">
        <f t="shared" si="26"/>
        <v>No</v>
      </c>
      <c r="L447" s="25">
        <f t="shared" si="27"/>
        <v>96.226890756302524</v>
      </c>
    </row>
    <row r="448" spans="1:12">
      <c r="A448" s="9" t="s">
        <v>794</v>
      </c>
      <c r="B448" s="8">
        <v>24</v>
      </c>
      <c r="C448" s="8" t="s">
        <v>39</v>
      </c>
      <c r="D448" s="8" t="s">
        <v>46</v>
      </c>
      <c r="E448" s="8" t="s">
        <v>795</v>
      </c>
      <c r="F448" s="8">
        <v>89</v>
      </c>
      <c r="G448" s="8">
        <v>43.44</v>
      </c>
      <c r="H448" s="10">
        <v>29.95</v>
      </c>
      <c r="I448" s="8">
        <f t="shared" si="24"/>
        <v>1</v>
      </c>
      <c r="J448" s="8" t="str">
        <f t="shared" si="25"/>
        <v>No</v>
      </c>
      <c r="K448" s="5" t="str">
        <f t="shared" si="26"/>
        <v>No</v>
      </c>
      <c r="L448" s="25">
        <f t="shared" si="27"/>
        <v>36.504201680672267</v>
      </c>
    </row>
    <row r="449" spans="1:12">
      <c r="A449" s="9" t="s">
        <v>796</v>
      </c>
      <c r="B449" s="8">
        <v>24</v>
      </c>
      <c r="C449" s="8" t="s">
        <v>39</v>
      </c>
      <c r="D449" s="8" t="s">
        <v>36</v>
      </c>
      <c r="E449" s="8" t="s">
        <v>555</v>
      </c>
      <c r="F449" s="8">
        <v>142</v>
      </c>
      <c r="G449" s="8">
        <v>65.19</v>
      </c>
      <c r="H449" s="10">
        <v>29.72</v>
      </c>
      <c r="I449" s="8">
        <f t="shared" si="24"/>
        <v>1</v>
      </c>
      <c r="J449" s="8" t="str">
        <f t="shared" si="25"/>
        <v>No</v>
      </c>
      <c r="K449" s="5" t="str">
        <f t="shared" si="26"/>
        <v>No</v>
      </c>
      <c r="L449" s="25">
        <f t="shared" si="27"/>
        <v>54.781512605042018</v>
      </c>
    </row>
    <row r="450" spans="1:12">
      <c r="A450" s="9" t="s">
        <v>797</v>
      </c>
      <c r="B450" s="8">
        <v>12</v>
      </c>
      <c r="C450" s="8" t="s">
        <v>51</v>
      </c>
      <c r="D450" s="8" t="s">
        <v>46</v>
      </c>
      <c r="E450" s="8" t="s">
        <v>798</v>
      </c>
      <c r="F450" s="8">
        <v>514</v>
      </c>
      <c r="G450" s="8">
        <v>167.82</v>
      </c>
      <c r="H450" s="10">
        <v>19.48</v>
      </c>
      <c r="I450" s="8">
        <f t="shared" ref="I450:I513" si="28">COUNTIF($A:$A,A450)</f>
        <v>1</v>
      </c>
      <c r="J450" s="8" t="str">
        <f t="shared" ref="J450:J513" si="29">IF(F450=0,"Yes","No")</f>
        <v>No</v>
      </c>
      <c r="K450" s="5" t="str">
        <f t="shared" ref="K450:K513" si="30">IF(F450&lt;0,"Yes","No")</f>
        <v>No</v>
      </c>
      <c r="L450" s="25">
        <f t="shared" ref="L450:L513" si="31">G450/1.19</f>
        <v>141.0252100840336</v>
      </c>
    </row>
    <row r="451" spans="1:12">
      <c r="A451" s="9" t="s">
        <v>799</v>
      </c>
      <c r="B451" s="8">
        <v>12</v>
      </c>
      <c r="C451" s="8" t="s">
        <v>35</v>
      </c>
      <c r="D451" s="8" t="s">
        <v>36</v>
      </c>
      <c r="E451" s="8" t="s">
        <v>168</v>
      </c>
      <c r="F451" s="8">
        <v>181</v>
      </c>
      <c r="G451" s="8">
        <v>73.44</v>
      </c>
      <c r="H451" s="10">
        <v>26</v>
      </c>
      <c r="I451" s="8">
        <f t="shared" si="28"/>
        <v>1</v>
      </c>
      <c r="J451" s="8" t="str">
        <f t="shared" si="29"/>
        <v>No</v>
      </c>
      <c r="K451" s="5" t="str">
        <f t="shared" si="30"/>
        <v>No</v>
      </c>
      <c r="L451" s="25">
        <f t="shared" si="31"/>
        <v>61.714285714285715</v>
      </c>
    </row>
    <row r="452" spans="1:12">
      <c r="A452" s="9" t="s">
        <v>800</v>
      </c>
      <c r="B452" s="8">
        <v>24</v>
      </c>
      <c r="C452" s="8" t="s">
        <v>51</v>
      </c>
      <c r="D452" s="8" t="s">
        <v>46</v>
      </c>
      <c r="E452" s="8" t="s">
        <v>801</v>
      </c>
      <c r="F452" s="8">
        <v>486</v>
      </c>
      <c r="G452" s="8">
        <v>163.26</v>
      </c>
      <c r="H452" s="10">
        <v>22.35</v>
      </c>
      <c r="I452" s="8">
        <f t="shared" si="28"/>
        <v>1</v>
      </c>
      <c r="J452" s="8" t="str">
        <f t="shared" si="29"/>
        <v>No</v>
      </c>
      <c r="K452" s="5" t="str">
        <f t="shared" si="30"/>
        <v>No</v>
      </c>
      <c r="L452" s="25">
        <f t="shared" si="31"/>
        <v>137.19327731092437</v>
      </c>
    </row>
    <row r="453" spans="1:12">
      <c r="A453" s="9" t="s">
        <v>802</v>
      </c>
      <c r="B453" s="8">
        <v>24</v>
      </c>
      <c r="C453" s="8" t="s">
        <v>35</v>
      </c>
      <c r="D453" s="8" t="s">
        <v>36</v>
      </c>
      <c r="E453" s="8" t="s">
        <v>803</v>
      </c>
      <c r="F453" s="8">
        <v>248</v>
      </c>
      <c r="G453" s="8">
        <v>98.77</v>
      </c>
      <c r="H453" s="10">
        <v>23.59</v>
      </c>
      <c r="I453" s="8">
        <f t="shared" si="28"/>
        <v>1</v>
      </c>
      <c r="J453" s="8" t="str">
        <f t="shared" si="29"/>
        <v>No</v>
      </c>
      <c r="K453" s="5" t="str">
        <f t="shared" si="30"/>
        <v>No</v>
      </c>
      <c r="L453" s="25">
        <f t="shared" si="31"/>
        <v>83</v>
      </c>
    </row>
    <row r="454" spans="1:12">
      <c r="A454" s="9" t="s">
        <v>804</v>
      </c>
      <c r="B454" s="8">
        <v>12</v>
      </c>
      <c r="C454" s="8" t="s">
        <v>39</v>
      </c>
      <c r="D454" s="8" t="s">
        <v>36</v>
      </c>
      <c r="E454" s="8" t="s">
        <v>805</v>
      </c>
      <c r="F454" s="8">
        <v>97</v>
      </c>
      <c r="G454" s="8">
        <v>48.01</v>
      </c>
      <c r="H454" s="10">
        <v>31.31</v>
      </c>
      <c r="I454" s="8">
        <f t="shared" si="28"/>
        <v>1</v>
      </c>
      <c r="J454" s="8" t="str">
        <f t="shared" si="29"/>
        <v>No</v>
      </c>
      <c r="K454" s="5" t="str">
        <f t="shared" si="30"/>
        <v>No</v>
      </c>
      <c r="L454" s="25">
        <f t="shared" si="31"/>
        <v>40.344537815126053</v>
      </c>
    </row>
    <row r="455" spans="1:12">
      <c r="A455" s="9" t="s">
        <v>806</v>
      </c>
      <c r="B455" s="8">
        <v>24</v>
      </c>
      <c r="C455" s="8" t="s">
        <v>39</v>
      </c>
      <c r="D455" s="8" t="s">
        <v>56</v>
      </c>
      <c r="E455" s="8" t="s">
        <v>423</v>
      </c>
      <c r="F455" s="8">
        <v>162</v>
      </c>
      <c r="G455" s="8">
        <v>68.680000000000007</v>
      </c>
      <c r="H455" s="10">
        <v>28.68</v>
      </c>
      <c r="I455" s="8">
        <f t="shared" si="28"/>
        <v>1</v>
      </c>
      <c r="J455" s="8" t="str">
        <f t="shared" si="29"/>
        <v>No</v>
      </c>
      <c r="K455" s="5" t="str">
        <f t="shared" si="30"/>
        <v>No</v>
      </c>
      <c r="L455" s="25">
        <f t="shared" si="31"/>
        <v>57.714285714285722</v>
      </c>
    </row>
    <row r="456" spans="1:12">
      <c r="A456" s="9" t="s">
        <v>807</v>
      </c>
      <c r="B456" s="8">
        <v>12</v>
      </c>
      <c r="C456" s="8" t="s">
        <v>35</v>
      </c>
      <c r="D456" s="8" t="s">
        <v>36</v>
      </c>
      <c r="E456" s="8" t="s">
        <v>416</v>
      </c>
      <c r="F456" s="8">
        <v>308</v>
      </c>
      <c r="G456" s="8">
        <v>120.32</v>
      </c>
      <c r="H456" s="10">
        <v>22.12</v>
      </c>
      <c r="I456" s="8">
        <f t="shared" si="28"/>
        <v>1</v>
      </c>
      <c r="J456" s="8" t="str">
        <f t="shared" si="29"/>
        <v>No</v>
      </c>
      <c r="K456" s="5" t="str">
        <f t="shared" si="30"/>
        <v>No</v>
      </c>
      <c r="L456" s="25">
        <f t="shared" si="31"/>
        <v>101.10924369747899</v>
      </c>
    </row>
    <row r="457" spans="1:12">
      <c r="A457" s="9" t="s">
        <v>808</v>
      </c>
      <c r="B457" s="8">
        <v>12</v>
      </c>
      <c r="C457" s="8" t="s">
        <v>35</v>
      </c>
      <c r="D457" s="8" t="s">
        <v>36</v>
      </c>
      <c r="E457" s="8" t="s">
        <v>809</v>
      </c>
      <c r="F457" s="8">
        <v>278</v>
      </c>
      <c r="G457" s="8">
        <v>100.1</v>
      </c>
      <c r="H457" s="10">
        <v>22.82</v>
      </c>
      <c r="I457" s="8">
        <f t="shared" si="28"/>
        <v>1</v>
      </c>
      <c r="J457" s="8" t="str">
        <f t="shared" si="29"/>
        <v>No</v>
      </c>
      <c r="K457" s="5" t="str">
        <f t="shared" si="30"/>
        <v>No</v>
      </c>
      <c r="L457" s="25">
        <f t="shared" si="31"/>
        <v>84.117647058823522</v>
      </c>
    </row>
    <row r="458" spans="1:12">
      <c r="A458" s="9" t="s">
        <v>810</v>
      </c>
      <c r="B458" s="8">
        <v>12</v>
      </c>
      <c r="C458" s="8" t="s">
        <v>39</v>
      </c>
      <c r="D458" s="8" t="s">
        <v>36</v>
      </c>
      <c r="E458" s="8" t="s">
        <v>811</v>
      </c>
      <c r="F458" s="8">
        <v>122</v>
      </c>
      <c r="G458" s="8">
        <v>53.45</v>
      </c>
      <c r="H458" s="10">
        <v>29.36</v>
      </c>
      <c r="I458" s="8">
        <f t="shared" si="28"/>
        <v>1</v>
      </c>
      <c r="J458" s="8" t="str">
        <f t="shared" si="29"/>
        <v>No</v>
      </c>
      <c r="K458" s="5" t="str">
        <f t="shared" si="30"/>
        <v>No</v>
      </c>
      <c r="L458" s="25">
        <f t="shared" si="31"/>
        <v>44.915966386554629</v>
      </c>
    </row>
    <row r="459" spans="1:12">
      <c r="A459" s="9" t="s">
        <v>812</v>
      </c>
      <c r="B459" s="8">
        <v>12</v>
      </c>
      <c r="C459" s="8" t="s">
        <v>35</v>
      </c>
      <c r="D459" s="8" t="s">
        <v>36</v>
      </c>
      <c r="E459" s="8" t="s">
        <v>813</v>
      </c>
      <c r="F459" s="8">
        <v>235</v>
      </c>
      <c r="G459" s="8">
        <v>87.55</v>
      </c>
      <c r="H459" s="10">
        <v>24.04</v>
      </c>
      <c r="I459" s="8">
        <f t="shared" si="28"/>
        <v>1</v>
      </c>
      <c r="J459" s="8" t="str">
        <f t="shared" si="29"/>
        <v>No</v>
      </c>
      <c r="K459" s="5" t="str">
        <f t="shared" si="30"/>
        <v>No</v>
      </c>
      <c r="L459" s="25">
        <f t="shared" si="31"/>
        <v>73.571428571428569</v>
      </c>
    </row>
    <row r="460" spans="1:12">
      <c r="A460" s="9" t="s">
        <v>814</v>
      </c>
      <c r="B460" s="8">
        <v>12</v>
      </c>
      <c r="C460" s="8" t="s">
        <v>39</v>
      </c>
      <c r="D460" s="8" t="s">
        <v>36</v>
      </c>
      <c r="E460" s="8" t="s">
        <v>805</v>
      </c>
      <c r="F460" s="8">
        <v>138</v>
      </c>
      <c r="G460" s="8">
        <v>59.44</v>
      </c>
      <c r="H460" s="10">
        <v>30.46</v>
      </c>
      <c r="I460" s="8">
        <f t="shared" si="28"/>
        <v>1</v>
      </c>
      <c r="J460" s="8" t="str">
        <f t="shared" si="29"/>
        <v>No</v>
      </c>
      <c r="K460" s="5" t="str">
        <f t="shared" si="30"/>
        <v>No</v>
      </c>
      <c r="L460" s="25">
        <f t="shared" si="31"/>
        <v>49.949579831932773</v>
      </c>
    </row>
    <row r="461" spans="1:12">
      <c r="A461" s="9" t="s">
        <v>815</v>
      </c>
      <c r="B461" s="8">
        <v>12</v>
      </c>
      <c r="C461" s="8" t="s">
        <v>35</v>
      </c>
      <c r="D461" s="8" t="s">
        <v>36</v>
      </c>
      <c r="E461" s="8" t="s">
        <v>275</v>
      </c>
      <c r="F461" s="8">
        <v>258</v>
      </c>
      <c r="G461" s="8">
        <v>0</v>
      </c>
      <c r="H461" s="10">
        <v>25.64</v>
      </c>
      <c r="I461" s="8">
        <f t="shared" si="28"/>
        <v>1</v>
      </c>
      <c r="J461" s="8" t="str">
        <f t="shared" si="29"/>
        <v>No</v>
      </c>
      <c r="K461" s="5" t="str">
        <f t="shared" si="30"/>
        <v>No</v>
      </c>
      <c r="L461" s="25">
        <f t="shared" si="31"/>
        <v>0</v>
      </c>
    </row>
    <row r="462" spans="1:12">
      <c r="A462" s="9" t="s">
        <v>816</v>
      </c>
      <c r="B462" s="8">
        <v>12</v>
      </c>
      <c r="C462" s="8" t="s">
        <v>39</v>
      </c>
      <c r="D462" s="8" t="s">
        <v>56</v>
      </c>
      <c r="E462" s="8" t="s">
        <v>817</v>
      </c>
      <c r="F462" s="8">
        <v>88</v>
      </c>
      <c r="G462" s="8">
        <v>41.15</v>
      </c>
      <c r="H462" s="10">
        <v>30.04</v>
      </c>
      <c r="I462" s="8">
        <f t="shared" si="28"/>
        <v>1</v>
      </c>
      <c r="J462" s="8" t="str">
        <f t="shared" si="29"/>
        <v>No</v>
      </c>
      <c r="K462" s="5" t="str">
        <f t="shared" si="30"/>
        <v>No</v>
      </c>
      <c r="L462" s="25">
        <f t="shared" si="31"/>
        <v>34.579831932773111</v>
      </c>
    </row>
    <row r="463" spans="1:12">
      <c r="A463" s="9" t="s">
        <v>818</v>
      </c>
      <c r="B463" s="8">
        <v>24</v>
      </c>
      <c r="C463" s="8" t="s">
        <v>51</v>
      </c>
      <c r="D463" s="8" t="s">
        <v>36</v>
      </c>
      <c r="E463" s="8" t="s">
        <v>420</v>
      </c>
      <c r="F463" s="8">
        <v>504</v>
      </c>
      <c r="G463" s="8">
        <v>172.82</v>
      </c>
      <c r="H463" s="10">
        <v>19.010000000000002</v>
      </c>
      <c r="I463" s="8">
        <f t="shared" si="28"/>
        <v>1</v>
      </c>
      <c r="J463" s="8" t="str">
        <f t="shared" si="29"/>
        <v>No</v>
      </c>
      <c r="K463" s="5" t="str">
        <f t="shared" si="30"/>
        <v>No</v>
      </c>
      <c r="L463" s="25">
        <f t="shared" si="31"/>
        <v>145.22689075630251</v>
      </c>
    </row>
    <row r="464" spans="1:12">
      <c r="A464" s="9" t="s">
        <v>819</v>
      </c>
      <c r="B464" s="8">
        <v>24</v>
      </c>
      <c r="C464" s="8" t="s">
        <v>39</v>
      </c>
      <c r="D464" s="8" t="s">
        <v>56</v>
      </c>
      <c r="E464" s="8" t="s">
        <v>820</v>
      </c>
      <c r="F464" s="8">
        <v>151</v>
      </c>
      <c r="G464" s="8">
        <v>67.75</v>
      </c>
      <c r="H464" s="10">
        <v>30.2</v>
      </c>
      <c r="I464" s="8">
        <f t="shared" si="28"/>
        <v>1</v>
      </c>
      <c r="J464" s="8" t="str">
        <f t="shared" si="29"/>
        <v>No</v>
      </c>
      <c r="K464" s="5" t="str">
        <f t="shared" si="30"/>
        <v>No</v>
      </c>
      <c r="L464" s="25">
        <f t="shared" si="31"/>
        <v>56.932773109243698</v>
      </c>
    </row>
    <row r="465" spans="1:12">
      <c r="A465" s="9" t="s">
        <v>821</v>
      </c>
      <c r="B465" s="8">
        <v>24</v>
      </c>
      <c r="C465" s="8" t="s">
        <v>35</v>
      </c>
      <c r="D465" s="8" t="s">
        <v>46</v>
      </c>
      <c r="E465" s="8" t="s">
        <v>822</v>
      </c>
      <c r="F465" s="8">
        <v>243</v>
      </c>
      <c r="G465" s="8">
        <v>89.11</v>
      </c>
      <c r="H465" s="10">
        <v>22.14</v>
      </c>
      <c r="I465" s="8">
        <f t="shared" si="28"/>
        <v>1</v>
      </c>
      <c r="J465" s="8" t="str">
        <f t="shared" si="29"/>
        <v>No</v>
      </c>
      <c r="K465" s="5" t="str">
        <f t="shared" si="30"/>
        <v>No</v>
      </c>
      <c r="L465" s="25">
        <f t="shared" si="31"/>
        <v>74.882352941176478</v>
      </c>
    </row>
    <row r="466" spans="1:12">
      <c r="A466" s="9" t="s">
        <v>823</v>
      </c>
      <c r="B466" s="8">
        <v>24</v>
      </c>
      <c r="C466" s="8" t="s">
        <v>39</v>
      </c>
      <c r="D466" s="8" t="s">
        <v>36</v>
      </c>
      <c r="E466" s="8" t="s">
        <v>824</v>
      </c>
      <c r="F466" s="8">
        <v>87</v>
      </c>
      <c r="G466" s="8">
        <v>45.38</v>
      </c>
      <c r="H466" s="10">
        <v>30.2</v>
      </c>
      <c r="I466" s="8">
        <f t="shared" si="28"/>
        <v>1</v>
      </c>
      <c r="J466" s="8" t="str">
        <f t="shared" si="29"/>
        <v>No</v>
      </c>
      <c r="K466" s="5" t="str">
        <f t="shared" si="30"/>
        <v>No</v>
      </c>
      <c r="L466" s="25">
        <f t="shared" si="31"/>
        <v>38.134453781512612</v>
      </c>
    </row>
    <row r="467" spans="1:12">
      <c r="A467" s="9" t="s">
        <v>825</v>
      </c>
      <c r="B467" s="8">
        <v>12</v>
      </c>
      <c r="C467" s="8" t="s">
        <v>39</v>
      </c>
      <c r="D467" s="8" t="s">
        <v>46</v>
      </c>
      <c r="E467" s="8" t="s">
        <v>826</v>
      </c>
      <c r="F467" s="8">
        <v>149</v>
      </c>
      <c r="G467" s="8">
        <v>63.72</v>
      </c>
      <c r="H467" s="10">
        <v>31.75</v>
      </c>
      <c r="I467" s="8">
        <f t="shared" si="28"/>
        <v>1</v>
      </c>
      <c r="J467" s="8" t="str">
        <f t="shared" si="29"/>
        <v>No</v>
      </c>
      <c r="K467" s="5" t="str">
        <f t="shared" si="30"/>
        <v>No</v>
      </c>
      <c r="L467" s="25">
        <f t="shared" si="31"/>
        <v>53.54621848739496</v>
      </c>
    </row>
    <row r="468" spans="1:12">
      <c r="A468" s="9" t="s">
        <v>827</v>
      </c>
      <c r="B468" s="8">
        <v>12</v>
      </c>
      <c r="C468" s="8" t="s">
        <v>35</v>
      </c>
      <c r="D468" s="8" t="s">
        <v>36</v>
      </c>
      <c r="E468" s="8" t="s">
        <v>308</v>
      </c>
      <c r="F468" s="8">
        <v>200</v>
      </c>
      <c r="G468" s="8">
        <v>75.05</v>
      </c>
      <c r="H468" s="10">
        <v>27.36</v>
      </c>
      <c r="I468" s="8">
        <f t="shared" si="28"/>
        <v>1</v>
      </c>
      <c r="J468" s="8" t="str">
        <f t="shared" si="29"/>
        <v>No</v>
      </c>
      <c r="K468" s="5" t="str">
        <f t="shared" si="30"/>
        <v>No</v>
      </c>
      <c r="L468" s="25">
        <f t="shared" si="31"/>
        <v>63.067226890756302</v>
      </c>
    </row>
    <row r="469" spans="1:12">
      <c r="A469" s="9" t="s">
        <v>828</v>
      </c>
      <c r="B469" s="8">
        <v>24</v>
      </c>
      <c r="C469" s="8" t="s">
        <v>35</v>
      </c>
      <c r="D469" s="8" t="s">
        <v>46</v>
      </c>
      <c r="E469" s="8" t="s">
        <v>829</v>
      </c>
      <c r="F469" s="8">
        <v>210</v>
      </c>
      <c r="G469" s="8">
        <v>80.400000000000006</v>
      </c>
      <c r="H469" s="10">
        <v>22.64</v>
      </c>
      <c r="I469" s="8">
        <f t="shared" si="28"/>
        <v>1</v>
      </c>
      <c r="J469" s="8" t="str">
        <f t="shared" si="29"/>
        <v>No</v>
      </c>
      <c r="K469" s="5" t="str">
        <f t="shared" si="30"/>
        <v>No</v>
      </c>
      <c r="L469" s="25">
        <f t="shared" si="31"/>
        <v>67.563025210084035</v>
      </c>
    </row>
    <row r="470" spans="1:12">
      <c r="A470" s="9" t="s">
        <v>830</v>
      </c>
      <c r="B470" s="8">
        <v>12</v>
      </c>
      <c r="C470" s="8" t="s">
        <v>35</v>
      </c>
      <c r="D470" s="8" t="s">
        <v>36</v>
      </c>
      <c r="E470" s="8" t="s">
        <v>831</v>
      </c>
      <c r="F470" s="8">
        <v>194</v>
      </c>
      <c r="G470" s="8">
        <v>81.459999999999994</v>
      </c>
      <c r="H470" s="10">
        <v>22.1</v>
      </c>
      <c r="I470" s="8">
        <f t="shared" si="28"/>
        <v>1</v>
      </c>
      <c r="J470" s="8" t="str">
        <f t="shared" si="29"/>
        <v>No</v>
      </c>
      <c r="K470" s="5" t="str">
        <f t="shared" si="30"/>
        <v>No</v>
      </c>
      <c r="L470" s="25">
        <f t="shared" si="31"/>
        <v>68.453781512605033</v>
      </c>
    </row>
    <row r="471" spans="1:12">
      <c r="A471" s="9" t="s">
        <v>832</v>
      </c>
      <c r="B471" s="8">
        <v>24</v>
      </c>
      <c r="C471" s="8" t="s">
        <v>39</v>
      </c>
      <c r="D471" s="8" t="s">
        <v>36</v>
      </c>
      <c r="E471" s="8" t="s">
        <v>833</v>
      </c>
      <c r="F471" s="8">
        <v>111</v>
      </c>
      <c r="G471" s="8">
        <v>51.33</v>
      </c>
      <c r="H471" s="10">
        <v>29.8</v>
      </c>
      <c r="I471" s="8">
        <f t="shared" si="28"/>
        <v>1</v>
      </c>
      <c r="J471" s="8" t="str">
        <f t="shared" si="29"/>
        <v>No</v>
      </c>
      <c r="K471" s="5" t="str">
        <f t="shared" si="30"/>
        <v>No</v>
      </c>
      <c r="L471" s="25">
        <f t="shared" si="31"/>
        <v>43.134453781512605</v>
      </c>
    </row>
    <row r="472" spans="1:12">
      <c r="A472" s="9" t="s">
        <v>834</v>
      </c>
      <c r="B472" s="8">
        <v>12</v>
      </c>
      <c r="C472" s="8" t="s">
        <v>35</v>
      </c>
      <c r="D472" s="8" t="s">
        <v>56</v>
      </c>
      <c r="E472" s="8" t="s">
        <v>577</v>
      </c>
      <c r="F472" s="8">
        <v>293</v>
      </c>
      <c r="G472" s="8">
        <v>112.18</v>
      </c>
      <c r="H472" s="10">
        <v>22.95</v>
      </c>
      <c r="I472" s="8">
        <f t="shared" si="28"/>
        <v>1</v>
      </c>
      <c r="J472" s="8" t="str">
        <f t="shared" si="29"/>
        <v>No</v>
      </c>
      <c r="K472" s="5" t="str">
        <f t="shared" si="30"/>
        <v>No</v>
      </c>
      <c r="L472" s="25">
        <f t="shared" si="31"/>
        <v>94.268907563025223</v>
      </c>
    </row>
    <row r="473" spans="1:12">
      <c r="A473" s="9" t="s">
        <v>835</v>
      </c>
      <c r="B473" s="8">
        <v>24</v>
      </c>
      <c r="C473" s="8" t="s">
        <v>51</v>
      </c>
      <c r="D473" s="8" t="s">
        <v>56</v>
      </c>
      <c r="E473" s="8" t="s">
        <v>836</v>
      </c>
      <c r="F473" s="8">
        <v>506</v>
      </c>
      <c r="G473" s="8">
        <v>178.72</v>
      </c>
      <c r="H473" s="10">
        <v>16.75</v>
      </c>
      <c r="I473" s="8">
        <f t="shared" si="28"/>
        <v>1</v>
      </c>
      <c r="J473" s="8" t="str">
        <f t="shared" si="29"/>
        <v>No</v>
      </c>
      <c r="K473" s="5" t="str">
        <f t="shared" si="30"/>
        <v>No</v>
      </c>
      <c r="L473" s="25">
        <f t="shared" si="31"/>
        <v>150.18487394957984</v>
      </c>
    </row>
    <row r="474" spans="1:12">
      <c r="A474" s="9" t="s">
        <v>837</v>
      </c>
      <c r="B474" s="8">
        <v>12</v>
      </c>
      <c r="C474" s="8" t="s">
        <v>51</v>
      </c>
      <c r="D474" s="8" t="s">
        <v>56</v>
      </c>
      <c r="E474" s="8" t="s">
        <v>838</v>
      </c>
      <c r="F474" s="8">
        <v>401</v>
      </c>
      <c r="G474" s="8">
        <v>130.93</v>
      </c>
      <c r="H474" s="10">
        <v>22.12</v>
      </c>
      <c r="I474" s="8">
        <f t="shared" si="28"/>
        <v>1</v>
      </c>
      <c r="J474" s="8" t="str">
        <f t="shared" si="29"/>
        <v>No</v>
      </c>
      <c r="K474" s="5" t="str">
        <f t="shared" si="30"/>
        <v>No</v>
      </c>
      <c r="L474" s="25">
        <f t="shared" si="31"/>
        <v>110.02521008403363</v>
      </c>
    </row>
    <row r="475" spans="1:12">
      <c r="A475" s="9" t="s">
        <v>839</v>
      </c>
      <c r="B475" s="8">
        <v>24</v>
      </c>
      <c r="C475" s="8" t="s">
        <v>39</v>
      </c>
      <c r="D475" s="8" t="s">
        <v>36</v>
      </c>
      <c r="E475" s="8" t="s">
        <v>504</v>
      </c>
      <c r="F475" s="8">
        <v>157</v>
      </c>
      <c r="G475" s="8">
        <v>67.44</v>
      </c>
      <c r="H475" s="10">
        <v>28.45</v>
      </c>
      <c r="I475" s="8">
        <f t="shared" si="28"/>
        <v>1</v>
      </c>
      <c r="J475" s="8" t="str">
        <f t="shared" si="29"/>
        <v>No</v>
      </c>
      <c r="K475" s="5" t="str">
        <f t="shared" si="30"/>
        <v>No</v>
      </c>
      <c r="L475" s="25">
        <f t="shared" si="31"/>
        <v>56.672268907563023</v>
      </c>
    </row>
    <row r="476" spans="1:12">
      <c r="A476" s="9" t="s">
        <v>840</v>
      </c>
      <c r="B476" s="8">
        <v>12</v>
      </c>
      <c r="C476" s="8" t="s">
        <v>35</v>
      </c>
      <c r="D476" s="8" t="s">
        <v>46</v>
      </c>
      <c r="E476" s="8" t="s">
        <v>42</v>
      </c>
      <c r="F476" s="8">
        <v>313</v>
      </c>
      <c r="G476" s="8">
        <v>117.96</v>
      </c>
      <c r="H476" s="10">
        <v>24.43</v>
      </c>
      <c r="I476" s="8">
        <f t="shared" si="28"/>
        <v>1</v>
      </c>
      <c r="J476" s="8" t="str">
        <f t="shared" si="29"/>
        <v>No</v>
      </c>
      <c r="K476" s="5" t="str">
        <f t="shared" si="30"/>
        <v>No</v>
      </c>
      <c r="L476" s="25">
        <f t="shared" si="31"/>
        <v>99.12605042016807</v>
      </c>
    </row>
    <row r="477" spans="1:12">
      <c r="A477" s="9" t="s">
        <v>841</v>
      </c>
      <c r="B477" s="8">
        <v>24</v>
      </c>
      <c r="C477" s="8" t="s">
        <v>39</v>
      </c>
      <c r="D477" s="8" t="s">
        <v>36</v>
      </c>
      <c r="E477" s="8" t="s">
        <v>842</v>
      </c>
      <c r="F477" s="8">
        <v>156</v>
      </c>
      <c r="G477" s="8">
        <v>65.31</v>
      </c>
      <c r="H477" s="10">
        <v>29.12</v>
      </c>
      <c r="I477" s="8">
        <f t="shared" si="28"/>
        <v>1</v>
      </c>
      <c r="J477" s="8" t="str">
        <f t="shared" si="29"/>
        <v>No</v>
      </c>
      <c r="K477" s="5" t="str">
        <f t="shared" si="30"/>
        <v>No</v>
      </c>
      <c r="L477" s="25">
        <f t="shared" si="31"/>
        <v>54.882352941176478</v>
      </c>
    </row>
    <row r="478" spans="1:12">
      <c r="A478" s="9" t="s">
        <v>843</v>
      </c>
      <c r="B478" s="8">
        <v>12</v>
      </c>
      <c r="C478" s="8" t="s">
        <v>39</v>
      </c>
      <c r="D478" s="8" t="s">
        <v>36</v>
      </c>
      <c r="E478" s="8" t="s">
        <v>844</v>
      </c>
      <c r="F478" s="8">
        <v>103</v>
      </c>
      <c r="G478" s="8">
        <v>46.2</v>
      </c>
      <c r="H478" s="10">
        <v>28.69</v>
      </c>
      <c r="I478" s="8">
        <f t="shared" si="28"/>
        <v>1</v>
      </c>
      <c r="J478" s="8" t="str">
        <f t="shared" si="29"/>
        <v>No</v>
      </c>
      <c r="K478" s="5" t="str">
        <f t="shared" si="30"/>
        <v>No</v>
      </c>
      <c r="L478" s="25">
        <f t="shared" si="31"/>
        <v>38.82352941176471</v>
      </c>
    </row>
    <row r="479" spans="1:12">
      <c r="A479" s="9" t="s">
        <v>845</v>
      </c>
      <c r="B479" s="8">
        <v>24</v>
      </c>
      <c r="C479" s="8" t="s">
        <v>51</v>
      </c>
      <c r="D479" s="8" t="s">
        <v>36</v>
      </c>
      <c r="E479" s="8" t="s">
        <v>450</v>
      </c>
      <c r="F479" s="8">
        <v>484</v>
      </c>
      <c r="G479" s="8">
        <v>161.16</v>
      </c>
      <c r="H479" s="10">
        <v>18.399999999999999</v>
      </c>
      <c r="I479" s="8">
        <f t="shared" si="28"/>
        <v>1</v>
      </c>
      <c r="J479" s="8" t="str">
        <f t="shared" si="29"/>
        <v>No</v>
      </c>
      <c r="K479" s="5" t="str">
        <f t="shared" si="30"/>
        <v>No</v>
      </c>
      <c r="L479" s="25">
        <f t="shared" si="31"/>
        <v>135.42857142857144</v>
      </c>
    </row>
    <row r="480" spans="1:12">
      <c r="A480" s="9" t="s">
        <v>846</v>
      </c>
      <c r="B480" s="8">
        <v>24</v>
      </c>
      <c r="C480" s="8" t="s">
        <v>39</v>
      </c>
      <c r="D480" s="8" t="s">
        <v>46</v>
      </c>
      <c r="E480" s="8" t="s">
        <v>484</v>
      </c>
      <c r="F480" s="8">
        <v>166</v>
      </c>
      <c r="G480" s="8">
        <v>72.72</v>
      </c>
      <c r="H480" s="10">
        <v>31.21</v>
      </c>
      <c r="I480" s="8">
        <f t="shared" si="28"/>
        <v>1</v>
      </c>
      <c r="J480" s="8" t="str">
        <f t="shared" si="29"/>
        <v>No</v>
      </c>
      <c r="K480" s="5" t="str">
        <f t="shared" si="30"/>
        <v>No</v>
      </c>
      <c r="L480" s="25">
        <f t="shared" si="31"/>
        <v>61.109243697478995</v>
      </c>
    </row>
    <row r="481" spans="1:12">
      <c r="A481" s="9" t="s">
        <v>847</v>
      </c>
      <c r="B481" s="8">
        <v>12</v>
      </c>
      <c r="C481" s="8" t="s">
        <v>35</v>
      </c>
      <c r="D481" s="8" t="s">
        <v>36</v>
      </c>
      <c r="E481" s="8" t="s">
        <v>848</v>
      </c>
      <c r="F481" s="8">
        <v>295</v>
      </c>
      <c r="G481" s="8">
        <v>110.32</v>
      </c>
      <c r="H481" s="10">
        <v>23.57</v>
      </c>
      <c r="I481" s="8">
        <f t="shared" si="28"/>
        <v>1</v>
      </c>
      <c r="J481" s="8" t="str">
        <f t="shared" si="29"/>
        <v>No</v>
      </c>
      <c r="K481" s="5" t="str">
        <f t="shared" si="30"/>
        <v>No</v>
      </c>
      <c r="L481" s="25">
        <f t="shared" si="31"/>
        <v>92.705882352941174</v>
      </c>
    </row>
    <row r="482" spans="1:12">
      <c r="A482" s="9" t="s">
        <v>849</v>
      </c>
      <c r="B482" s="8">
        <v>24</v>
      </c>
      <c r="C482" s="8" t="s">
        <v>35</v>
      </c>
      <c r="D482" s="8" t="s">
        <v>36</v>
      </c>
      <c r="E482" s="8" t="s">
        <v>764</v>
      </c>
      <c r="F482" s="8">
        <v>172</v>
      </c>
      <c r="G482" s="8">
        <v>70.3</v>
      </c>
      <c r="H482" s="10">
        <v>25</v>
      </c>
      <c r="I482" s="8">
        <f t="shared" si="28"/>
        <v>1</v>
      </c>
      <c r="J482" s="8" t="str">
        <f t="shared" si="29"/>
        <v>No</v>
      </c>
      <c r="K482" s="5" t="str">
        <f t="shared" si="30"/>
        <v>No</v>
      </c>
      <c r="L482" s="25">
        <f t="shared" si="31"/>
        <v>59.075630252100844</v>
      </c>
    </row>
    <row r="483" spans="1:12">
      <c r="A483" s="9" t="s">
        <v>850</v>
      </c>
      <c r="B483" s="8">
        <v>24</v>
      </c>
      <c r="C483" s="8" t="s">
        <v>35</v>
      </c>
      <c r="D483" s="8" t="s">
        <v>56</v>
      </c>
      <c r="E483" s="8" t="s">
        <v>851</v>
      </c>
      <c r="F483" s="8">
        <v>-15</v>
      </c>
      <c r="G483" s="8">
        <v>71.959999999999994</v>
      </c>
      <c r="H483" s="10">
        <v>22.5</v>
      </c>
      <c r="I483" s="8">
        <f t="shared" si="28"/>
        <v>1</v>
      </c>
      <c r="J483" s="8" t="str">
        <f t="shared" si="29"/>
        <v>No</v>
      </c>
      <c r="K483" s="5" t="str">
        <f t="shared" si="30"/>
        <v>Yes</v>
      </c>
      <c r="L483" s="25">
        <f t="shared" si="31"/>
        <v>60.470588235294116</v>
      </c>
    </row>
    <row r="484" spans="1:12">
      <c r="A484" s="9" t="s">
        <v>852</v>
      </c>
      <c r="B484" s="8">
        <v>12</v>
      </c>
      <c r="C484" s="8" t="s">
        <v>35</v>
      </c>
      <c r="D484" s="8" t="s">
        <v>36</v>
      </c>
      <c r="E484" s="8" t="s">
        <v>478</v>
      </c>
      <c r="F484" s="8">
        <v>244</v>
      </c>
      <c r="G484" s="8">
        <v>92.14</v>
      </c>
      <c r="H484" s="10">
        <v>25.09</v>
      </c>
      <c r="I484" s="8">
        <f t="shared" si="28"/>
        <v>1</v>
      </c>
      <c r="J484" s="8" t="str">
        <f t="shared" si="29"/>
        <v>No</v>
      </c>
      <c r="K484" s="5" t="str">
        <f t="shared" si="30"/>
        <v>No</v>
      </c>
      <c r="L484" s="25">
        <f t="shared" si="31"/>
        <v>77.428571428571431</v>
      </c>
    </row>
    <row r="485" spans="1:12">
      <c r="A485" s="9" t="s">
        <v>853</v>
      </c>
      <c r="B485" s="8">
        <v>24</v>
      </c>
      <c r="C485" s="8" t="s">
        <v>39</v>
      </c>
      <c r="D485" s="8" t="s">
        <v>36</v>
      </c>
      <c r="E485" s="8" t="s">
        <v>213</v>
      </c>
      <c r="F485" s="8">
        <v>159</v>
      </c>
      <c r="G485" s="8">
        <v>70.11</v>
      </c>
      <c r="H485" s="10">
        <v>28.95</v>
      </c>
      <c r="I485" s="8">
        <f t="shared" si="28"/>
        <v>1</v>
      </c>
      <c r="J485" s="8" t="str">
        <f t="shared" si="29"/>
        <v>No</v>
      </c>
      <c r="K485" s="5" t="str">
        <f t="shared" si="30"/>
        <v>No</v>
      </c>
      <c r="L485" s="25">
        <f t="shared" si="31"/>
        <v>58.915966386554622</v>
      </c>
    </row>
    <row r="486" spans="1:12">
      <c r="A486" s="9" t="s">
        <v>854</v>
      </c>
      <c r="B486" s="8">
        <v>24</v>
      </c>
      <c r="C486" s="8" t="s">
        <v>39</v>
      </c>
      <c r="D486" s="8" t="s">
        <v>36</v>
      </c>
      <c r="E486" s="8" t="s">
        <v>855</v>
      </c>
      <c r="F486" s="8">
        <v>128</v>
      </c>
      <c r="G486" s="8">
        <v>55.42</v>
      </c>
      <c r="H486" s="10">
        <v>32.71</v>
      </c>
      <c r="I486" s="8">
        <f t="shared" si="28"/>
        <v>1</v>
      </c>
      <c r="J486" s="8" t="str">
        <f t="shared" si="29"/>
        <v>No</v>
      </c>
      <c r="K486" s="5" t="str">
        <f t="shared" si="30"/>
        <v>No</v>
      </c>
      <c r="L486" s="25">
        <f t="shared" si="31"/>
        <v>46.571428571428577</v>
      </c>
    </row>
    <row r="487" spans="1:12">
      <c r="A487" s="9" t="s">
        <v>856</v>
      </c>
      <c r="B487" s="8">
        <v>24</v>
      </c>
      <c r="C487" s="8" t="s">
        <v>35</v>
      </c>
      <c r="D487" s="8" t="s">
        <v>56</v>
      </c>
      <c r="E487" s="8" t="s">
        <v>857</v>
      </c>
      <c r="F487" s="8">
        <v>250</v>
      </c>
      <c r="G487" s="8">
        <v>99.72</v>
      </c>
      <c r="H487" s="10">
        <v>24.26</v>
      </c>
      <c r="I487" s="8">
        <f t="shared" si="28"/>
        <v>1</v>
      </c>
      <c r="J487" s="8" t="str">
        <f t="shared" si="29"/>
        <v>No</v>
      </c>
      <c r="K487" s="5" t="str">
        <f t="shared" si="30"/>
        <v>No</v>
      </c>
      <c r="L487" s="25">
        <f t="shared" si="31"/>
        <v>83.798319327731093</v>
      </c>
    </row>
    <row r="488" spans="1:12">
      <c r="A488" s="9" t="s">
        <v>858</v>
      </c>
      <c r="B488" s="8">
        <v>12</v>
      </c>
      <c r="C488" s="8" t="s">
        <v>39</v>
      </c>
      <c r="D488" s="8" t="s">
        <v>36</v>
      </c>
      <c r="E488" s="8" t="s">
        <v>859</v>
      </c>
      <c r="F488" s="8">
        <v>92</v>
      </c>
      <c r="G488" s="8">
        <v>44.91</v>
      </c>
      <c r="H488" s="10">
        <v>31.72</v>
      </c>
      <c r="I488" s="8">
        <f t="shared" si="28"/>
        <v>1</v>
      </c>
      <c r="J488" s="8" t="str">
        <f t="shared" si="29"/>
        <v>No</v>
      </c>
      <c r="K488" s="5" t="str">
        <f t="shared" si="30"/>
        <v>No</v>
      </c>
      <c r="L488" s="25">
        <f t="shared" si="31"/>
        <v>37.739495798319325</v>
      </c>
    </row>
    <row r="489" spans="1:12">
      <c r="A489" s="9" t="s">
        <v>860</v>
      </c>
      <c r="B489" s="8">
        <v>12</v>
      </c>
      <c r="C489" s="8" t="s">
        <v>35</v>
      </c>
      <c r="D489" s="8" t="s">
        <v>36</v>
      </c>
      <c r="E489" s="8" t="s">
        <v>269</v>
      </c>
      <c r="F489" s="8">
        <v>276</v>
      </c>
      <c r="G489" s="8">
        <v>100.28</v>
      </c>
      <c r="H489" s="10">
        <v>25.55</v>
      </c>
      <c r="I489" s="8">
        <f t="shared" si="28"/>
        <v>1</v>
      </c>
      <c r="J489" s="8" t="str">
        <f t="shared" si="29"/>
        <v>No</v>
      </c>
      <c r="K489" s="5" t="str">
        <f t="shared" si="30"/>
        <v>No</v>
      </c>
      <c r="L489" s="25">
        <f t="shared" si="31"/>
        <v>84.268907563025209</v>
      </c>
    </row>
    <row r="490" spans="1:12">
      <c r="A490" s="9" t="s">
        <v>861</v>
      </c>
      <c r="B490" s="8">
        <v>24</v>
      </c>
      <c r="C490" s="8" t="s">
        <v>39</v>
      </c>
      <c r="D490" s="8" t="s">
        <v>56</v>
      </c>
      <c r="E490" s="8" t="s">
        <v>365</v>
      </c>
      <c r="F490" s="8">
        <v>152</v>
      </c>
      <c r="G490" s="8">
        <v>64.900000000000006</v>
      </c>
      <c r="H490" s="10">
        <v>28.26</v>
      </c>
      <c r="I490" s="8">
        <f t="shared" si="28"/>
        <v>1</v>
      </c>
      <c r="J490" s="8" t="str">
        <f t="shared" si="29"/>
        <v>No</v>
      </c>
      <c r="K490" s="5" t="str">
        <f t="shared" si="30"/>
        <v>No</v>
      </c>
      <c r="L490" s="25">
        <f t="shared" si="31"/>
        <v>54.537815126050425</v>
      </c>
    </row>
    <row r="491" spans="1:12">
      <c r="A491" s="9" t="s">
        <v>862</v>
      </c>
      <c r="B491" s="8">
        <v>24</v>
      </c>
      <c r="C491" s="8" t="s">
        <v>39</v>
      </c>
      <c r="D491" s="8" t="s">
        <v>56</v>
      </c>
      <c r="E491" s="8" t="s">
        <v>229</v>
      </c>
      <c r="F491" s="8">
        <v>115</v>
      </c>
      <c r="G491" s="8">
        <v>53.58</v>
      </c>
      <c r="H491" s="10">
        <v>28.08</v>
      </c>
      <c r="I491" s="8">
        <f t="shared" si="28"/>
        <v>1</v>
      </c>
      <c r="J491" s="8" t="str">
        <f t="shared" si="29"/>
        <v>No</v>
      </c>
      <c r="K491" s="5" t="str">
        <f t="shared" si="30"/>
        <v>No</v>
      </c>
      <c r="L491" s="25">
        <f t="shared" si="31"/>
        <v>45.025210084033617</v>
      </c>
    </row>
    <row r="492" spans="1:12">
      <c r="A492" s="9" t="s">
        <v>863</v>
      </c>
      <c r="B492" s="8">
        <v>12</v>
      </c>
      <c r="C492" s="8" t="s">
        <v>35</v>
      </c>
      <c r="D492" s="8" t="s">
        <v>36</v>
      </c>
      <c r="E492" s="8" t="s">
        <v>783</v>
      </c>
      <c r="F492" s="8">
        <v>296</v>
      </c>
      <c r="G492" s="8">
        <v>106.89</v>
      </c>
      <c r="H492" s="10">
        <v>25.31</v>
      </c>
      <c r="I492" s="8">
        <f t="shared" si="28"/>
        <v>1</v>
      </c>
      <c r="J492" s="8" t="str">
        <f t="shared" si="29"/>
        <v>No</v>
      </c>
      <c r="K492" s="5" t="str">
        <f t="shared" si="30"/>
        <v>No</v>
      </c>
      <c r="L492" s="25">
        <f t="shared" si="31"/>
        <v>89.82352941176471</v>
      </c>
    </row>
    <row r="493" spans="1:12">
      <c r="A493" s="9" t="s">
        <v>864</v>
      </c>
      <c r="B493" s="8">
        <v>24</v>
      </c>
      <c r="C493" s="8" t="s">
        <v>39</v>
      </c>
      <c r="D493" s="8" t="s">
        <v>46</v>
      </c>
      <c r="E493" s="8" t="s">
        <v>865</v>
      </c>
      <c r="F493" s="8">
        <v>164</v>
      </c>
      <c r="G493" s="8">
        <v>69.099999999999994</v>
      </c>
      <c r="H493" s="10">
        <v>30.1</v>
      </c>
      <c r="I493" s="8">
        <f t="shared" si="28"/>
        <v>1</v>
      </c>
      <c r="J493" s="8" t="str">
        <f t="shared" si="29"/>
        <v>No</v>
      </c>
      <c r="K493" s="5" t="str">
        <f t="shared" si="30"/>
        <v>No</v>
      </c>
      <c r="L493" s="25">
        <f t="shared" si="31"/>
        <v>58.067226890756302</v>
      </c>
    </row>
    <row r="494" spans="1:12">
      <c r="A494" s="9" t="s">
        <v>866</v>
      </c>
      <c r="B494" s="8">
        <v>12</v>
      </c>
      <c r="C494" s="8" t="s">
        <v>35</v>
      </c>
      <c r="D494" s="8" t="s">
        <v>46</v>
      </c>
      <c r="E494" s="8" t="s">
        <v>354</v>
      </c>
      <c r="F494" s="8">
        <v>201</v>
      </c>
      <c r="G494" s="8">
        <v>77.09</v>
      </c>
      <c r="H494" s="10">
        <v>25.1</v>
      </c>
      <c r="I494" s="8">
        <f t="shared" si="28"/>
        <v>1</v>
      </c>
      <c r="J494" s="8" t="str">
        <f t="shared" si="29"/>
        <v>No</v>
      </c>
      <c r="K494" s="5" t="str">
        <f t="shared" si="30"/>
        <v>No</v>
      </c>
      <c r="L494" s="25">
        <f t="shared" si="31"/>
        <v>64.781512605042025</v>
      </c>
    </row>
    <row r="495" spans="1:12">
      <c r="A495" s="9" t="s">
        <v>867</v>
      </c>
      <c r="B495" s="8">
        <v>12</v>
      </c>
      <c r="C495" s="8" t="s">
        <v>35</v>
      </c>
      <c r="D495" s="8" t="s">
        <v>46</v>
      </c>
      <c r="E495" s="8" t="s">
        <v>868</v>
      </c>
      <c r="F495" s="8">
        <v>254</v>
      </c>
      <c r="G495" s="8">
        <v>96.92</v>
      </c>
      <c r="H495" s="10">
        <v>22.94</v>
      </c>
      <c r="I495" s="8">
        <f t="shared" si="28"/>
        <v>1</v>
      </c>
      <c r="J495" s="8" t="str">
        <f t="shared" si="29"/>
        <v>No</v>
      </c>
      <c r="K495" s="5" t="str">
        <f t="shared" si="30"/>
        <v>No</v>
      </c>
      <c r="L495" s="25">
        <f t="shared" si="31"/>
        <v>81.445378151260513</v>
      </c>
    </row>
    <row r="496" spans="1:12">
      <c r="A496" s="9" t="s">
        <v>869</v>
      </c>
      <c r="B496" s="8">
        <v>12</v>
      </c>
      <c r="C496" s="8" t="s">
        <v>51</v>
      </c>
      <c r="D496" s="8" t="s">
        <v>36</v>
      </c>
      <c r="E496" s="8" t="s">
        <v>870</v>
      </c>
      <c r="F496" s="8">
        <v>429</v>
      </c>
      <c r="G496" s="8">
        <v>149.53</v>
      </c>
      <c r="H496" s="10">
        <v>18.23</v>
      </c>
      <c r="I496" s="8">
        <f t="shared" si="28"/>
        <v>1</v>
      </c>
      <c r="J496" s="8" t="str">
        <f t="shared" si="29"/>
        <v>No</v>
      </c>
      <c r="K496" s="5" t="str">
        <f t="shared" si="30"/>
        <v>No</v>
      </c>
      <c r="L496" s="25">
        <f t="shared" si="31"/>
        <v>125.65546218487395</v>
      </c>
    </row>
    <row r="497" spans="1:12">
      <c r="A497" s="9" t="s">
        <v>871</v>
      </c>
      <c r="B497" s="8">
        <v>12</v>
      </c>
      <c r="C497" s="8" t="s">
        <v>39</v>
      </c>
      <c r="D497" s="8" t="s">
        <v>56</v>
      </c>
      <c r="E497" s="8" t="s">
        <v>872</v>
      </c>
      <c r="F497" s="8">
        <v>150</v>
      </c>
      <c r="G497" s="8">
        <v>63.27</v>
      </c>
      <c r="H497" s="10">
        <v>28.12</v>
      </c>
      <c r="I497" s="8">
        <f t="shared" si="28"/>
        <v>1</v>
      </c>
      <c r="J497" s="8" t="str">
        <f t="shared" si="29"/>
        <v>No</v>
      </c>
      <c r="K497" s="5" t="str">
        <f t="shared" si="30"/>
        <v>No</v>
      </c>
      <c r="L497" s="25">
        <f t="shared" si="31"/>
        <v>53.168067226890763</v>
      </c>
    </row>
    <row r="498" spans="1:12">
      <c r="A498" s="9" t="s">
        <v>873</v>
      </c>
      <c r="B498" s="8">
        <v>24</v>
      </c>
      <c r="C498" s="8" t="s">
        <v>39</v>
      </c>
      <c r="D498" s="8" t="s">
        <v>36</v>
      </c>
      <c r="E498" s="8" t="s">
        <v>874</v>
      </c>
      <c r="F498" s="8">
        <v>132</v>
      </c>
      <c r="G498" s="8">
        <v>57.85</v>
      </c>
      <c r="H498" s="10">
        <v>31.85</v>
      </c>
      <c r="I498" s="8">
        <f t="shared" si="28"/>
        <v>1</v>
      </c>
      <c r="J498" s="8" t="str">
        <f t="shared" si="29"/>
        <v>No</v>
      </c>
      <c r="K498" s="5" t="str">
        <f t="shared" si="30"/>
        <v>No</v>
      </c>
      <c r="L498" s="25">
        <f t="shared" si="31"/>
        <v>48.613445378151262</v>
      </c>
    </row>
    <row r="499" spans="1:12">
      <c r="A499" s="9" t="s">
        <v>875</v>
      </c>
      <c r="B499" s="8">
        <v>12</v>
      </c>
      <c r="C499" s="8" t="s">
        <v>39</v>
      </c>
      <c r="D499" s="8" t="s">
        <v>36</v>
      </c>
      <c r="E499" s="8" t="s">
        <v>730</v>
      </c>
      <c r="F499" s="8">
        <v>136</v>
      </c>
      <c r="G499" s="8">
        <v>58.46</v>
      </c>
      <c r="H499" s="10">
        <v>30.67</v>
      </c>
      <c r="I499" s="8">
        <f t="shared" si="28"/>
        <v>1</v>
      </c>
      <c r="J499" s="8" t="str">
        <f t="shared" si="29"/>
        <v>No</v>
      </c>
      <c r="K499" s="5" t="str">
        <f t="shared" si="30"/>
        <v>No</v>
      </c>
      <c r="L499" s="25">
        <f t="shared" si="31"/>
        <v>49.12605042016807</v>
      </c>
    </row>
    <row r="500" spans="1:12">
      <c r="A500" s="9" t="s">
        <v>876</v>
      </c>
      <c r="B500" s="8">
        <v>24</v>
      </c>
      <c r="C500" s="8" t="s">
        <v>35</v>
      </c>
      <c r="D500" s="8" t="s">
        <v>36</v>
      </c>
      <c r="E500" s="8" t="s">
        <v>877</v>
      </c>
      <c r="F500" s="8">
        <v>300</v>
      </c>
      <c r="G500" s="8">
        <v>110.56</v>
      </c>
      <c r="H500" s="10">
        <v>25.73</v>
      </c>
      <c r="I500" s="8">
        <f t="shared" si="28"/>
        <v>1</v>
      </c>
      <c r="J500" s="8" t="str">
        <f t="shared" si="29"/>
        <v>No</v>
      </c>
      <c r="K500" s="5" t="str">
        <f t="shared" si="30"/>
        <v>No</v>
      </c>
      <c r="L500" s="25">
        <f t="shared" si="31"/>
        <v>92.907563025210095</v>
      </c>
    </row>
    <row r="501" spans="1:12">
      <c r="A501" s="9" t="s">
        <v>878</v>
      </c>
      <c r="B501" s="8">
        <v>24</v>
      </c>
      <c r="C501" s="8" t="s">
        <v>35</v>
      </c>
      <c r="D501" s="8" t="s">
        <v>36</v>
      </c>
      <c r="E501" s="8" t="s">
        <v>879</v>
      </c>
      <c r="F501" s="8">
        <v>233</v>
      </c>
      <c r="G501" s="8">
        <v>87.91</v>
      </c>
      <c r="H501" s="10">
        <v>23.06</v>
      </c>
      <c r="I501" s="8">
        <f t="shared" si="28"/>
        <v>1</v>
      </c>
      <c r="J501" s="8" t="str">
        <f t="shared" si="29"/>
        <v>No</v>
      </c>
      <c r="K501" s="5" t="str">
        <f t="shared" si="30"/>
        <v>No</v>
      </c>
      <c r="L501" s="25">
        <f t="shared" si="31"/>
        <v>73.87394957983193</v>
      </c>
    </row>
    <row r="502" spans="1:12">
      <c r="A502" s="9" t="s">
        <v>880</v>
      </c>
      <c r="B502" s="8">
        <v>24</v>
      </c>
      <c r="C502" s="8" t="s">
        <v>39</v>
      </c>
      <c r="D502" s="8" t="s">
        <v>36</v>
      </c>
      <c r="E502" s="8" t="s">
        <v>100</v>
      </c>
      <c r="F502" s="8">
        <v>160</v>
      </c>
      <c r="G502" s="8">
        <v>69.95</v>
      </c>
      <c r="H502" s="10">
        <v>30.45</v>
      </c>
      <c r="I502" s="8">
        <f t="shared" si="28"/>
        <v>1</v>
      </c>
      <c r="J502" s="8" t="str">
        <f t="shared" si="29"/>
        <v>No</v>
      </c>
      <c r="K502" s="5" t="str">
        <f t="shared" si="30"/>
        <v>No</v>
      </c>
      <c r="L502" s="25">
        <f t="shared" si="31"/>
        <v>58.781512605042025</v>
      </c>
    </row>
    <row r="503" spans="1:12">
      <c r="A503" s="9" t="s">
        <v>881</v>
      </c>
      <c r="B503" s="8">
        <v>12</v>
      </c>
      <c r="C503" s="8" t="s">
        <v>51</v>
      </c>
      <c r="D503" s="8" t="s">
        <v>46</v>
      </c>
      <c r="E503" s="8" t="s">
        <v>469</v>
      </c>
      <c r="F503" s="8">
        <v>511</v>
      </c>
      <c r="G503" s="8">
        <v>167.91</v>
      </c>
      <c r="H503" s="10">
        <v>21.89</v>
      </c>
      <c r="I503" s="8">
        <f t="shared" si="28"/>
        <v>1</v>
      </c>
      <c r="J503" s="8" t="str">
        <f t="shared" si="29"/>
        <v>No</v>
      </c>
      <c r="K503" s="5" t="str">
        <f t="shared" si="30"/>
        <v>No</v>
      </c>
      <c r="L503" s="25">
        <f t="shared" si="31"/>
        <v>141.10084033613447</v>
      </c>
    </row>
    <row r="504" spans="1:12">
      <c r="A504" s="9" t="s">
        <v>882</v>
      </c>
      <c r="B504" s="8">
        <v>12</v>
      </c>
      <c r="C504" s="8" t="s">
        <v>39</v>
      </c>
      <c r="D504" s="8" t="s">
        <v>36</v>
      </c>
      <c r="E504" s="8" t="s">
        <v>83</v>
      </c>
      <c r="F504" s="8">
        <v>96</v>
      </c>
      <c r="G504" s="8">
        <v>46.22</v>
      </c>
      <c r="H504" s="10">
        <v>29.27</v>
      </c>
      <c r="I504" s="8">
        <f t="shared" si="28"/>
        <v>1</v>
      </c>
      <c r="J504" s="8" t="str">
        <f t="shared" si="29"/>
        <v>No</v>
      </c>
      <c r="K504" s="5" t="str">
        <f t="shared" si="30"/>
        <v>No</v>
      </c>
      <c r="L504" s="25">
        <f t="shared" si="31"/>
        <v>38.840336134453786</v>
      </c>
    </row>
    <row r="505" spans="1:12">
      <c r="A505" s="9" t="s">
        <v>883</v>
      </c>
      <c r="B505" s="8">
        <v>24</v>
      </c>
      <c r="C505" s="8" t="s">
        <v>35</v>
      </c>
      <c r="D505" s="8" t="s">
        <v>36</v>
      </c>
      <c r="E505" s="8" t="s">
        <v>884</v>
      </c>
      <c r="F505" s="8">
        <v>282</v>
      </c>
      <c r="G505" s="8">
        <v>104.6</v>
      </c>
      <c r="H505" s="10">
        <v>25.39</v>
      </c>
      <c r="I505" s="8">
        <f t="shared" si="28"/>
        <v>1</v>
      </c>
      <c r="J505" s="8" t="str">
        <f t="shared" si="29"/>
        <v>No</v>
      </c>
      <c r="K505" s="5" t="str">
        <f t="shared" si="30"/>
        <v>No</v>
      </c>
      <c r="L505" s="25">
        <f t="shared" si="31"/>
        <v>87.899159663865547</v>
      </c>
    </row>
    <row r="506" spans="1:12">
      <c r="A506" s="9" t="s">
        <v>885</v>
      </c>
      <c r="B506" s="8">
        <v>24</v>
      </c>
      <c r="C506" s="8" t="s">
        <v>35</v>
      </c>
      <c r="D506" s="8" t="s">
        <v>36</v>
      </c>
      <c r="E506" s="8" t="s">
        <v>264</v>
      </c>
      <c r="F506" s="8">
        <v>299</v>
      </c>
      <c r="G506" s="8">
        <v>112.85</v>
      </c>
      <c r="H506" s="10">
        <v>25.79</v>
      </c>
      <c r="I506" s="8">
        <f t="shared" si="28"/>
        <v>1</v>
      </c>
      <c r="J506" s="8" t="str">
        <f t="shared" si="29"/>
        <v>No</v>
      </c>
      <c r="K506" s="5" t="str">
        <f t="shared" si="30"/>
        <v>No</v>
      </c>
      <c r="L506" s="25">
        <f t="shared" si="31"/>
        <v>94.831932773109244</v>
      </c>
    </row>
    <row r="507" spans="1:12">
      <c r="A507" s="9" t="s">
        <v>886</v>
      </c>
      <c r="B507" s="8">
        <v>12</v>
      </c>
      <c r="C507" s="8" t="s">
        <v>51</v>
      </c>
      <c r="D507" s="8" t="s">
        <v>36</v>
      </c>
      <c r="E507" s="8" t="s">
        <v>445</v>
      </c>
      <c r="F507" s="8">
        <v>439</v>
      </c>
      <c r="G507" s="8">
        <v>144.49</v>
      </c>
      <c r="H507" s="10">
        <v>20.92</v>
      </c>
      <c r="I507" s="8">
        <f t="shared" si="28"/>
        <v>1</v>
      </c>
      <c r="J507" s="8" t="str">
        <f t="shared" si="29"/>
        <v>No</v>
      </c>
      <c r="K507" s="5" t="str">
        <f t="shared" si="30"/>
        <v>No</v>
      </c>
      <c r="L507" s="25">
        <f t="shared" si="31"/>
        <v>121.42016806722691</v>
      </c>
    </row>
    <row r="508" spans="1:12">
      <c r="A508" s="9" t="s">
        <v>887</v>
      </c>
      <c r="B508" s="8">
        <v>24</v>
      </c>
      <c r="C508" s="8" t="s">
        <v>35</v>
      </c>
      <c r="D508" s="8" t="s">
        <v>56</v>
      </c>
      <c r="E508" s="8" t="s">
        <v>75</v>
      </c>
      <c r="F508" s="8">
        <v>309</v>
      </c>
      <c r="G508" s="8">
        <v>119.27</v>
      </c>
      <c r="H508" s="10">
        <v>24.96</v>
      </c>
      <c r="I508" s="8">
        <f t="shared" si="28"/>
        <v>1</v>
      </c>
      <c r="J508" s="8" t="str">
        <f t="shared" si="29"/>
        <v>No</v>
      </c>
      <c r="K508" s="5" t="str">
        <f t="shared" si="30"/>
        <v>No</v>
      </c>
      <c r="L508" s="25">
        <f t="shared" si="31"/>
        <v>100.22689075630252</v>
      </c>
    </row>
    <row r="509" spans="1:12">
      <c r="A509" s="9" t="s">
        <v>888</v>
      </c>
      <c r="B509" s="8">
        <v>24</v>
      </c>
      <c r="C509" s="8" t="s">
        <v>51</v>
      </c>
      <c r="D509" s="8" t="s">
        <v>36</v>
      </c>
      <c r="E509" s="8" t="s">
        <v>889</v>
      </c>
      <c r="F509" s="8">
        <v>636</v>
      </c>
      <c r="G509" s="8">
        <v>201.03</v>
      </c>
      <c r="H509" s="10">
        <v>0.19</v>
      </c>
      <c r="I509" s="8">
        <f t="shared" si="28"/>
        <v>1</v>
      </c>
      <c r="J509" s="8" t="str">
        <f t="shared" si="29"/>
        <v>No</v>
      </c>
      <c r="K509" s="5" t="str">
        <f t="shared" si="30"/>
        <v>No</v>
      </c>
      <c r="L509" s="25">
        <f t="shared" si="31"/>
        <v>168.9327731092437</v>
      </c>
    </row>
    <row r="510" spans="1:12">
      <c r="A510" s="9" t="s">
        <v>890</v>
      </c>
      <c r="B510" s="8">
        <v>24</v>
      </c>
      <c r="C510" s="8" t="s">
        <v>39</v>
      </c>
      <c r="D510" s="8" t="s">
        <v>36</v>
      </c>
      <c r="E510" s="8" t="s">
        <v>891</v>
      </c>
      <c r="F510" s="8">
        <v>106</v>
      </c>
      <c r="G510" s="8">
        <v>51.38</v>
      </c>
      <c r="H510" s="10">
        <v>31.13</v>
      </c>
      <c r="I510" s="8">
        <f t="shared" si="28"/>
        <v>1</v>
      </c>
      <c r="J510" s="8" t="str">
        <f t="shared" si="29"/>
        <v>No</v>
      </c>
      <c r="K510" s="5" t="str">
        <f t="shared" si="30"/>
        <v>No</v>
      </c>
      <c r="L510" s="25">
        <f t="shared" si="31"/>
        <v>43.176470588235297</v>
      </c>
    </row>
    <row r="511" spans="1:12">
      <c r="A511" s="9" t="s">
        <v>892</v>
      </c>
      <c r="B511" s="8">
        <v>24</v>
      </c>
      <c r="C511" s="8" t="s">
        <v>51</v>
      </c>
      <c r="D511" s="8" t="s">
        <v>36</v>
      </c>
      <c r="E511" s="8" t="s">
        <v>168</v>
      </c>
      <c r="F511" s="8">
        <v>662</v>
      </c>
      <c r="G511" s="8">
        <v>232.78</v>
      </c>
      <c r="H511" s="10">
        <v>21.32</v>
      </c>
      <c r="I511" s="8">
        <f t="shared" si="28"/>
        <v>1</v>
      </c>
      <c r="J511" s="8" t="str">
        <f t="shared" si="29"/>
        <v>No</v>
      </c>
      <c r="K511" s="5" t="str">
        <f t="shared" si="30"/>
        <v>No</v>
      </c>
      <c r="L511" s="25">
        <f t="shared" si="31"/>
        <v>195.61344537815128</v>
      </c>
    </row>
    <row r="512" spans="1:12">
      <c r="A512" s="9" t="s">
        <v>893</v>
      </c>
      <c r="B512" s="8">
        <v>24</v>
      </c>
      <c r="C512" s="8" t="s">
        <v>39</v>
      </c>
      <c r="D512" s="8" t="s">
        <v>36</v>
      </c>
      <c r="E512" s="8" t="s">
        <v>894</v>
      </c>
      <c r="F512" s="8">
        <v>95</v>
      </c>
      <c r="G512" s="8">
        <v>43.29</v>
      </c>
      <c r="H512" s="10">
        <v>28.04</v>
      </c>
      <c r="I512" s="8">
        <f t="shared" si="28"/>
        <v>1</v>
      </c>
      <c r="J512" s="8" t="str">
        <f t="shared" si="29"/>
        <v>No</v>
      </c>
      <c r="K512" s="5" t="str">
        <f t="shared" si="30"/>
        <v>No</v>
      </c>
      <c r="L512" s="25">
        <f t="shared" si="31"/>
        <v>36.378151260504204</v>
      </c>
    </row>
    <row r="513" spans="1:12">
      <c r="A513" s="9" t="s">
        <v>895</v>
      </c>
      <c r="B513" s="8">
        <v>12</v>
      </c>
      <c r="C513" s="8" t="s">
        <v>51</v>
      </c>
      <c r="D513" s="8" t="s">
        <v>36</v>
      </c>
      <c r="E513" s="8" t="s">
        <v>691</v>
      </c>
      <c r="F513" s="8">
        <v>400</v>
      </c>
      <c r="G513" s="8">
        <v>135.93</v>
      </c>
      <c r="H513" s="10">
        <v>20.079999999999998</v>
      </c>
      <c r="I513" s="8">
        <f t="shared" si="28"/>
        <v>1</v>
      </c>
      <c r="J513" s="8" t="str">
        <f t="shared" si="29"/>
        <v>No</v>
      </c>
      <c r="K513" s="5" t="str">
        <f t="shared" si="30"/>
        <v>No</v>
      </c>
      <c r="L513" s="25">
        <f t="shared" si="31"/>
        <v>114.22689075630254</v>
      </c>
    </row>
    <row r="514" spans="1:12">
      <c r="A514" s="9" t="s">
        <v>896</v>
      </c>
      <c r="B514" s="8">
        <v>24</v>
      </c>
      <c r="C514" s="8" t="s">
        <v>35</v>
      </c>
      <c r="D514" s="8" t="s">
        <v>46</v>
      </c>
      <c r="E514" s="8" t="s">
        <v>298</v>
      </c>
      <c r="F514" s="8">
        <v>198</v>
      </c>
      <c r="G514" s="8">
        <v>78.06</v>
      </c>
      <c r="H514" s="10">
        <v>26.82</v>
      </c>
      <c r="I514" s="8">
        <f t="shared" ref="I514:I577" si="32">COUNTIF($A:$A,A514)</f>
        <v>1</v>
      </c>
      <c r="J514" s="8" t="str">
        <f t="shared" ref="J514:J577" si="33">IF(F514=0,"Yes","No")</f>
        <v>No</v>
      </c>
      <c r="K514" s="5" t="str">
        <f t="shared" ref="K514:K577" si="34">IF(F514&lt;0,"Yes","No")</f>
        <v>No</v>
      </c>
      <c r="L514" s="25">
        <f t="shared" ref="L514:L577" si="35">G514/1.19</f>
        <v>65.596638655462186</v>
      </c>
    </row>
    <row r="515" spans="1:12">
      <c r="A515" s="9" t="s">
        <v>897</v>
      </c>
      <c r="B515" s="8">
        <v>24</v>
      </c>
      <c r="C515" s="8" t="s">
        <v>51</v>
      </c>
      <c r="D515" s="8" t="s">
        <v>56</v>
      </c>
      <c r="E515" s="8" t="s">
        <v>898</v>
      </c>
      <c r="F515" s="8">
        <v>632</v>
      </c>
      <c r="G515" s="8">
        <v>216.13</v>
      </c>
      <c r="H515" s="10">
        <v>19.61</v>
      </c>
      <c r="I515" s="8">
        <f t="shared" si="32"/>
        <v>1</v>
      </c>
      <c r="J515" s="8" t="str">
        <f t="shared" si="33"/>
        <v>No</v>
      </c>
      <c r="K515" s="5" t="str">
        <f t="shared" si="34"/>
        <v>No</v>
      </c>
      <c r="L515" s="25">
        <f t="shared" si="35"/>
        <v>181.62184873949579</v>
      </c>
    </row>
    <row r="516" spans="1:12">
      <c r="A516" s="9" t="s">
        <v>899</v>
      </c>
      <c r="B516" s="8">
        <v>12</v>
      </c>
      <c r="C516" s="8" t="s">
        <v>35</v>
      </c>
      <c r="D516" s="8" t="s">
        <v>36</v>
      </c>
      <c r="E516" s="8" t="s">
        <v>877</v>
      </c>
      <c r="F516" s="8">
        <v>276</v>
      </c>
      <c r="G516" s="8">
        <v>104.27</v>
      </c>
      <c r="H516" s="10">
        <v>25.96</v>
      </c>
      <c r="I516" s="8">
        <f t="shared" si="32"/>
        <v>1</v>
      </c>
      <c r="J516" s="8" t="str">
        <f t="shared" si="33"/>
        <v>No</v>
      </c>
      <c r="K516" s="5" t="str">
        <f t="shared" si="34"/>
        <v>No</v>
      </c>
      <c r="L516" s="25">
        <f t="shared" si="35"/>
        <v>87.621848739495803</v>
      </c>
    </row>
    <row r="517" spans="1:12">
      <c r="A517" s="9" t="s">
        <v>900</v>
      </c>
      <c r="B517" s="8">
        <v>12</v>
      </c>
      <c r="C517" s="8" t="s">
        <v>35</v>
      </c>
      <c r="D517" s="8" t="s">
        <v>46</v>
      </c>
      <c r="E517" s="8" t="s">
        <v>95</v>
      </c>
      <c r="F517" s="8">
        <v>192</v>
      </c>
      <c r="G517" s="8">
        <v>75.069999999999993</v>
      </c>
      <c r="H517" s="10">
        <v>23.25</v>
      </c>
      <c r="I517" s="8">
        <f t="shared" si="32"/>
        <v>1</v>
      </c>
      <c r="J517" s="8" t="str">
        <f t="shared" si="33"/>
        <v>No</v>
      </c>
      <c r="K517" s="5" t="str">
        <f t="shared" si="34"/>
        <v>No</v>
      </c>
      <c r="L517" s="25">
        <f t="shared" si="35"/>
        <v>63.084033613445378</v>
      </c>
    </row>
    <row r="518" spans="1:12">
      <c r="A518" s="9" t="s">
        <v>901</v>
      </c>
      <c r="B518" s="8">
        <v>12</v>
      </c>
      <c r="C518" s="8" t="s">
        <v>35</v>
      </c>
      <c r="D518" s="8" t="s">
        <v>46</v>
      </c>
      <c r="E518" s="8" t="s">
        <v>902</v>
      </c>
      <c r="F518" s="8">
        <v>240</v>
      </c>
      <c r="G518" s="8">
        <v>91.01</v>
      </c>
      <c r="H518" s="10">
        <v>23.36</v>
      </c>
      <c r="I518" s="8">
        <f t="shared" si="32"/>
        <v>1</v>
      </c>
      <c r="J518" s="8" t="str">
        <f t="shared" si="33"/>
        <v>No</v>
      </c>
      <c r="K518" s="5" t="str">
        <f t="shared" si="34"/>
        <v>No</v>
      </c>
      <c r="L518" s="25">
        <f t="shared" si="35"/>
        <v>76.478991596638664</v>
      </c>
    </row>
    <row r="519" spans="1:12">
      <c r="A519" s="9" t="s">
        <v>903</v>
      </c>
      <c r="B519" s="8">
        <v>24</v>
      </c>
      <c r="C519" s="8" t="s">
        <v>35</v>
      </c>
      <c r="D519" s="8" t="s">
        <v>56</v>
      </c>
      <c r="E519" s="8" t="s">
        <v>310</v>
      </c>
      <c r="F519" s="8">
        <v>269</v>
      </c>
      <c r="G519" s="8">
        <v>109.17</v>
      </c>
      <c r="H519" s="10">
        <v>24.32</v>
      </c>
      <c r="I519" s="8">
        <f t="shared" si="32"/>
        <v>1</v>
      </c>
      <c r="J519" s="8" t="str">
        <f t="shared" si="33"/>
        <v>No</v>
      </c>
      <c r="K519" s="5" t="str">
        <f t="shared" si="34"/>
        <v>No</v>
      </c>
      <c r="L519" s="25">
        <f t="shared" si="35"/>
        <v>91.739495798319339</v>
      </c>
    </row>
    <row r="520" spans="1:12">
      <c r="A520" s="9" t="s">
        <v>904</v>
      </c>
      <c r="B520" s="8">
        <v>24</v>
      </c>
      <c r="C520" s="8" t="s">
        <v>39</v>
      </c>
      <c r="D520" s="8" t="s">
        <v>36</v>
      </c>
      <c r="E520" s="8" t="s">
        <v>389</v>
      </c>
      <c r="F520" s="8">
        <v>90</v>
      </c>
      <c r="G520" s="8">
        <v>40.82</v>
      </c>
      <c r="H520" s="10">
        <v>29.77</v>
      </c>
      <c r="I520" s="8">
        <f t="shared" si="32"/>
        <v>1</v>
      </c>
      <c r="J520" s="8" t="str">
        <f t="shared" si="33"/>
        <v>No</v>
      </c>
      <c r="K520" s="5" t="str">
        <f t="shared" si="34"/>
        <v>No</v>
      </c>
      <c r="L520" s="25">
        <f t="shared" si="35"/>
        <v>34.30252100840336</v>
      </c>
    </row>
    <row r="521" spans="1:12">
      <c r="A521" s="9" t="s">
        <v>905</v>
      </c>
      <c r="B521" s="8">
        <v>12</v>
      </c>
      <c r="C521" s="8" t="s">
        <v>39</v>
      </c>
      <c r="D521" s="8" t="s">
        <v>36</v>
      </c>
      <c r="E521" s="8" t="s">
        <v>607</v>
      </c>
      <c r="F521" s="8">
        <v>157</v>
      </c>
      <c r="G521" s="8">
        <v>64.760000000000005</v>
      </c>
      <c r="H521" s="10">
        <v>29.04</v>
      </c>
      <c r="I521" s="8">
        <f t="shared" si="32"/>
        <v>1</v>
      </c>
      <c r="J521" s="8" t="str">
        <f t="shared" si="33"/>
        <v>No</v>
      </c>
      <c r="K521" s="5" t="str">
        <f t="shared" si="34"/>
        <v>No</v>
      </c>
      <c r="L521" s="25">
        <f t="shared" si="35"/>
        <v>54.420168067226896</v>
      </c>
    </row>
    <row r="522" spans="1:12">
      <c r="A522" s="9" t="s">
        <v>906</v>
      </c>
      <c r="B522" s="8">
        <v>24</v>
      </c>
      <c r="C522" s="8" t="s">
        <v>39</v>
      </c>
      <c r="D522" s="8" t="s">
        <v>36</v>
      </c>
      <c r="E522" s="8" t="s">
        <v>71</v>
      </c>
      <c r="F522" s="8">
        <v>150</v>
      </c>
      <c r="G522" s="8">
        <v>65.63</v>
      </c>
      <c r="H522" s="10">
        <v>29.37</v>
      </c>
      <c r="I522" s="8">
        <f t="shared" si="32"/>
        <v>1</v>
      </c>
      <c r="J522" s="8" t="str">
        <f t="shared" si="33"/>
        <v>No</v>
      </c>
      <c r="K522" s="5" t="str">
        <f t="shared" si="34"/>
        <v>No</v>
      </c>
      <c r="L522" s="25">
        <f t="shared" si="35"/>
        <v>55.15126050420168</v>
      </c>
    </row>
    <row r="523" spans="1:12">
      <c r="A523" s="9" t="s">
        <v>907</v>
      </c>
      <c r="B523" s="8">
        <v>12</v>
      </c>
      <c r="C523" s="8" t="s">
        <v>39</v>
      </c>
      <c r="D523" s="8" t="s">
        <v>46</v>
      </c>
      <c r="E523" s="8" t="s">
        <v>908</v>
      </c>
      <c r="F523" s="8">
        <v>125</v>
      </c>
      <c r="G523" s="8">
        <v>55.22</v>
      </c>
      <c r="H523" s="10">
        <v>31.34</v>
      </c>
      <c r="I523" s="8">
        <f t="shared" si="32"/>
        <v>1</v>
      </c>
      <c r="J523" s="8" t="str">
        <f t="shared" si="33"/>
        <v>No</v>
      </c>
      <c r="K523" s="5" t="str">
        <f t="shared" si="34"/>
        <v>No</v>
      </c>
      <c r="L523" s="25">
        <f t="shared" si="35"/>
        <v>46.403361344537814</v>
      </c>
    </row>
    <row r="524" spans="1:12">
      <c r="A524" s="9" t="s">
        <v>909</v>
      </c>
      <c r="B524" s="8">
        <v>24</v>
      </c>
      <c r="C524" s="8" t="s">
        <v>51</v>
      </c>
      <c r="D524" s="8" t="s">
        <v>56</v>
      </c>
      <c r="E524" s="8" t="s">
        <v>71</v>
      </c>
      <c r="F524" s="8">
        <v>656</v>
      </c>
      <c r="G524" s="8">
        <v>227.45</v>
      </c>
      <c r="H524" s="10">
        <v>21.18</v>
      </c>
      <c r="I524" s="8">
        <f t="shared" si="32"/>
        <v>1</v>
      </c>
      <c r="J524" s="8" t="str">
        <f t="shared" si="33"/>
        <v>No</v>
      </c>
      <c r="K524" s="5" t="str">
        <f t="shared" si="34"/>
        <v>No</v>
      </c>
      <c r="L524" s="25">
        <f t="shared" si="35"/>
        <v>191.1344537815126</v>
      </c>
    </row>
    <row r="525" spans="1:12">
      <c r="A525" s="9" t="s">
        <v>910</v>
      </c>
      <c r="B525" s="8">
        <v>24</v>
      </c>
      <c r="C525" s="8" t="s">
        <v>39</v>
      </c>
      <c r="D525" s="8" t="s">
        <v>36</v>
      </c>
      <c r="E525" s="8" t="s">
        <v>911</v>
      </c>
      <c r="F525" s="8">
        <v>118</v>
      </c>
      <c r="G525" s="8">
        <v>56.15</v>
      </c>
      <c r="H525" s="10">
        <v>28.74</v>
      </c>
      <c r="I525" s="8">
        <f t="shared" si="32"/>
        <v>1</v>
      </c>
      <c r="J525" s="8" t="str">
        <f t="shared" si="33"/>
        <v>No</v>
      </c>
      <c r="K525" s="5" t="str">
        <f t="shared" si="34"/>
        <v>No</v>
      </c>
      <c r="L525" s="25">
        <f t="shared" si="35"/>
        <v>47.184873949579831</v>
      </c>
    </row>
    <row r="526" spans="1:12">
      <c r="A526" s="9" t="s">
        <v>912</v>
      </c>
      <c r="B526" s="8">
        <v>24</v>
      </c>
      <c r="C526" s="8" t="s">
        <v>51</v>
      </c>
      <c r="D526" s="8" t="s">
        <v>36</v>
      </c>
      <c r="E526" s="8" t="s">
        <v>206</v>
      </c>
      <c r="F526" s="8">
        <v>662</v>
      </c>
      <c r="G526" s="8">
        <v>225.77</v>
      </c>
      <c r="H526" s="10">
        <v>18.36</v>
      </c>
      <c r="I526" s="8">
        <f t="shared" si="32"/>
        <v>1</v>
      </c>
      <c r="J526" s="8" t="str">
        <f t="shared" si="33"/>
        <v>No</v>
      </c>
      <c r="K526" s="5" t="str">
        <f t="shared" si="34"/>
        <v>No</v>
      </c>
      <c r="L526" s="25">
        <f t="shared" si="35"/>
        <v>189.72268907563026</v>
      </c>
    </row>
    <row r="527" spans="1:12">
      <c r="A527" s="9" t="s">
        <v>913</v>
      </c>
      <c r="B527" s="8">
        <v>12</v>
      </c>
      <c r="C527" s="8" t="s">
        <v>39</v>
      </c>
      <c r="D527" s="8" t="s">
        <v>56</v>
      </c>
      <c r="E527" s="8" t="s">
        <v>914</v>
      </c>
      <c r="F527" s="8">
        <v>139</v>
      </c>
      <c r="G527" s="8">
        <v>60.75</v>
      </c>
      <c r="H527" s="10">
        <v>31.71</v>
      </c>
      <c r="I527" s="8">
        <f t="shared" si="32"/>
        <v>1</v>
      </c>
      <c r="J527" s="8" t="str">
        <f t="shared" si="33"/>
        <v>No</v>
      </c>
      <c r="K527" s="5" t="str">
        <f t="shared" si="34"/>
        <v>No</v>
      </c>
      <c r="L527" s="25">
        <f t="shared" si="35"/>
        <v>51.050420168067227</v>
      </c>
    </row>
    <row r="528" spans="1:12">
      <c r="A528" s="9" t="s">
        <v>915</v>
      </c>
      <c r="B528" s="8">
        <v>12</v>
      </c>
      <c r="C528" s="8" t="s">
        <v>39</v>
      </c>
      <c r="D528" s="8" t="s">
        <v>56</v>
      </c>
      <c r="E528" s="8" t="s">
        <v>916</v>
      </c>
      <c r="F528" s="8">
        <v>136</v>
      </c>
      <c r="G528" s="8">
        <v>58.98</v>
      </c>
      <c r="H528" s="10">
        <v>28.25</v>
      </c>
      <c r="I528" s="8">
        <f t="shared" si="32"/>
        <v>1</v>
      </c>
      <c r="J528" s="8" t="str">
        <f t="shared" si="33"/>
        <v>No</v>
      </c>
      <c r="K528" s="5" t="str">
        <f t="shared" si="34"/>
        <v>No</v>
      </c>
      <c r="L528" s="25">
        <f t="shared" si="35"/>
        <v>49.563025210084035</v>
      </c>
    </row>
    <row r="529" spans="1:12">
      <c r="A529" s="9" t="s">
        <v>917</v>
      </c>
      <c r="B529" s="8">
        <v>12</v>
      </c>
      <c r="C529" s="8" t="s">
        <v>51</v>
      </c>
      <c r="D529" s="8" t="s">
        <v>56</v>
      </c>
      <c r="E529" s="8" t="s">
        <v>918</v>
      </c>
      <c r="F529" s="8">
        <v>388</v>
      </c>
      <c r="G529" s="8">
        <v>136.16</v>
      </c>
      <c r="H529" s="10">
        <v>16.96</v>
      </c>
      <c r="I529" s="8">
        <f t="shared" si="32"/>
        <v>1</v>
      </c>
      <c r="J529" s="8" t="str">
        <f t="shared" si="33"/>
        <v>No</v>
      </c>
      <c r="K529" s="5" t="str">
        <f t="shared" si="34"/>
        <v>No</v>
      </c>
      <c r="L529" s="25">
        <f t="shared" si="35"/>
        <v>114.4201680672269</v>
      </c>
    </row>
    <row r="530" spans="1:12">
      <c r="A530" s="9" t="s">
        <v>919</v>
      </c>
      <c r="B530" s="8">
        <v>12</v>
      </c>
      <c r="C530" s="8" t="s">
        <v>35</v>
      </c>
      <c r="D530" s="8" t="s">
        <v>46</v>
      </c>
      <c r="E530" s="8" t="s">
        <v>920</v>
      </c>
      <c r="F530" s="8">
        <v>313</v>
      </c>
      <c r="G530" s="8">
        <v>116.86</v>
      </c>
      <c r="H530" s="10">
        <v>22.65</v>
      </c>
      <c r="I530" s="8">
        <f t="shared" si="32"/>
        <v>1</v>
      </c>
      <c r="J530" s="8" t="str">
        <f t="shared" si="33"/>
        <v>No</v>
      </c>
      <c r="K530" s="5" t="str">
        <f t="shared" si="34"/>
        <v>No</v>
      </c>
      <c r="L530" s="25">
        <f t="shared" si="35"/>
        <v>98.201680672268907</v>
      </c>
    </row>
    <row r="531" spans="1:12">
      <c r="A531" s="9" t="s">
        <v>921</v>
      </c>
      <c r="B531" s="8">
        <v>24</v>
      </c>
      <c r="C531" s="8" t="s">
        <v>35</v>
      </c>
      <c r="D531" s="8" t="s">
        <v>36</v>
      </c>
      <c r="E531" s="8" t="s">
        <v>922</v>
      </c>
      <c r="F531" s="8">
        <v>238</v>
      </c>
      <c r="G531" s="8">
        <v>89.95</v>
      </c>
      <c r="H531" s="10">
        <v>24.38</v>
      </c>
      <c r="I531" s="8">
        <f t="shared" si="32"/>
        <v>1</v>
      </c>
      <c r="J531" s="8" t="str">
        <f t="shared" si="33"/>
        <v>No</v>
      </c>
      <c r="K531" s="5" t="str">
        <f t="shared" si="34"/>
        <v>No</v>
      </c>
      <c r="L531" s="25">
        <f t="shared" si="35"/>
        <v>75.588235294117652</v>
      </c>
    </row>
    <row r="532" spans="1:12">
      <c r="A532" s="9" t="s">
        <v>923</v>
      </c>
      <c r="B532" s="8">
        <v>24</v>
      </c>
      <c r="C532" s="8" t="s">
        <v>35</v>
      </c>
      <c r="D532" s="8" t="s">
        <v>46</v>
      </c>
      <c r="E532" s="8" t="s">
        <v>164</v>
      </c>
      <c r="F532" s="8">
        <v>194</v>
      </c>
      <c r="G532" s="8">
        <v>74.930000000000007</v>
      </c>
      <c r="H532" s="10">
        <v>22.6</v>
      </c>
      <c r="I532" s="8">
        <f t="shared" si="32"/>
        <v>1</v>
      </c>
      <c r="J532" s="8" t="str">
        <f t="shared" si="33"/>
        <v>No</v>
      </c>
      <c r="K532" s="5" t="str">
        <f t="shared" si="34"/>
        <v>No</v>
      </c>
      <c r="L532" s="25">
        <f t="shared" si="35"/>
        <v>62.966386554621856</v>
      </c>
    </row>
    <row r="533" spans="1:12">
      <c r="A533" s="9" t="s">
        <v>924</v>
      </c>
      <c r="B533" s="8">
        <v>24</v>
      </c>
      <c r="C533" s="8" t="s">
        <v>35</v>
      </c>
      <c r="D533" s="8" t="s">
        <v>46</v>
      </c>
      <c r="E533" s="8" t="s">
        <v>925</v>
      </c>
      <c r="F533" s="8">
        <v>169</v>
      </c>
      <c r="G533" s="8">
        <v>66.569999999999993</v>
      </c>
      <c r="H533" s="10">
        <v>0.26</v>
      </c>
      <c r="I533" s="8">
        <f t="shared" si="32"/>
        <v>1</v>
      </c>
      <c r="J533" s="8" t="str">
        <f t="shared" si="33"/>
        <v>No</v>
      </c>
      <c r="K533" s="5" t="str">
        <f t="shared" si="34"/>
        <v>No</v>
      </c>
      <c r="L533" s="25">
        <f t="shared" si="35"/>
        <v>55.941176470588232</v>
      </c>
    </row>
    <row r="534" spans="1:12">
      <c r="A534" s="9" t="s">
        <v>926</v>
      </c>
      <c r="B534" s="8">
        <v>24</v>
      </c>
      <c r="C534" s="8" t="s">
        <v>39</v>
      </c>
      <c r="D534" s="8" t="s">
        <v>36</v>
      </c>
      <c r="E534" s="8" t="s">
        <v>185</v>
      </c>
      <c r="F534" s="8">
        <v>130</v>
      </c>
      <c r="G534" s="8">
        <v>54.4</v>
      </c>
      <c r="H534" s="10">
        <v>29.79</v>
      </c>
      <c r="I534" s="8">
        <f t="shared" si="32"/>
        <v>1</v>
      </c>
      <c r="J534" s="8" t="str">
        <f t="shared" si="33"/>
        <v>No</v>
      </c>
      <c r="K534" s="5" t="str">
        <f t="shared" si="34"/>
        <v>No</v>
      </c>
      <c r="L534" s="25">
        <f t="shared" si="35"/>
        <v>45.714285714285715</v>
      </c>
    </row>
    <row r="535" spans="1:12">
      <c r="A535" s="9" t="s">
        <v>927</v>
      </c>
      <c r="B535" s="8">
        <v>24</v>
      </c>
      <c r="C535" s="8" t="s">
        <v>51</v>
      </c>
      <c r="D535" s="8" t="s">
        <v>36</v>
      </c>
      <c r="E535" s="8" t="s">
        <v>448</v>
      </c>
      <c r="F535" s="8">
        <v>509</v>
      </c>
      <c r="G535" s="8">
        <v>168.02</v>
      </c>
      <c r="H535" s="10">
        <v>19.010000000000002</v>
      </c>
      <c r="I535" s="8">
        <f t="shared" si="32"/>
        <v>1</v>
      </c>
      <c r="J535" s="8" t="str">
        <f t="shared" si="33"/>
        <v>No</v>
      </c>
      <c r="K535" s="5" t="str">
        <f t="shared" si="34"/>
        <v>No</v>
      </c>
      <c r="L535" s="25">
        <f t="shared" si="35"/>
        <v>141.19327731092437</v>
      </c>
    </row>
    <row r="536" spans="1:12">
      <c r="A536" s="9" t="s">
        <v>928</v>
      </c>
      <c r="B536" s="8">
        <v>24</v>
      </c>
      <c r="C536" s="8" t="s">
        <v>51</v>
      </c>
      <c r="D536" s="8" t="s">
        <v>46</v>
      </c>
      <c r="E536" s="8" t="s">
        <v>723</v>
      </c>
      <c r="F536" s="8">
        <v>573</v>
      </c>
      <c r="G536" s="8">
        <v>196.08</v>
      </c>
      <c r="H536" s="10">
        <v>17.73</v>
      </c>
      <c r="I536" s="8">
        <f t="shared" si="32"/>
        <v>1</v>
      </c>
      <c r="J536" s="8" t="str">
        <f t="shared" si="33"/>
        <v>No</v>
      </c>
      <c r="K536" s="5" t="str">
        <f t="shared" si="34"/>
        <v>No</v>
      </c>
      <c r="L536" s="25">
        <f t="shared" si="35"/>
        <v>164.77310924369749</v>
      </c>
    </row>
    <row r="537" spans="1:12">
      <c r="A537" s="9" t="s">
        <v>929</v>
      </c>
      <c r="B537" s="8">
        <v>24</v>
      </c>
      <c r="C537" s="8" t="s">
        <v>35</v>
      </c>
      <c r="D537" s="8" t="s">
        <v>36</v>
      </c>
      <c r="E537" s="8" t="s">
        <v>930</v>
      </c>
      <c r="F537" s="8">
        <v>315</v>
      </c>
      <c r="G537" s="8">
        <v>121.76</v>
      </c>
      <c r="H537" s="10">
        <v>23.88</v>
      </c>
      <c r="I537" s="8">
        <f t="shared" si="32"/>
        <v>1</v>
      </c>
      <c r="J537" s="8" t="str">
        <f t="shared" si="33"/>
        <v>No</v>
      </c>
      <c r="K537" s="5" t="str">
        <f t="shared" si="34"/>
        <v>No</v>
      </c>
      <c r="L537" s="25">
        <f t="shared" si="35"/>
        <v>102.31932773109244</v>
      </c>
    </row>
    <row r="538" spans="1:12">
      <c r="A538" s="9" t="s">
        <v>931</v>
      </c>
      <c r="B538" s="8">
        <v>24</v>
      </c>
      <c r="C538" s="8" t="s">
        <v>39</v>
      </c>
      <c r="D538" s="8" t="s">
        <v>46</v>
      </c>
      <c r="E538" s="8" t="s">
        <v>164</v>
      </c>
      <c r="F538" s="8">
        <v>90</v>
      </c>
      <c r="G538" s="8">
        <v>42.37</v>
      </c>
      <c r="H538" s="10">
        <v>30.65</v>
      </c>
      <c r="I538" s="8">
        <f t="shared" si="32"/>
        <v>1</v>
      </c>
      <c r="J538" s="8" t="str">
        <f t="shared" si="33"/>
        <v>No</v>
      </c>
      <c r="K538" s="5" t="str">
        <f t="shared" si="34"/>
        <v>No</v>
      </c>
      <c r="L538" s="25">
        <f t="shared" si="35"/>
        <v>35.605042016806721</v>
      </c>
    </row>
    <row r="539" spans="1:12">
      <c r="A539" s="9" t="s">
        <v>932</v>
      </c>
      <c r="B539" s="8">
        <v>12</v>
      </c>
      <c r="C539" s="8" t="s">
        <v>35</v>
      </c>
      <c r="D539" s="8" t="s">
        <v>46</v>
      </c>
      <c r="E539" s="8" t="s">
        <v>81</v>
      </c>
      <c r="F539" s="8">
        <v>288</v>
      </c>
      <c r="G539" s="8">
        <v>109.53</v>
      </c>
      <c r="H539" s="10">
        <v>25</v>
      </c>
      <c r="I539" s="8">
        <f t="shared" si="32"/>
        <v>1</v>
      </c>
      <c r="J539" s="8" t="str">
        <f t="shared" si="33"/>
        <v>No</v>
      </c>
      <c r="K539" s="5" t="str">
        <f t="shared" si="34"/>
        <v>No</v>
      </c>
      <c r="L539" s="25">
        <f t="shared" si="35"/>
        <v>92.0420168067227</v>
      </c>
    </row>
    <row r="540" spans="1:12">
      <c r="A540" s="9" t="s">
        <v>933</v>
      </c>
      <c r="B540" s="8">
        <v>12</v>
      </c>
      <c r="C540" s="8" t="s">
        <v>39</v>
      </c>
      <c r="D540" s="8" t="s">
        <v>56</v>
      </c>
      <c r="E540" s="8" t="s">
        <v>934</v>
      </c>
      <c r="F540" s="8">
        <v>99</v>
      </c>
      <c r="G540" s="8">
        <v>47.02</v>
      </c>
      <c r="H540" s="10">
        <v>31.02</v>
      </c>
      <c r="I540" s="8">
        <f t="shared" si="32"/>
        <v>1</v>
      </c>
      <c r="J540" s="8" t="str">
        <f t="shared" si="33"/>
        <v>No</v>
      </c>
      <c r="K540" s="5" t="str">
        <f t="shared" si="34"/>
        <v>No</v>
      </c>
      <c r="L540" s="25">
        <f t="shared" si="35"/>
        <v>39.512605042016808</v>
      </c>
    </row>
    <row r="541" spans="1:12">
      <c r="A541" s="9" t="s">
        <v>935</v>
      </c>
      <c r="B541" s="8">
        <v>12</v>
      </c>
      <c r="C541" s="8" t="s">
        <v>39</v>
      </c>
      <c r="D541" s="8" t="s">
        <v>36</v>
      </c>
      <c r="E541" s="8" t="s">
        <v>936</v>
      </c>
      <c r="F541" s="8">
        <v>155</v>
      </c>
      <c r="G541" s="8">
        <v>61.7</v>
      </c>
      <c r="H541" s="10">
        <v>30.31</v>
      </c>
      <c r="I541" s="8">
        <f t="shared" si="32"/>
        <v>1</v>
      </c>
      <c r="J541" s="8" t="str">
        <f t="shared" si="33"/>
        <v>No</v>
      </c>
      <c r="K541" s="5" t="str">
        <f t="shared" si="34"/>
        <v>No</v>
      </c>
      <c r="L541" s="25">
        <f t="shared" si="35"/>
        <v>51.848739495798327</v>
      </c>
    </row>
    <row r="542" spans="1:12">
      <c r="A542" s="9" t="s">
        <v>937</v>
      </c>
      <c r="B542" s="8">
        <v>24</v>
      </c>
      <c r="C542" s="8" t="s">
        <v>39</v>
      </c>
      <c r="D542" s="8" t="s">
        <v>36</v>
      </c>
      <c r="E542" s="8" t="s">
        <v>493</v>
      </c>
      <c r="F542" s="8">
        <v>152</v>
      </c>
      <c r="G542" s="8">
        <v>64.89</v>
      </c>
      <c r="H542" s="10">
        <v>31.62</v>
      </c>
      <c r="I542" s="8">
        <f t="shared" si="32"/>
        <v>1</v>
      </c>
      <c r="J542" s="8" t="str">
        <f t="shared" si="33"/>
        <v>No</v>
      </c>
      <c r="K542" s="5" t="str">
        <f t="shared" si="34"/>
        <v>No</v>
      </c>
      <c r="L542" s="25">
        <f t="shared" si="35"/>
        <v>54.529411764705884</v>
      </c>
    </row>
    <row r="543" spans="1:12">
      <c r="A543" s="9" t="s">
        <v>938</v>
      </c>
      <c r="B543" s="8">
        <v>24</v>
      </c>
      <c r="C543" s="8" t="s">
        <v>35</v>
      </c>
      <c r="D543" s="8" t="s">
        <v>46</v>
      </c>
      <c r="E543" s="8" t="s">
        <v>646</v>
      </c>
      <c r="F543" s="8">
        <v>257</v>
      </c>
      <c r="G543" s="8">
        <v>101.28</v>
      </c>
      <c r="H543" s="10">
        <v>25.27</v>
      </c>
      <c r="I543" s="8">
        <f t="shared" si="32"/>
        <v>1</v>
      </c>
      <c r="J543" s="8" t="str">
        <f t="shared" si="33"/>
        <v>No</v>
      </c>
      <c r="K543" s="5" t="str">
        <f t="shared" si="34"/>
        <v>No</v>
      </c>
      <c r="L543" s="25">
        <f t="shared" si="35"/>
        <v>85.109243697479002</v>
      </c>
    </row>
    <row r="544" spans="1:12">
      <c r="A544" s="9" t="s">
        <v>939</v>
      </c>
      <c r="B544" s="8">
        <v>12</v>
      </c>
      <c r="C544" s="8" t="s">
        <v>51</v>
      </c>
      <c r="D544" s="8" t="s">
        <v>36</v>
      </c>
      <c r="E544" s="8" t="s">
        <v>283</v>
      </c>
      <c r="F544" s="8">
        <v>570</v>
      </c>
      <c r="G544" s="8">
        <v>180.54</v>
      </c>
      <c r="H544" s="10">
        <v>20.29</v>
      </c>
      <c r="I544" s="8">
        <f t="shared" si="32"/>
        <v>1</v>
      </c>
      <c r="J544" s="8" t="str">
        <f t="shared" si="33"/>
        <v>No</v>
      </c>
      <c r="K544" s="5" t="str">
        <f t="shared" si="34"/>
        <v>No</v>
      </c>
      <c r="L544" s="25">
        <f t="shared" si="35"/>
        <v>151.71428571428572</v>
      </c>
    </row>
    <row r="545" spans="1:12">
      <c r="A545" s="9" t="s">
        <v>940</v>
      </c>
      <c r="B545" s="8">
        <v>24</v>
      </c>
      <c r="C545" s="8" t="s">
        <v>35</v>
      </c>
      <c r="D545" s="8" t="s">
        <v>46</v>
      </c>
      <c r="E545" s="8" t="s">
        <v>941</v>
      </c>
      <c r="F545" s="8">
        <v>219</v>
      </c>
      <c r="G545" s="8">
        <v>82.94</v>
      </c>
      <c r="H545" s="10">
        <v>22.22</v>
      </c>
      <c r="I545" s="8">
        <f t="shared" si="32"/>
        <v>1</v>
      </c>
      <c r="J545" s="8" t="str">
        <f t="shared" si="33"/>
        <v>No</v>
      </c>
      <c r="K545" s="5" t="str">
        <f t="shared" si="34"/>
        <v>No</v>
      </c>
      <c r="L545" s="25">
        <f t="shared" si="35"/>
        <v>69.69747899159664</v>
      </c>
    </row>
    <row r="546" spans="1:12">
      <c r="A546" s="9" t="s">
        <v>942</v>
      </c>
      <c r="B546" s="8">
        <v>24</v>
      </c>
      <c r="C546" s="8" t="s">
        <v>35</v>
      </c>
      <c r="D546" s="8" t="s">
        <v>46</v>
      </c>
      <c r="E546" s="8" t="s">
        <v>654</v>
      </c>
      <c r="F546" s="8">
        <v>245</v>
      </c>
      <c r="G546" s="8">
        <v>96.37</v>
      </c>
      <c r="H546" s="10">
        <v>22.03</v>
      </c>
      <c r="I546" s="8">
        <f t="shared" si="32"/>
        <v>1</v>
      </c>
      <c r="J546" s="8" t="str">
        <f t="shared" si="33"/>
        <v>No</v>
      </c>
      <c r="K546" s="5" t="str">
        <f t="shared" si="34"/>
        <v>No</v>
      </c>
      <c r="L546" s="25">
        <f t="shared" si="35"/>
        <v>80.983193277310932</v>
      </c>
    </row>
    <row r="547" spans="1:12">
      <c r="A547" s="9" t="s">
        <v>943</v>
      </c>
      <c r="B547" s="8">
        <v>12</v>
      </c>
      <c r="C547" s="8" t="s">
        <v>35</v>
      </c>
      <c r="D547" s="8" t="s">
        <v>36</v>
      </c>
      <c r="E547" s="8" t="s">
        <v>944</v>
      </c>
      <c r="F547" s="8">
        <v>303</v>
      </c>
      <c r="G547" s="8">
        <v>116.57</v>
      </c>
      <c r="H547" s="10">
        <v>22.85</v>
      </c>
      <c r="I547" s="8">
        <f t="shared" si="32"/>
        <v>1</v>
      </c>
      <c r="J547" s="8" t="str">
        <f t="shared" si="33"/>
        <v>No</v>
      </c>
      <c r="K547" s="5" t="str">
        <f t="shared" si="34"/>
        <v>No</v>
      </c>
      <c r="L547" s="25">
        <f t="shared" si="35"/>
        <v>97.957983193277315</v>
      </c>
    </row>
    <row r="548" spans="1:12">
      <c r="A548" s="9" t="s">
        <v>945</v>
      </c>
      <c r="B548" s="8">
        <v>12</v>
      </c>
      <c r="C548" s="8" t="s">
        <v>39</v>
      </c>
      <c r="D548" s="8" t="s">
        <v>36</v>
      </c>
      <c r="E548" s="8" t="s">
        <v>300</v>
      </c>
      <c r="F548" s="8">
        <v>122</v>
      </c>
      <c r="G548" s="8">
        <v>50.17</v>
      </c>
      <c r="H548" s="10">
        <v>30.65</v>
      </c>
      <c r="I548" s="8">
        <f t="shared" si="32"/>
        <v>1</v>
      </c>
      <c r="J548" s="8" t="str">
        <f t="shared" si="33"/>
        <v>No</v>
      </c>
      <c r="K548" s="5" t="str">
        <f t="shared" si="34"/>
        <v>No</v>
      </c>
      <c r="L548" s="25">
        <f t="shared" si="35"/>
        <v>42.159663865546221</v>
      </c>
    </row>
    <row r="549" spans="1:12">
      <c r="A549" s="9" t="s">
        <v>946</v>
      </c>
      <c r="B549" s="8">
        <v>24</v>
      </c>
      <c r="C549" s="8" t="s">
        <v>35</v>
      </c>
      <c r="D549" s="8" t="s">
        <v>36</v>
      </c>
      <c r="E549" s="8" t="s">
        <v>947</v>
      </c>
      <c r="F549" s="8">
        <v>226</v>
      </c>
      <c r="G549" s="8">
        <v>88.74</v>
      </c>
      <c r="H549" s="10">
        <v>23.64</v>
      </c>
      <c r="I549" s="8">
        <f t="shared" si="32"/>
        <v>1</v>
      </c>
      <c r="J549" s="8" t="str">
        <f t="shared" si="33"/>
        <v>No</v>
      </c>
      <c r="K549" s="5" t="str">
        <f t="shared" si="34"/>
        <v>No</v>
      </c>
      <c r="L549" s="25">
        <f t="shared" si="35"/>
        <v>74.571428571428569</v>
      </c>
    </row>
    <row r="550" spans="1:12">
      <c r="A550" s="9" t="s">
        <v>948</v>
      </c>
      <c r="B550" s="8">
        <v>12</v>
      </c>
      <c r="C550" s="8" t="s">
        <v>51</v>
      </c>
      <c r="D550" s="8" t="s">
        <v>36</v>
      </c>
      <c r="E550" s="8" t="s">
        <v>949</v>
      </c>
      <c r="F550" s="8">
        <v>498</v>
      </c>
      <c r="G550" s="8">
        <v>168.8</v>
      </c>
      <c r="H550" s="10">
        <v>18.510000000000002</v>
      </c>
      <c r="I550" s="8">
        <f t="shared" si="32"/>
        <v>1</v>
      </c>
      <c r="J550" s="8" t="str">
        <f t="shared" si="33"/>
        <v>No</v>
      </c>
      <c r="K550" s="5" t="str">
        <f t="shared" si="34"/>
        <v>No</v>
      </c>
      <c r="L550" s="25">
        <f t="shared" si="35"/>
        <v>141.84873949579833</v>
      </c>
    </row>
    <row r="551" spans="1:12">
      <c r="A551" s="9" t="s">
        <v>950</v>
      </c>
      <c r="B551" s="8">
        <v>24</v>
      </c>
      <c r="C551" s="8" t="s">
        <v>39</v>
      </c>
      <c r="D551" s="8" t="s">
        <v>56</v>
      </c>
      <c r="E551" s="8" t="s">
        <v>333</v>
      </c>
      <c r="F551" s="8">
        <v>153</v>
      </c>
      <c r="G551" s="8">
        <v>68.02</v>
      </c>
      <c r="H551" s="10">
        <v>31.54</v>
      </c>
      <c r="I551" s="8">
        <f t="shared" si="32"/>
        <v>1</v>
      </c>
      <c r="J551" s="8" t="str">
        <f t="shared" si="33"/>
        <v>No</v>
      </c>
      <c r="K551" s="5" t="str">
        <f t="shared" si="34"/>
        <v>No</v>
      </c>
      <c r="L551" s="25">
        <f t="shared" si="35"/>
        <v>57.159663865546214</v>
      </c>
    </row>
    <row r="552" spans="1:12">
      <c r="A552" s="9" t="s">
        <v>951</v>
      </c>
      <c r="B552" s="8">
        <v>12</v>
      </c>
      <c r="C552" s="8" t="s">
        <v>51</v>
      </c>
      <c r="D552" s="8" t="s">
        <v>56</v>
      </c>
      <c r="E552" s="8" t="s">
        <v>650</v>
      </c>
      <c r="F552" s="8">
        <v>445</v>
      </c>
      <c r="G552" s="8">
        <v>157.57</v>
      </c>
      <c r="H552" s="10">
        <v>20.98</v>
      </c>
      <c r="I552" s="8">
        <f t="shared" si="32"/>
        <v>1</v>
      </c>
      <c r="J552" s="8" t="str">
        <f t="shared" si="33"/>
        <v>No</v>
      </c>
      <c r="K552" s="5" t="str">
        <f t="shared" si="34"/>
        <v>No</v>
      </c>
      <c r="L552" s="25">
        <f t="shared" si="35"/>
        <v>132.41176470588235</v>
      </c>
    </row>
    <row r="553" spans="1:12">
      <c r="A553" s="9" t="s">
        <v>952</v>
      </c>
      <c r="B553" s="8">
        <v>24</v>
      </c>
      <c r="C553" s="8" t="s">
        <v>35</v>
      </c>
      <c r="D553" s="8" t="s">
        <v>46</v>
      </c>
      <c r="E553" s="8" t="s">
        <v>879</v>
      </c>
      <c r="F553" s="8">
        <v>196</v>
      </c>
      <c r="G553" s="8">
        <v>77.31</v>
      </c>
      <c r="H553" s="10">
        <v>25.64</v>
      </c>
      <c r="I553" s="8">
        <f t="shared" si="32"/>
        <v>1</v>
      </c>
      <c r="J553" s="8" t="str">
        <f t="shared" si="33"/>
        <v>No</v>
      </c>
      <c r="K553" s="5" t="str">
        <f t="shared" si="34"/>
        <v>No</v>
      </c>
      <c r="L553" s="25">
        <f t="shared" si="35"/>
        <v>64.966386554621849</v>
      </c>
    </row>
    <row r="554" spans="1:12">
      <c r="A554" s="9" t="s">
        <v>953</v>
      </c>
      <c r="B554" s="8">
        <v>24</v>
      </c>
      <c r="C554" s="8" t="s">
        <v>35</v>
      </c>
      <c r="D554" s="8" t="s">
        <v>46</v>
      </c>
      <c r="E554" s="8" t="s">
        <v>269</v>
      </c>
      <c r="F554" s="8">
        <v>285</v>
      </c>
      <c r="G554" s="8">
        <v>104.08</v>
      </c>
      <c r="H554" s="10">
        <v>25.26</v>
      </c>
      <c r="I554" s="8">
        <f t="shared" si="32"/>
        <v>1</v>
      </c>
      <c r="J554" s="8" t="str">
        <f t="shared" si="33"/>
        <v>No</v>
      </c>
      <c r="K554" s="5" t="str">
        <f t="shared" si="34"/>
        <v>No</v>
      </c>
      <c r="L554" s="25">
        <f t="shared" si="35"/>
        <v>87.462184873949582</v>
      </c>
    </row>
    <row r="555" spans="1:12">
      <c r="A555" s="9" t="s">
        <v>954</v>
      </c>
      <c r="B555" s="8">
        <v>24</v>
      </c>
      <c r="C555" s="8" t="s">
        <v>35</v>
      </c>
      <c r="D555" s="8" t="s">
        <v>36</v>
      </c>
      <c r="E555" s="8" t="s">
        <v>955</v>
      </c>
      <c r="F555" s="8">
        <v>304</v>
      </c>
      <c r="G555" s="8">
        <v>119.41</v>
      </c>
      <c r="H555" s="10">
        <v>24.76</v>
      </c>
      <c r="I555" s="8">
        <f t="shared" si="32"/>
        <v>1</v>
      </c>
      <c r="J555" s="8" t="str">
        <f t="shared" si="33"/>
        <v>No</v>
      </c>
      <c r="K555" s="5" t="str">
        <f t="shared" si="34"/>
        <v>No</v>
      </c>
      <c r="L555" s="25">
        <f t="shared" si="35"/>
        <v>100.34453781512605</v>
      </c>
    </row>
    <row r="556" spans="1:12">
      <c r="A556" s="9" t="s">
        <v>956</v>
      </c>
      <c r="B556" s="8">
        <v>24</v>
      </c>
      <c r="C556" s="8" t="s">
        <v>35</v>
      </c>
      <c r="D556" s="8" t="s">
        <v>56</v>
      </c>
      <c r="E556" s="8" t="s">
        <v>957</v>
      </c>
      <c r="F556" s="8">
        <v>184</v>
      </c>
      <c r="G556" s="8">
        <v>74.09</v>
      </c>
      <c r="H556" s="10">
        <v>23.09</v>
      </c>
      <c r="I556" s="8">
        <f t="shared" si="32"/>
        <v>1</v>
      </c>
      <c r="J556" s="8" t="str">
        <f t="shared" si="33"/>
        <v>No</v>
      </c>
      <c r="K556" s="5" t="str">
        <f t="shared" si="34"/>
        <v>No</v>
      </c>
      <c r="L556" s="25">
        <f t="shared" si="35"/>
        <v>62.260504201680675</v>
      </c>
    </row>
    <row r="557" spans="1:12">
      <c r="A557" s="9" t="s">
        <v>958</v>
      </c>
      <c r="B557" s="8">
        <v>12</v>
      </c>
      <c r="C557" s="8" t="s">
        <v>51</v>
      </c>
      <c r="D557" s="8" t="s">
        <v>46</v>
      </c>
      <c r="E557" s="8" t="s">
        <v>369</v>
      </c>
      <c r="F557" s="8">
        <v>413</v>
      </c>
      <c r="G557" s="8">
        <v>140.19</v>
      </c>
      <c r="H557" s="10">
        <v>17.45</v>
      </c>
      <c r="I557" s="8">
        <f t="shared" si="32"/>
        <v>1</v>
      </c>
      <c r="J557" s="8" t="str">
        <f t="shared" si="33"/>
        <v>No</v>
      </c>
      <c r="K557" s="5" t="str">
        <f t="shared" si="34"/>
        <v>No</v>
      </c>
      <c r="L557" s="25">
        <f t="shared" si="35"/>
        <v>117.80672268907563</v>
      </c>
    </row>
    <row r="558" spans="1:12">
      <c r="A558" s="9" t="s">
        <v>959</v>
      </c>
      <c r="B558" s="8">
        <v>12</v>
      </c>
      <c r="C558" s="8" t="s">
        <v>51</v>
      </c>
      <c r="D558" s="8" t="s">
        <v>46</v>
      </c>
      <c r="E558" s="8" t="s">
        <v>242</v>
      </c>
      <c r="F558" s="8">
        <v>380</v>
      </c>
      <c r="G558" s="8">
        <v>130.24</v>
      </c>
      <c r="H558" s="10">
        <v>17.420000000000002</v>
      </c>
      <c r="I558" s="8">
        <f t="shared" si="32"/>
        <v>1</v>
      </c>
      <c r="J558" s="8" t="str">
        <f t="shared" si="33"/>
        <v>No</v>
      </c>
      <c r="K558" s="5" t="str">
        <f t="shared" si="34"/>
        <v>No</v>
      </c>
      <c r="L558" s="25">
        <f t="shared" si="35"/>
        <v>109.44537815126051</v>
      </c>
    </row>
    <row r="559" spans="1:12">
      <c r="A559" s="9" t="s">
        <v>960</v>
      </c>
      <c r="B559" s="8">
        <v>12</v>
      </c>
      <c r="C559" s="8" t="s">
        <v>35</v>
      </c>
      <c r="D559" s="8" t="s">
        <v>56</v>
      </c>
      <c r="E559" s="8" t="s">
        <v>65</v>
      </c>
      <c r="F559" s="8">
        <v>225</v>
      </c>
      <c r="G559" s="8">
        <v>90.52</v>
      </c>
      <c r="H559" s="10">
        <v>23.37</v>
      </c>
      <c r="I559" s="8">
        <f t="shared" si="32"/>
        <v>1</v>
      </c>
      <c r="J559" s="8" t="str">
        <f t="shared" si="33"/>
        <v>No</v>
      </c>
      <c r="K559" s="5" t="str">
        <f t="shared" si="34"/>
        <v>No</v>
      </c>
      <c r="L559" s="25">
        <f t="shared" si="35"/>
        <v>76.067226890756302</v>
      </c>
    </row>
    <row r="560" spans="1:12">
      <c r="A560" s="9" t="s">
        <v>961</v>
      </c>
      <c r="B560" s="8">
        <v>24</v>
      </c>
      <c r="C560" s="8" t="s">
        <v>39</v>
      </c>
      <c r="D560" s="8" t="s">
        <v>36</v>
      </c>
      <c r="E560" s="8" t="s">
        <v>748</v>
      </c>
      <c r="F560" s="8">
        <v>121</v>
      </c>
      <c r="G560" s="8">
        <v>57.85</v>
      </c>
      <c r="H560" s="10">
        <v>29.72</v>
      </c>
      <c r="I560" s="8">
        <f t="shared" si="32"/>
        <v>1</v>
      </c>
      <c r="J560" s="8" t="str">
        <f t="shared" si="33"/>
        <v>No</v>
      </c>
      <c r="K560" s="5" t="str">
        <f t="shared" si="34"/>
        <v>No</v>
      </c>
      <c r="L560" s="25">
        <f t="shared" si="35"/>
        <v>48.613445378151262</v>
      </c>
    </row>
    <row r="561" spans="1:12">
      <c r="A561" s="9" t="s">
        <v>962</v>
      </c>
      <c r="B561" s="8">
        <v>24</v>
      </c>
      <c r="C561" s="8" t="s">
        <v>35</v>
      </c>
      <c r="D561" s="8" t="s">
        <v>56</v>
      </c>
      <c r="E561" s="8" t="s">
        <v>963</v>
      </c>
      <c r="F561" s="8">
        <v>291</v>
      </c>
      <c r="G561" s="8">
        <v>115.85</v>
      </c>
      <c r="H561" s="10">
        <v>25.32</v>
      </c>
      <c r="I561" s="8">
        <f t="shared" si="32"/>
        <v>1</v>
      </c>
      <c r="J561" s="8" t="str">
        <f t="shared" si="33"/>
        <v>No</v>
      </c>
      <c r="K561" s="5" t="str">
        <f t="shared" si="34"/>
        <v>No</v>
      </c>
      <c r="L561" s="25">
        <f t="shared" si="35"/>
        <v>97.352941176470594</v>
      </c>
    </row>
    <row r="562" spans="1:12">
      <c r="A562" s="9" t="s">
        <v>964</v>
      </c>
      <c r="B562" s="8">
        <v>24</v>
      </c>
      <c r="C562" s="8" t="s">
        <v>51</v>
      </c>
      <c r="D562" s="8" t="s">
        <v>36</v>
      </c>
      <c r="E562" s="8" t="s">
        <v>965</v>
      </c>
      <c r="F562" s="8">
        <v>550</v>
      </c>
      <c r="G562" s="8">
        <v>190.31</v>
      </c>
      <c r="H562" s="10">
        <v>17.100000000000001</v>
      </c>
      <c r="I562" s="8">
        <f t="shared" si="32"/>
        <v>1</v>
      </c>
      <c r="J562" s="8" t="str">
        <f t="shared" si="33"/>
        <v>No</v>
      </c>
      <c r="K562" s="5" t="str">
        <f t="shared" si="34"/>
        <v>No</v>
      </c>
      <c r="L562" s="25">
        <f t="shared" si="35"/>
        <v>159.92436974789916</v>
      </c>
    </row>
    <row r="563" spans="1:12">
      <c r="A563" s="9" t="s">
        <v>966</v>
      </c>
      <c r="B563" s="8">
        <v>12</v>
      </c>
      <c r="C563" s="8" t="s">
        <v>39</v>
      </c>
      <c r="D563" s="8" t="s">
        <v>36</v>
      </c>
      <c r="E563" s="8" t="s">
        <v>967</v>
      </c>
      <c r="F563" s="8">
        <v>135</v>
      </c>
      <c r="G563" s="8">
        <v>57.04</v>
      </c>
      <c r="H563" s="10">
        <v>32.94</v>
      </c>
      <c r="I563" s="8">
        <f t="shared" si="32"/>
        <v>1</v>
      </c>
      <c r="J563" s="8" t="str">
        <f t="shared" si="33"/>
        <v>No</v>
      </c>
      <c r="K563" s="5" t="str">
        <f t="shared" si="34"/>
        <v>No</v>
      </c>
      <c r="L563" s="25">
        <f t="shared" si="35"/>
        <v>47.932773109243698</v>
      </c>
    </row>
    <row r="564" spans="1:12">
      <c r="A564" s="9" t="s">
        <v>968</v>
      </c>
      <c r="B564" s="8">
        <v>12</v>
      </c>
      <c r="C564" s="8" t="s">
        <v>35</v>
      </c>
      <c r="D564" s="8" t="s">
        <v>36</v>
      </c>
      <c r="E564" s="8" t="s">
        <v>242</v>
      </c>
      <c r="F564" s="8">
        <v>226</v>
      </c>
      <c r="G564" s="8">
        <v>90.31</v>
      </c>
      <c r="H564" s="10">
        <v>24.13</v>
      </c>
      <c r="I564" s="8">
        <f t="shared" si="32"/>
        <v>1</v>
      </c>
      <c r="J564" s="8" t="str">
        <f t="shared" si="33"/>
        <v>No</v>
      </c>
      <c r="K564" s="5" t="str">
        <f t="shared" si="34"/>
        <v>No</v>
      </c>
      <c r="L564" s="25">
        <f t="shared" si="35"/>
        <v>75.890756302521012</v>
      </c>
    </row>
    <row r="565" spans="1:12">
      <c r="A565" s="9" t="s">
        <v>969</v>
      </c>
      <c r="B565" s="8">
        <v>12</v>
      </c>
      <c r="C565" s="8" t="s">
        <v>35</v>
      </c>
      <c r="D565" s="8" t="s">
        <v>56</v>
      </c>
      <c r="E565" s="8" t="s">
        <v>970</v>
      </c>
      <c r="F565" s="8">
        <v>307</v>
      </c>
      <c r="G565" s="8">
        <v>110.09</v>
      </c>
      <c r="H565" s="10">
        <v>25.15</v>
      </c>
      <c r="I565" s="8">
        <f t="shared" si="32"/>
        <v>1</v>
      </c>
      <c r="J565" s="8" t="str">
        <f t="shared" si="33"/>
        <v>No</v>
      </c>
      <c r="K565" s="5" t="str">
        <f t="shared" si="34"/>
        <v>No</v>
      </c>
      <c r="L565" s="25">
        <f t="shared" si="35"/>
        <v>92.512605042016816</v>
      </c>
    </row>
    <row r="566" spans="1:12">
      <c r="A566" s="9" t="s">
        <v>971</v>
      </c>
      <c r="B566" s="8">
        <v>12</v>
      </c>
      <c r="C566" s="8" t="s">
        <v>35</v>
      </c>
      <c r="D566" s="8" t="s">
        <v>56</v>
      </c>
      <c r="E566" s="8" t="s">
        <v>972</v>
      </c>
      <c r="F566" s="8">
        <v>245</v>
      </c>
      <c r="G566" s="8">
        <v>91.31</v>
      </c>
      <c r="H566" s="10">
        <v>23.97</v>
      </c>
      <c r="I566" s="8">
        <f t="shared" si="32"/>
        <v>1</v>
      </c>
      <c r="J566" s="8" t="str">
        <f t="shared" si="33"/>
        <v>No</v>
      </c>
      <c r="K566" s="5" t="str">
        <f t="shared" si="34"/>
        <v>No</v>
      </c>
      <c r="L566" s="25">
        <f t="shared" si="35"/>
        <v>76.731092436974791</v>
      </c>
    </row>
    <row r="567" spans="1:12">
      <c r="A567" s="9" t="s">
        <v>973</v>
      </c>
      <c r="B567" s="8">
        <v>24</v>
      </c>
      <c r="C567" s="8" t="s">
        <v>39</v>
      </c>
      <c r="D567" s="8" t="s">
        <v>46</v>
      </c>
      <c r="E567" s="8" t="s">
        <v>974</v>
      </c>
      <c r="F567" s="8">
        <v>165</v>
      </c>
      <c r="G567" s="8">
        <v>74.569999999999993</v>
      </c>
      <c r="H567" s="10">
        <v>29.2</v>
      </c>
      <c r="I567" s="8">
        <f t="shared" si="32"/>
        <v>1</v>
      </c>
      <c r="J567" s="8" t="str">
        <f t="shared" si="33"/>
        <v>No</v>
      </c>
      <c r="K567" s="5" t="str">
        <f t="shared" si="34"/>
        <v>No</v>
      </c>
      <c r="L567" s="25">
        <f t="shared" si="35"/>
        <v>62.663865546218481</v>
      </c>
    </row>
    <row r="568" spans="1:12">
      <c r="A568" s="9" t="s">
        <v>975</v>
      </c>
      <c r="B568" s="8">
        <v>12</v>
      </c>
      <c r="C568" s="8" t="s">
        <v>35</v>
      </c>
      <c r="D568" s="8" t="s">
        <v>46</v>
      </c>
      <c r="E568" s="8" t="s">
        <v>976</v>
      </c>
      <c r="F568" s="8">
        <v>272</v>
      </c>
      <c r="G568" s="8">
        <v>100.8</v>
      </c>
      <c r="H568" s="10">
        <v>24.38</v>
      </c>
      <c r="I568" s="8">
        <f t="shared" si="32"/>
        <v>1</v>
      </c>
      <c r="J568" s="8" t="str">
        <f t="shared" si="33"/>
        <v>No</v>
      </c>
      <c r="K568" s="5" t="str">
        <f t="shared" si="34"/>
        <v>No</v>
      </c>
      <c r="L568" s="25">
        <f t="shared" si="35"/>
        <v>84.705882352941174</v>
      </c>
    </row>
    <row r="569" spans="1:12">
      <c r="A569" s="9" t="s">
        <v>977</v>
      </c>
      <c r="B569" s="8">
        <v>12</v>
      </c>
      <c r="C569" s="8" t="s">
        <v>51</v>
      </c>
      <c r="D569" s="8" t="s">
        <v>46</v>
      </c>
      <c r="E569" s="8" t="s">
        <v>320</v>
      </c>
      <c r="F569" s="8">
        <v>375</v>
      </c>
      <c r="G569" s="8">
        <v>123.62</v>
      </c>
      <c r="H569" s="10">
        <v>18.670000000000002</v>
      </c>
      <c r="I569" s="8">
        <f t="shared" si="32"/>
        <v>1</v>
      </c>
      <c r="J569" s="8" t="str">
        <f t="shared" si="33"/>
        <v>No</v>
      </c>
      <c r="K569" s="5" t="str">
        <f t="shared" si="34"/>
        <v>No</v>
      </c>
      <c r="L569" s="25">
        <f t="shared" si="35"/>
        <v>103.88235294117648</v>
      </c>
    </row>
    <row r="570" spans="1:12">
      <c r="A570" s="9" t="s">
        <v>978</v>
      </c>
      <c r="B570" s="8">
        <v>24</v>
      </c>
      <c r="C570" s="8" t="s">
        <v>39</v>
      </c>
      <c r="D570" s="8" t="s">
        <v>56</v>
      </c>
      <c r="E570" s="8" t="s">
        <v>979</v>
      </c>
      <c r="F570" s="8">
        <v>140</v>
      </c>
      <c r="G570" s="8">
        <v>60.46</v>
      </c>
      <c r="H570" s="10">
        <v>28.66</v>
      </c>
      <c r="I570" s="8">
        <f t="shared" si="32"/>
        <v>1</v>
      </c>
      <c r="J570" s="8" t="str">
        <f t="shared" si="33"/>
        <v>No</v>
      </c>
      <c r="K570" s="5" t="str">
        <f t="shared" si="34"/>
        <v>No</v>
      </c>
      <c r="L570" s="25">
        <f t="shared" si="35"/>
        <v>50.806722689075634</v>
      </c>
    </row>
    <row r="571" spans="1:12">
      <c r="A571" s="9" t="s">
        <v>980</v>
      </c>
      <c r="B571" s="8">
        <v>12</v>
      </c>
      <c r="C571" s="8" t="s">
        <v>39</v>
      </c>
      <c r="D571" s="8" t="s">
        <v>36</v>
      </c>
      <c r="E571" s="8" t="s">
        <v>981</v>
      </c>
      <c r="F571" s="8">
        <v>110</v>
      </c>
      <c r="G571" s="8">
        <v>50.47</v>
      </c>
      <c r="H571" s="10">
        <v>28.47</v>
      </c>
      <c r="I571" s="8">
        <f t="shared" si="32"/>
        <v>1</v>
      </c>
      <c r="J571" s="8" t="str">
        <f t="shared" si="33"/>
        <v>No</v>
      </c>
      <c r="K571" s="5" t="str">
        <f t="shared" si="34"/>
        <v>No</v>
      </c>
      <c r="L571" s="25">
        <f t="shared" si="35"/>
        <v>42.411764705882355</v>
      </c>
    </row>
    <row r="572" spans="1:12">
      <c r="A572" s="9" t="s">
        <v>982</v>
      </c>
      <c r="B572" s="8">
        <v>12</v>
      </c>
      <c r="C572" s="8" t="s">
        <v>51</v>
      </c>
      <c r="D572" s="8" t="s">
        <v>36</v>
      </c>
      <c r="E572" s="8" t="s">
        <v>267</v>
      </c>
      <c r="F572" s="8">
        <v>562</v>
      </c>
      <c r="G572" s="8">
        <v>185.3</v>
      </c>
      <c r="H572" s="10">
        <v>19.23</v>
      </c>
      <c r="I572" s="8">
        <f t="shared" si="32"/>
        <v>1</v>
      </c>
      <c r="J572" s="8" t="str">
        <f t="shared" si="33"/>
        <v>No</v>
      </c>
      <c r="K572" s="5" t="str">
        <f t="shared" si="34"/>
        <v>No</v>
      </c>
      <c r="L572" s="25">
        <f t="shared" si="35"/>
        <v>155.71428571428572</v>
      </c>
    </row>
    <row r="573" spans="1:12">
      <c r="A573" s="9" t="s">
        <v>983</v>
      </c>
      <c r="B573" s="8">
        <v>24</v>
      </c>
      <c r="C573" s="8" t="s">
        <v>39</v>
      </c>
      <c r="D573" s="8" t="s">
        <v>36</v>
      </c>
      <c r="E573" s="8" t="s">
        <v>418</v>
      </c>
      <c r="F573" s="8">
        <v>89</v>
      </c>
      <c r="G573" s="8">
        <v>42.9</v>
      </c>
      <c r="H573" s="10">
        <v>31.61</v>
      </c>
      <c r="I573" s="8">
        <f t="shared" si="32"/>
        <v>1</v>
      </c>
      <c r="J573" s="8" t="str">
        <f t="shared" si="33"/>
        <v>No</v>
      </c>
      <c r="K573" s="5" t="str">
        <f t="shared" si="34"/>
        <v>No</v>
      </c>
      <c r="L573" s="25">
        <f t="shared" si="35"/>
        <v>36.050420168067227</v>
      </c>
    </row>
    <row r="574" spans="1:12">
      <c r="A574" s="9" t="s">
        <v>984</v>
      </c>
      <c r="B574" s="8">
        <v>12</v>
      </c>
      <c r="C574" s="8" t="s">
        <v>51</v>
      </c>
      <c r="D574" s="8" t="s">
        <v>46</v>
      </c>
      <c r="E574" s="8" t="s">
        <v>371</v>
      </c>
      <c r="F574" s="8">
        <v>391</v>
      </c>
      <c r="G574" s="8">
        <v>129.04</v>
      </c>
      <c r="H574" s="10">
        <v>18.22</v>
      </c>
      <c r="I574" s="8">
        <f t="shared" si="32"/>
        <v>1</v>
      </c>
      <c r="J574" s="8" t="str">
        <f t="shared" si="33"/>
        <v>No</v>
      </c>
      <c r="K574" s="5" t="str">
        <f t="shared" si="34"/>
        <v>No</v>
      </c>
      <c r="L574" s="25">
        <f t="shared" si="35"/>
        <v>108.43697478991596</v>
      </c>
    </row>
    <row r="575" spans="1:12">
      <c r="A575" s="9" t="s">
        <v>985</v>
      </c>
      <c r="B575" s="8">
        <v>24</v>
      </c>
      <c r="C575" s="8" t="s">
        <v>35</v>
      </c>
      <c r="D575" s="8" t="s">
        <v>46</v>
      </c>
      <c r="E575" s="8" t="s">
        <v>52</v>
      </c>
      <c r="F575" s="8">
        <v>309</v>
      </c>
      <c r="G575" s="8">
        <v>120.91</v>
      </c>
      <c r="H575" s="10">
        <v>24.93</v>
      </c>
      <c r="I575" s="8">
        <f t="shared" si="32"/>
        <v>1</v>
      </c>
      <c r="J575" s="8" t="str">
        <f t="shared" si="33"/>
        <v>No</v>
      </c>
      <c r="K575" s="5" t="str">
        <f t="shared" si="34"/>
        <v>No</v>
      </c>
      <c r="L575" s="25">
        <f t="shared" si="35"/>
        <v>101.60504201680672</v>
      </c>
    </row>
    <row r="576" spans="1:12">
      <c r="A576" s="9" t="s">
        <v>986</v>
      </c>
      <c r="B576" s="8">
        <v>24</v>
      </c>
      <c r="C576" s="8" t="s">
        <v>39</v>
      </c>
      <c r="D576" s="8" t="s">
        <v>36</v>
      </c>
      <c r="E576" s="8" t="s">
        <v>735</v>
      </c>
      <c r="F576" s="8">
        <v>102</v>
      </c>
      <c r="G576" s="8">
        <v>48.62</v>
      </c>
      <c r="H576" s="10">
        <v>30.63</v>
      </c>
      <c r="I576" s="8">
        <f t="shared" si="32"/>
        <v>1</v>
      </c>
      <c r="J576" s="8" t="str">
        <f t="shared" si="33"/>
        <v>No</v>
      </c>
      <c r="K576" s="5" t="str">
        <f t="shared" si="34"/>
        <v>No</v>
      </c>
      <c r="L576" s="25">
        <f t="shared" si="35"/>
        <v>40.857142857142854</v>
      </c>
    </row>
    <row r="577" spans="1:12">
      <c r="A577" s="9" t="s">
        <v>987</v>
      </c>
      <c r="B577" s="8">
        <v>24</v>
      </c>
      <c r="C577" s="8" t="s">
        <v>51</v>
      </c>
      <c r="D577" s="8" t="s">
        <v>36</v>
      </c>
      <c r="E577" s="8" t="s">
        <v>331</v>
      </c>
      <c r="F577" s="8">
        <v>613</v>
      </c>
      <c r="G577" s="8">
        <v>202.41</v>
      </c>
      <c r="H577" s="10">
        <v>21.16</v>
      </c>
      <c r="I577" s="8">
        <f t="shared" si="32"/>
        <v>1</v>
      </c>
      <c r="J577" s="8" t="str">
        <f t="shared" si="33"/>
        <v>No</v>
      </c>
      <c r="K577" s="5" t="str">
        <f t="shared" si="34"/>
        <v>No</v>
      </c>
      <c r="L577" s="25">
        <f t="shared" si="35"/>
        <v>170.09243697478993</v>
      </c>
    </row>
    <row r="578" spans="1:12">
      <c r="A578" s="9" t="s">
        <v>988</v>
      </c>
      <c r="B578" s="8">
        <v>12</v>
      </c>
      <c r="C578" s="8" t="s">
        <v>35</v>
      </c>
      <c r="D578" s="8" t="s">
        <v>56</v>
      </c>
      <c r="E578" s="8" t="s">
        <v>609</v>
      </c>
      <c r="F578" s="8">
        <v>213</v>
      </c>
      <c r="G578" s="8">
        <v>82.69</v>
      </c>
      <c r="H578" s="10">
        <v>25.28</v>
      </c>
      <c r="I578" s="8">
        <f t="shared" ref="I578:I641" si="36">COUNTIF($A:$A,A578)</f>
        <v>1</v>
      </c>
      <c r="J578" s="8" t="str">
        <f t="shared" ref="J578:J641" si="37">IF(F578=0,"Yes","No")</f>
        <v>No</v>
      </c>
      <c r="K578" s="5" t="str">
        <f t="shared" ref="K578:K641" si="38">IF(F578&lt;0,"Yes","No")</f>
        <v>No</v>
      </c>
      <c r="L578" s="25">
        <f t="shared" ref="L578:L641" si="39">G578/1.19</f>
        <v>69.487394957983199</v>
      </c>
    </row>
    <row r="579" spans="1:12">
      <c r="A579" s="9" t="s">
        <v>989</v>
      </c>
      <c r="B579" s="8">
        <v>24</v>
      </c>
      <c r="C579" s="8" t="s">
        <v>35</v>
      </c>
      <c r="D579" s="8" t="s">
        <v>36</v>
      </c>
      <c r="E579" s="8" t="s">
        <v>990</v>
      </c>
      <c r="F579" s="8">
        <v>274</v>
      </c>
      <c r="G579" s="8">
        <v>101.14</v>
      </c>
      <c r="H579" s="10">
        <v>24.27</v>
      </c>
      <c r="I579" s="8">
        <f t="shared" si="36"/>
        <v>1</v>
      </c>
      <c r="J579" s="8" t="str">
        <f t="shared" si="37"/>
        <v>No</v>
      </c>
      <c r="K579" s="5" t="str">
        <f t="shared" si="38"/>
        <v>No</v>
      </c>
      <c r="L579" s="25">
        <f t="shared" si="39"/>
        <v>84.991596638655466</v>
      </c>
    </row>
    <row r="580" spans="1:12">
      <c r="A580" s="9" t="s">
        <v>991</v>
      </c>
      <c r="B580" s="8">
        <v>12</v>
      </c>
      <c r="C580" s="8" t="s">
        <v>35</v>
      </c>
      <c r="D580" s="8" t="s">
        <v>46</v>
      </c>
      <c r="E580" s="8" t="s">
        <v>302</v>
      </c>
      <c r="F580" s="8">
        <v>282</v>
      </c>
      <c r="G580" s="8">
        <v>112.21</v>
      </c>
      <c r="H580" s="10">
        <v>24.63</v>
      </c>
      <c r="I580" s="8">
        <f t="shared" si="36"/>
        <v>1</v>
      </c>
      <c r="J580" s="8" t="str">
        <f t="shared" si="37"/>
        <v>No</v>
      </c>
      <c r="K580" s="5" t="str">
        <f t="shared" si="38"/>
        <v>No</v>
      </c>
      <c r="L580" s="25">
        <f t="shared" si="39"/>
        <v>94.294117647058826</v>
      </c>
    </row>
    <row r="581" spans="1:12">
      <c r="A581" s="9" t="s">
        <v>992</v>
      </c>
      <c r="B581" s="8">
        <v>12</v>
      </c>
      <c r="C581" s="8" t="s">
        <v>35</v>
      </c>
      <c r="D581" s="8" t="s">
        <v>56</v>
      </c>
      <c r="E581" s="8" t="s">
        <v>206</v>
      </c>
      <c r="F581" s="8">
        <v>252</v>
      </c>
      <c r="G581" s="8">
        <v>95.97</v>
      </c>
      <c r="H581" s="10">
        <v>25.59</v>
      </c>
      <c r="I581" s="8">
        <f t="shared" si="36"/>
        <v>1</v>
      </c>
      <c r="J581" s="8" t="str">
        <f t="shared" si="37"/>
        <v>No</v>
      </c>
      <c r="K581" s="5" t="str">
        <f t="shared" si="38"/>
        <v>No</v>
      </c>
      <c r="L581" s="25">
        <f t="shared" si="39"/>
        <v>80.64705882352942</v>
      </c>
    </row>
    <row r="582" spans="1:12">
      <c r="A582" s="9" t="s">
        <v>993</v>
      </c>
      <c r="B582" s="8">
        <v>12</v>
      </c>
      <c r="C582" s="8" t="s">
        <v>39</v>
      </c>
      <c r="D582" s="8" t="s">
        <v>36</v>
      </c>
      <c r="E582" s="8" t="s">
        <v>147</v>
      </c>
      <c r="F582" s="8">
        <v>109</v>
      </c>
      <c r="G582" s="8">
        <v>50.4</v>
      </c>
      <c r="H582" s="10">
        <v>29.6</v>
      </c>
      <c r="I582" s="8">
        <f t="shared" si="36"/>
        <v>1</v>
      </c>
      <c r="J582" s="8" t="str">
        <f t="shared" si="37"/>
        <v>No</v>
      </c>
      <c r="K582" s="5" t="str">
        <f t="shared" si="38"/>
        <v>No</v>
      </c>
      <c r="L582" s="25">
        <f t="shared" si="39"/>
        <v>42.352941176470587</v>
      </c>
    </row>
    <row r="583" spans="1:12">
      <c r="A583" s="9" t="s">
        <v>994</v>
      </c>
      <c r="B583" s="8">
        <v>24</v>
      </c>
      <c r="C583" s="8" t="s">
        <v>35</v>
      </c>
      <c r="D583" s="8" t="s">
        <v>36</v>
      </c>
      <c r="E583" s="8" t="s">
        <v>300</v>
      </c>
      <c r="F583" s="8">
        <v>202</v>
      </c>
      <c r="G583" s="8">
        <v>79.11</v>
      </c>
      <c r="H583" s="10">
        <v>23.31</v>
      </c>
      <c r="I583" s="8">
        <f t="shared" si="36"/>
        <v>1</v>
      </c>
      <c r="J583" s="8" t="str">
        <f t="shared" si="37"/>
        <v>No</v>
      </c>
      <c r="K583" s="5" t="str">
        <f t="shared" si="38"/>
        <v>No</v>
      </c>
      <c r="L583" s="25">
        <f t="shared" si="39"/>
        <v>66.478991596638664</v>
      </c>
    </row>
    <row r="584" spans="1:12">
      <c r="A584" s="9" t="s">
        <v>995</v>
      </c>
      <c r="B584" s="8">
        <v>12</v>
      </c>
      <c r="C584" s="8" t="s">
        <v>51</v>
      </c>
      <c r="D584" s="8" t="s">
        <v>46</v>
      </c>
      <c r="E584" s="8" t="s">
        <v>525</v>
      </c>
      <c r="F584" s="8">
        <v>344</v>
      </c>
      <c r="G584" s="8">
        <v>0</v>
      </c>
      <c r="H584" s="10">
        <v>18.05</v>
      </c>
      <c r="I584" s="8">
        <f t="shared" si="36"/>
        <v>1</v>
      </c>
      <c r="J584" s="8" t="str">
        <f t="shared" si="37"/>
        <v>No</v>
      </c>
      <c r="K584" s="5" t="str">
        <f t="shared" si="38"/>
        <v>No</v>
      </c>
      <c r="L584" s="25">
        <f t="shared" si="39"/>
        <v>0</v>
      </c>
    </row>
    <row r="585" spans="1:12">
      <c r="A585" s="9" t="s">
        <v>996</v>
      </c>
      <c r="B585" s="8">
        <v>12</v>
      </c>
      <c r="C585" s="8" t="s">
        <v>39</v>
      </c>
      <c r="D585" s="8" t="s">
        <v>56</v>
      </c>
      <c r="E585" s="8" t="s">
        <v>997</v>
      </c>
      <c r="F585" s="8">
        <v>108</v>
      </c>
      <c r="G585" s="8">
        <v>48.69</v>
      </c>
      <c r="H585" s="10">
        <v>31.31</v>
      </c>
      <c r="I585" s="8">
        <f t="shared" si="36"/>
        <v>1</v>
      </c>
      <c r="J585" s="8" t="str">
        <f t="shared" si="37"/>
        <v>No</v>
      </c>
      <c r="K585" s="5" t="str">
        <f t="shared" si="38"/>
        <v>No</v>
      </c>
      <c r="L585" s="25">
        <f t="shared" si="39"/>
        <v>40.915966386554622</v>
      </c>
    </row>
    <row r="586" spans="1:12">
      <c r="A586" s="9" t="s">
        <v>998</v>
      </c>
      <c r="B586" s="8">
        <v>24</v>
      </c>
      <c r="C586" s="8" t="s">
        <v>35</v>
      </c>
      <c r="D586" s="8" t="s">
        <v>36</v>
      </c>
      <c r="E586" s="8" t="s">
        <v>999</v>
      </c>
      <c r="F586" s="8">
        <v>275</v>
      </c>
      <c r="G586" s="8">
        <v>107.87</v>
      </c>
      <c r="H586" s="10">
        <v>25.2</v>
      </c>
      <c r="I586" s="8">
        <f t="shared" si="36"/>
        <v>1</v>
      </c>
      <c r="J586" s="8" t="str">
        <f t="shared" si="37"/>
        <v>No</v>
      </c>
      <c r="K586" s="5" t="str">
        <f t="shared" si="38"/>
        <v>No</v>
      </c>
      <c r="L586" s="25">
        <f t="shared" si="39"/>
        <v>90.64705882352942</v>
      </c>
    </row>
    <row r="587" spans="1:12">
      <c r="A587" s="9" t="s">
        <v>1000</v>
      </c>
      <c r="B587" s="8">
        <v>12</v>
      </c>
      <c r="C587" s="8" t="s">
        <v>39</v>
      </c>
      <c r="D587" s="8" t="s">
        <v>56</v>
      </c>
      <c r="E587" s="8" t="s">
        <v>730</v>
      </c>
      <c r="F587" s="8">
        <v>162</v>
      </c>
      <c r="G587" s="8">
        <v>71.44</v>
      </c>
      <c r="H587" s="10">
        <v>28.42</v>
      </c>
      <c r="I587" s="8">
        <f t="shared" si="36"/>
        <v>1</v>
      </c>
      <c r="J587" s="8" t="str">
        <f t="shared" si="37"/>
        <v>No</v>
      </c>
      <c r="K587" s="5" t="str">
        <f t="shared" si="38"/>
        <v>No</v>
      </c>
      <c r="L587" s="25">
        <f t="shared" si="39"/>
        <v>60.033613445378151</v>
      </c>
    </row>
    <row r="588" spans="1:12">
      <c r="A588" s="9" t="s">
        <v>1001</v>
      </c>
      <c r="B588" s="8">
        <v>12</v>
      </c>
      <c r="C588" s="8" t="s">
        <v>51</v>
      </c>
      <c r="D588" s="8" t="s">
        <v>36</v>
      </c>
      <c r="E588" s="8" t="s">
        <v>1002</v>
      </c>
      <c r="F588" s="8">
        <v>624</v>
      </c>
      <c r="G588" s="8">
        <v>202.33</v>
      </c>
      <c r="H588" s="10">
        <v>21.38</v>
      </c>
      <c r="I588" s="8">
        <f t="shared" si="36"/>
        <v>1</v>
      </c>
      <c r="J588" s="8" t="str">
        <f t="shared" si="37"/>
        <v>No</v>
      </c>
      <c r="K588" s="5" t="str">
        <f t="shared" si="38"/>
        <v>No</v>
      </c>
      <c r="L588" s="25">
        <f t="shared" si="39"/>
        <v>170.02521008403363</v>
      </c>
    </row>
    <row r="589" spans="1:12">
      <c r="A589" s="9" t="s">
        <v>1003</v>
      </c>
      <c r="B589" s="8">
        <v>12</v>
      </c>
      <c r="C589" s="8" t="s">
        <v>39</v>
      </c>
      <c r="D589" s="8" t="s">
        <v>36</v>
      </c>
      <c r="E589" s="8" t="s">
        <v>262</v>
      </c>
      <c r="F589" s="8">
        <v>147</v>
      </c>
      <c r="G589" s="8">
        <v>63.89</v>
      </c>
      <c r="H589" s="10">
        <v>29.86</v>
      </c>
      <c r="I589" s="8">
        <f t="shared" si="36"/>
        <v>1</v>
      </c>
      <c r="J589" s="8" t="str">
        <f t="shared" si="37"/>
        <v>No</v>
      </c>
      <c r="K589" s="5" t="str">
        <f t="shared" si="38"/>
        <v>No</v>
      </c>
      <c r="L589" s="25">
        <f t="shared" si="39"/>
        <v>53.689075630252105</v>
      </c>
    </row>
    <row r="590" spans="1:12">
      <c r="A590" s="9" t="s">
        <v>1004</v>
      </c>
      <c r="B590" s="8">
        <v>12</v>
      </c>
      <c r="C590" s="8" t="s">
        <v>51</v>
      </c>
      <c r="D590" s="8" t="s">
        <v>46</v>
      </c>
      <c r="E590" s="8" t="s">
        <v>1005</v>
      </c>
      <c r="F590" s="8">
        <v>596</v>
      </c>
      <c r="G590" s="8">
        <v>200.42</v>
      </c>
      <c r="H590" s="10">
        <v>17.09</v>
      </c>
      <c r="I590" s="8">
        <f t="shared" si="36"/>
        <v>1</v>
      </c>
      <c r="J590" s="8" t="str">
        <f t="shared" si="37"/>
        <v>No</v>
      </c>
      <c r="K590" s="5" t="str">
        <f t="shared" si="38"/>
        <v>No</v>
      </c>
      <c r="L590" s="25">
        <f t="shared" si="39"/>
        <v>168.42016806722688</v>
      </c>
    </row>
    <row r="591" spans="1:12">
      <c r="A591" s="9" t="s">
        <v>1006</v>
      </c>
      <c r="B591" s="8">
        <v>12</v>
      </c>
      <c r="C591" s="8" t="s">
        <v>35</v>
      </c>
      <c r="D591" s="8" t="s">
        <v>56</v>
      </c>
      <c r="E591" s="8" t="s">
        <v>210</v>
      </c>
      <c r="F591" s="8">
        <v>277</v>
      </c>
      <c r="G591" s="8">
        <v>108.33</v>
      </c>
      <c r="H591" s="10">
        <v>25.92</v>
      </c>
      <c r="I591" s="8">
        <f t="shared" si="36"/>
        <v>1</v>
      </c>
      <c r="J591" s="8" t="str">
        <f t="shared" si="37"/>
        <v>No</v>
      </c>
      <c r="K591" s="5" t="str">
        <f t="shared" si="38"/>
        <v>No</v>
      </c>
      <c r="L591" s="25">
        <f t="shared" si="39"/>
        <v>91.033613445378151</v>
      </c>
    </row>
    <row r="592" spans="1:12">
      <c r="A592" s="9" t="s">
        <v>1007</v>
      </c>
      <c r="B592" s="8">
        <v>12</v>
      </c>
      <c r="C592" s="8" t="s">
        <v>39</v>
      </c>
      <c r="D592" s="8" t="s">
        <v>36</v>
      </c>
      <c r="E592" s="8" t="s">
        <v>112</v>
      </c>
      <c r="F592" s="8">
        <v>105</v>
      </c>
      <c r="G592" s="8">
        <v>47.3</v>
      </c>
      <c r="H592" s="10">
        <v>28.86</v>
      </c>
      <c r="I592" s="8">
        <f t="shared" si="36"/>
        <v>1</v>
      </c>
      <c r="J592" s="8" t="str">
        <f t="shared" si="37"/>
        <v>No</v>
      </c>
      <c r="K592" s="5" t="str">
        <f t="shared" si="38"/>
        <v>No</v>
      </c>
      <c r="L592" s="25">
        <f t="shared" si="39"/>
        <v>39.747899159663866</v>
      </c>
    </row>
    <row r="593" spans="1:12">
      <c r="A593" s="9" t="s">
        <v>1008</v>
      </c>
      <c r="B593" s="8">
        <v>24</v>
      </c>
      <c r="C593" s="8" t="s">
        <v>39</v>
      </c>
      <c r="D593" s="8" t="s">
        <v>56</v>
      </c>
      <c r="E593" s="8" t="s">
        <v>269</v>
      </c>
      <c r="F593" s="8">
        <v>159</v>
      </c>
      <c r="G593" s="8">
        <v>66.45</v>
      </c>
      <c r="H593" s="10">
        <v>30.27</v>
      </c>
      <c r="I593" s="8">
        <f t="shared" si="36"/>
        <v>1</v>
      </c>
      <c r="J593" s="8" t="str">
        <f t="shared" si="37"/>
        <v>No</v>
      </c>
      <c r="K593" s="5" t="str">
        <f t="shared" si="38"/>
        <v>No</v>
      </c>
      <c r="L593" s="25">
        <f t="shared" si="39"/>
        <v>55.840336134453786</v>
      </c>
    </row>
    <row r="594" spans="1:12">
      <c r="A594" s="9" t="s">
        <v>1009</v>
      </c>
      <c r="B594" s="8">
        <v>12</v>
      </c>
      <c r="C594" s="8" t="s">
        <v>39</v>
      </c>
      <c r="D594" s="8" t="s">
        <v>46</v>
      </c>
      <c r="E594" s="8" t="s">
        <v>248</v>
      </c>
      <c r="F594" s="8">
        <v>139</v>
      </c>
      <c r="G594" s="8">
        <v>62.57</v>
      </c>
      <c r="H594" s="10">
        <v>30.38</v>
      </c>
      <c r="I594" s="8">
        <f t="shared" si="36"/>
        <v>1</v>
      </c>
      <c r="J594" s="8" t="str">
        <f t="shared" si="37"/>
        <v>No</v>
      </c>
      <c r="K594" s="5" t="str">
        <f t="shared" si="38"/>
        <v>No</v>
      </c>
      <c r="L594" s="25">
        <f t="shared" si="39"/>
        <v>52.579831932773111</v>
      </c>
    </row>
    <row r="595" spans="1:12">
      <c r="A595" s="9" t="s">
        <v>1010</v>
      </c>
      <c r="B595" s="8">
        <v>12</v>
      </c>
      <c r="C595" s="8" t="s">
        <v>35</v>
      </c>
      <c r="D595" s="8" t="s">
        <v>36</v>
      </c>
      <c r="E595" s="8" t="s">
        <v>801</v>
      </c>
      <c r="F595" s="8">
        <v>260</v>
      </c>
      <c r="G595" s="8">
        <v>97.19</v>
      </c>
      <c r="H595" s="10">
        <v>26.96</v>
      </c>
      <c r="I595" s="8">
        <f t="shared" si="36"/>
        <v>1</v>
      </c>
      <c r="J595" s="8" t="str">
        <f t="shared" si="37"/>
        <v>No</v>
      </c>
      <c r="K595" s="5" t="str">
        <f t="shared" si="38"/>
        <v>No</v>
      </c>
      <c r="L595" s="25">
        <f t="shared" si="39"/>
        <v>81.672268907563023</v>
      </c>
    </row>
    <row r="596" spans="1:12">
      <c r="A596" s="9" t="s">
        <v>1011</v>
      </c>
      <c r="B596" s="8">
        <v>24</v>
      </c>
      <c r="C596" s="8" t="s">
        <v>39</v>
      </c>
      <c r="D596" s="8" t="s">
        <v>36</v>
      </c>
      <c r="E596" s="8" t="s">
        <v>1012</v>
      </c>
      <c r="F596" s="8">
        <v>92</v>
      </c>
      <c r="G596" s="8">
        <v>45.1</v>
      </c>
      <c r="H596" s="10">
        <v>28.13</v>
      </c>
      <c r="I596" s="8">
        <f t="shared" si="36"/>
        <v>1</v>
      </c>
      <c r="J596" s="8" t="str">
        <f t="shared" si="37"/>
        <v>No</v>
      </c>
      <c r="K596" s="5" t="str">
        <f t="shared" si="38"/>
        <v>No</v>
      </c>
      <c r="L596" s="25">
        <f t="shared" si="39"/>
        <v>37.899159663865547</v>
      </c>
    </row>
    <row r="597" spans="1:12">
      <c r="A597" s="9" t="s">
        <v>1013</v>
      </c>
      <c r="B597" s="8">
        <v>12</v>
      </c>
      <c r="C597" s="8" t="s">
        <v>51</v>
      </c>
      <c r="D597" s="8" t="s">
        <v>56</v>
      </c>
      <c r="E597" s="8" t="s">
        <v>166</v>
      </c>
      <c r="F597" s="8">
        <v>482</v>
      </c>
      <c r="G597" s="8">
        <v>163.04</v>
      </c>
      <c r="H597" s="10">
        <v>19.79</v>
      </c>
      <c r="I597" s="8">
        <f t="shared" si="36"/>
        <v>1</v>
      </c>
      <c r="J597" s="8" t="str">
        <f t="shared" si="37"/>
        <v>No</v>
      </c>
      <c r="K597" s="5" t="str">
        <f t="shared" si="38"/>
        <v>No</v>
      </c>
      <c r="L597" s="25">
        <f t="shared" si="39"/>
        <v>137.00840336134453</v>
      </c>
    </row>
    <row r="598" spans="1:12">
      <c r="A598" s="9" t="s">
        <v>1014</v>
      </c>
      <c r="B598" s="8">
        <v>24</v>
      </c>
      <c r="C598" s="8" t="s">
        <v>35</v>
      </c>
      <c r="D598" s="8" t="s">
        <v>36</v>
      </c>
      <c r="E598" s="8" t="s">
        <v>1015</v>
      </c>
      <c r="F598" s="8">
        <v>243</v>
      </c>
      <c r="G598" s="8">
        <v>94.65</v>
      </c>
      <c r="H598" s="10">
        <v>26.13</v>
      </c>
      <c r="I598" s="8">
        <f t="shared" si="36"/>
        <v>1</v>
      </c>
      <c r="J598" s="8" t="str">
        <f t="shared" si="37"/>
        <v>No</v>
      </c>
      <c r="K598" s="5" t="str">
        <f t="shared" si="38"/>
        <v>No</v>
      </c>
      <c r="L598" s="25">
        <f t="shared" si="39"/>
        <v>79.537815126050432</v>
      </c>
    </row>
    <row r="599" spans="1:12">
      <c r="A599" s="9" t="s">
        <v>1016</v>
      </c>
      <c r="B599" s="8">
        <v>12</v>
      </c>
      <c r="C599" s="8" t="s">
        <v>39</v>
      </c>
      <c r="D599" s="8" t="s">
        <v>36</v>
      </c>
      <c r="E599" s="8" t="s">
        <v>748</v>
      </c>
      <c r="F599" s="8">
        <v>156</v>
      </c>
      <c r="G599" s="8">
        <v>64.84</v>
      </c>
      <c r="H599" s="10">
        <v>28.41</v>
      </c>
      <c r="I599" s="8">
        <f t="shared" si="36"/>
        <v>1</v>
      </c>
      <c r="J599" s="8" t="str">
        <f t="shared" si="37"/>
        <v>No</v>
      </c>
      <c r="K599" s="5" t="str">
        <f t="shared" si="38"/>
        <v>No</v>
      </c>
      <c r="L599" s="25">
        <f t="shared" si="39"/>
        <v>54.487394957983199</v>
      </c>
    </row>
    <row r="600" spans="1:12">
      <c r="A600" s="9" t="s">
        <v>1017</v>
      </c>
      <c r="B600" s="8">
        <v>12</v>
      </c>
      <c r="C600" s="8" t="s">
        <v>35</v>
      </c>
      <c r="D600" s="8" t="s">
        <v>36</v>
      </c>
      <c r="E600" s="8" t="s">
        <v>691</v>
      </c>
      <c r="F600" s="8">
        <v>258</v>
      </c>
      <c r="G600" s="8">
        <v>96.41</v>
      </c>
      <c r="H600" s="10">
        <v>22.69</v>
      </c>
      <c r="I600" s="8">
        <f t="shared" si="36"/>
        <v>1</v>
      </c>
      <c r="J600" s="8" t="str">
        <f t="shared" si="37"/>
        <v>No</v>
      </c>
      <c r="K600" s="5" t="str">
        <f t="shared" si="38"/>
        <v>No</v>
      </c>
      <c r="L600" s="25">
        <f t="shared" si="39"/>
        <v>81.016806722689083</v>
      </c>
    </row>
    <row r="601" spans="1:12">
      <c r="A601" s="9" t="s">
        <v>1018</v>
      </c>
      <c r="B601" s="8">
        <v>12</v>
      </c>
      <c r="C601" s="8" t="s">
        <v>35</v>
      </c>
      <c r="D601" s="8" t="s">
        <v>56</v>
      </c>
      <c r="E601" s="8" t="s">
        <v>181</v>
      </c>
      <c r="F601" s="8">
        <v>230</v>
      </c>
      <c r="G601" s="8">
        <v>88.43</v>
      </c>
      <c r="H601" s="10">
        <v>24.27</v>
      </c>
      <c r="I601" s="8">
        <f t="shared" si="36"/>
        <v>1</v>
      </c>
      <c r="J601" s="8" t="str">
        <f t="shared" si="37"/>
        <v>No</v>
      </c>
      <c r="K601" s="5" t="str">
        <f t="shared" si="38"/>
        <v>No</v>
      </c>
      <c r="L601" s="25">
        <f t="shared" si="39"/>
        <v>74.310924369747909</v>
      </c>
    </row>
    <row r="602" spans="1:12">
      <c r="A602" s="9" t="s">
        <v>1019</v>
      </c>
      <c r="B602" s="8">
        <v>12</v>
      </c>
      <c r="C602" s="8" t="s">
        <v>39</v>
      </c>
      <c r="D602" s="8" t="s">
        <v>46</v>
      </c>
      <c r="E602" s="8" t="s">
        <v>1020</v>
      </c>
      <c r="F602" s="8">
        <v>165</v>
      </c>
      <c r="G602" s="8">
        <v>66.88</v>
      </c>
      <c r="H602" s="10">
        <v>29.19</v>
      </c>
      <c r="I602" s="8">
        <f t="shared" si="36"/>
        <v>1</v>
      </c>
      <c r="J602" s="8" t="str">
        <f t="shared" si="37"/>
        <v>No</v>
      </c>
      <c r="K602" s="5" t="str">
        <f t="shared" si="38"/>
        <v>No</v>
      </c>
      <c r="L602" s="25">
        <f t="shared" si="39"/>
        <v>56.201680672268907</v>
      </c>
    </row>
    <row r="603" spans="1:12">
      <c r="A603" s="9" t="s">
        <v>1021</v>
      </c>
      <c r="B603" s="8">
        <v>12</v>
      </c>
      <c r="C603" s="8" t="s">
        <v>39</v>
      </c>
      <c r="D603" s="8" t="s">
        <v>46</v>
      </c>
      <c r="E603" s="8" t="s">
        <v>1022</v>
      </c>
      <c r="F603" s="8">
        <v>92</v>
      </c>
      <c r="G603" s="8">
        <v>47.46</v>
      </c>
      <c r="H603" s="10">
        <v>31.75</v>
      </c>
      <c r="I603" s="8">
        <f t="shared" si="36"/>
        <v>1</v>
      </c>
      <c r="J603" s="8" t="str">
        <f t="shared" si="37"/>
        <v>No</v>
      </c>
      <c r="K603" s="5" t="str">
        <f t="shared" si="38"/>
        <v>No</v>
      </c>
      <c r="L603" s="25">
        <f t="shared" si="39"/>
        <v>39.882352941176471</v>
      </c>
    </row>
    <row r="604" spans="1:12">
      <c r="A604" s="9" t="s">
        <v>1023</v>
      </c>
      <c r="B604" s="8">
        <v>12</v>
      </c>
      <c r="C604" s="8" t="s">
        <v>39</v>
      </c>
      <c r="D604" s="8" t="s">
        <v>36</v>
      </c>
      <c r="E604" s="8" t="s">
        <v>1024</v>
      </c>
      <c r="F604" s="8">
        <v>118</v>
      </c>
      <c r="G604" s="8">
        <v>57.41</v>
      </c>
      <c r="H604" s="10">
        <v>31.27</v>
      </c>
      <c r="I604" s="8">
        <f t="shared" si="36"/>
        <v>1</v>
      </c>
      <c r="J604" s="8" t="str">
        <f t="shared" si="37"/>
        <v>No</v>
      </c>
      <c r="K604" s="5" t="str">
        <f t="shared" si="38"/>
        <v>No</v>
      </c>
      <c r="L604" s="25">
        <f t="shared" si="39"/>
        <v>48.243697478991599</v>
      </c>
    </row>
    <row r="605" spans="1:12">
      <c r="A605" s="9" t="s">
        <v>1025</v>
      </c>
      <c r="B605" s="8">
        <v>12</v>
      </c>
      <c r="C605" s="8" t="s">
        <v>35</v>
      </c>
      <c r="D605" s="8" t="s">
        <v>46</v>
      </c>
      <c r="E605" s="8" t="s">
        <v>1026</v>
      </c>
      <c r="F605" s="8">
        <v>45363</v>
      </c>
      <c r="G605" s="8">
        <v>67.87</v>
      </c>
      <c r="H605" s="10">
        <v>25.93</v>
      </c>
      <c r="I605" s="8">
        <f t="shared" si="36"/>
        <v>1</v>
      </c>
      <c r="J605" s="8" t="str">
        <f t="shared" si="37"/>
        <v>No</v>
      </c>
      <c r="K605" s="5" t="str">
        <f t="shared" si="38"/>
        <v>No</v>
      </c>
      <c r="L605" s="25">
        <f t="shared" si="39"/>
        <v>57.033613445378158</v>
      </c>
    </row>
    <row r="606" spans="1:12">
      <c r="A606" s="9" t="s">
        <v>1027</v>
      </c>
      <c r="B606" s="8">
        <v>12</v>
      </c>
      <c r="C606" s="8" t="s">
        <v>35</v>
      </c>
      <c r="D606" s="8" t="s">
        <v>46</v>
      </c>
      <c r="E606" s="8" t="s">
        <v>1028</v>
      </c>
      <c r="F606" s="8">
        <v>290</v>
      </c>
      <c r="G606" s="8">
        <v>110.32</v>
      </c>
      <c r="H606" s="10">
        <v>23.04</v>
      </c>
      <c r="I606" s="8">
        <f t="shared" si="36"/>
        <v>1</v>
      </c>
      <c r="J606" s="8" t="str">
        <f t="shared" si="37"/>
        <v>No</v>
      </c>
      <c r="K606" s="5" t="str">
        <f t="shared" si="38"/>
        <v>No</v>
      </c>
      <c r="L606" s="25">
        <f t="shared" si="39"/>
        <v>92.705882352941174</v>
      </c>
    </row>
    <row r="607" spans="1:12">
      <c r="A607" s="9" t="s">
        <v>1029</v>
      </c>
      <c r="B607" s="8">
        <v>12</v>
      </c>
      <c r="C607" s="8" t="s">
        <v>35</v>
      </c>
      <c r="D607" s="8" t="s">
        <v>56</v>
      </c>
      <c r="E607" s="8" t="s">
        <v>792</v>
      </c>
      <c r="F607" s="8">
        <v>319</v>
      </c>
      <c r="G607" s="8">
        <v>124.73</v>
      </c>
      <c r="H607" s="10">
        <v>25.88</v>
      </c>
      <c r="I607" s="8">
        <f t="shared" si="36"/>
        <v>1</v>
      </c>
      <c r="J607" s="8" t="str">
        <f t="shared" si="37"/>
        <v>No</v>
      </c>
      <c r="K607" s="5" t="str">
        <f t="shared" si="38"/>
        <v>No</v>
      </c>
      <c r="L607" s="25">
        <f t="shared" si="39"/>
        <v>104.81512605042018</v>
      </c>
    </row>
    <row r="608" spans="1:12">
      <c r="A608" s="9" t="s">
        <v>1030</v>
      </c>
      <c r="B608" s="8">
        <v>12</v>
      </c>
      <c r="C608" s="8" t="s">
        <v>51</v>
      </c>
      <c r="D608" s="8" t="s">
        <v>56</v>
      </c>
      <c r="E608" s="8" t="s">
        <v>805</v>
      </c>
      <c r="F608" s="8">
        <v>426</v>
      </c>
      <c r="G608" s="8">
        <v>151.36000000000001</v>
      </c>
      <c r="H608" s="10">
        <v>18.66</v>
      </c>
      <c r="I608" s="8">
        <f t="shared" si="36"/>
        <v>1</v>
      </c>
      <c r="J608" s="8" t="str">
        <f t="shared" si="37"/>
        <v>No</v>
      </c>
      <c r="K608" s="5" t="str">
        <f t="shared" si="38"/>
        <v>No</v>
      </c>
      <c r="L608" s="25">
        <f t="shared" si="39"/>
        <v>127.19327731092439</v>
      </c>
    </row>
    <row r="609" spans="1:12">
      <c r="A609" s="9" t="s">
        <v>1031</v>
      </c>
      <c r="B609" s="8">
        <v>12</v>
      </c>
      <c r="C609" s="8" t="s">
        <v>51</v>
      </c>
      <c r="D609" s="8" t="s">
        <v>36</v>
      </c>
      <c r="E609" s="8" t="s">
        <v>164</v>
      </c>
      <c r="F609" s="8">
        <v>620</v>
      </c>
      <c r="G609" s="8">
        <v>196.36</v>
      </c>
      <c r="H609" s="10">
        <v>18.239999999999998</v>
      </c>
      <c r="I609" s="8">
        <f t="shared" si="36"/>
        <v>1</v>
      </c>
      <c r="J609" s="8" t="str">
        <f t="shared" si="37"/>
        <v>No</v>
      </c>
      <c r="K609" s="5" t="str">
        <f t="shared" si="38"/>
        <v>No</v>
      </c>
      <c r="L609" s="25">
        <f t="shared" si="39"/>
        <v>165.00840336134456</v>
      </c>
    </row>
    <row r="610" spans="1:12">
      <c r="A610" s="9" t="s">
        <v>1032</v>
      </c>
      <c r="B610" s="8">
        <v>12</v>
      </c>
      <c r="C610" s="8" t="s">
        <v>35</v>
      </c>
      <c r="D610" s="8" t="s">
        <v>46</v>
      </c>
      <c r="E610" s="8" t="s">
        <v>95</v>
      </c>
      <c r="F610" s="8">
        <v>216</v>
      </c>
      <c r="G610" s="8">
        <v>86.36</v>
      </c>
      <c r="H610" s="10">
        <v>22.2</v>
      </c>
      <c r="I610" s="8">
        <f t="shared" si="36"/>
        <v>1</v>
      </c>
      <c r="J610" s="8" t="str">
        <f t="shared" si="37"/>
        <v>No</v>
      </c>
      <c r="K610" s="5" t="str">
        <f t="shared" si="38"/>
        <v>No</v>
      </c>
      <c r="L610" s="25">
        <f t="shared" si="39"/>
        <v>72.571428571428569</v>
      </c>
    </row>
    <row r="611" spans="1:12">
      <c r="A611" s="9" t="s">
        <v>1033</v>
      </c>
      <c r="B611" s="8">
        <v>24</v>
      </c>
      <c r="C611" s="8" t="s">
        <v>51</v>
      </c>
      <c r="D611" s="8" t="s">
        <v>36</v>
      </c>
      <c r="E611" s="8" t="s">
        <v>898</v>
      </c>
      <c r="F611" s="8">
        <v>637</v>
      </c>
      <c r="G611" s="8">
        <v>210.15</v>
      </c>
      <c r="H611" s="10">
        <v>16.760000000000002</v>
      </c>
      <c r="I611" s="8">
        <f t="shared" si="36"/>
        <v>1</v>
      </c>
      <c r="J611" s="8" t="str">
        <f t="shared" si="37"/>
        <v>No</v>
      </c>
      <c r="K611" s="5" t="str">
        <f t="shared" si="38"/>
        <v>No</v>
      </c>
      <c r="L611" s="25">
        <f t="shared" si="39"/>
        <v>176.59663865546219</v>
      </c>
    </row>
    <row r="612" spans="1:12">
      <c r="A612" s="9" t="s">
        <v>1034</v>
      </c>
      <c r="B612" s="8">
        <v>12</v>
      </c>
      <c r="C612" s="8" t="s">
        <v>39</v>
      </c>
      <c r="D612" s="8" t="s">
        <v>36</v>
      </c>
      <c r="E612" s="8" t="s">
        <v>789</v>
      </c>
      <c r="F612" s="8">
        <v>146</v>
      </c>
      <c r="G612" s="8">
        <v>63.32</v>
      </c>
      <c r="H612" s="10">
        <v>32.770000000000003</v>
      </c>
      <c r="I612" s="8">
        <f t="shared" si="36"/>
        <v>1</v>
      </c>
      <c r="J612" s="8" t="str">
        <f t="shared" si="37"/>
        <v>No</v>
      </c>
      <c r="K612" s="5" t="str">
        <f t="shared" si="38"/>
        <v>No</v>
      </c>
      <c r="L612" s="25">
        <f t="shared" si="39"/>
        <v>53.210084033613448</v>
      </c>
    </row>
    <row r="613" spans="1:12">
      <c r="A613" s="9" t="s">
        <v>1035</v>
      </c>
      <c r="B613" s="8">
        <v>24</v>
      </c>
      <c r="C613" s="8" t="s">
        <v>39</v>
      </c>
      <c r="D613" s="8" t="s">
        <v>36</v>
      </c>
      <c r="E613" s="8" t="s">
        <v>170</v>
      </c>
      <c r="F613" s="8">
        <v>151</v>
      </c>
      <c r="G613" s="8">
        <v>61.34</v>
      </c>
      <c r="H613" s="10">
        <v>29.83</v>
      </c>
      <c r="I613" s="8">
        <f t="shared" si="36"/>
        <v>1</v>
      </c>
      <c r="J613" s="8" t="str">
        <f t="shared" si="37"/>
        <v>No</v>
      </c>
      <c r="K613" s="5" t="str">
        <f t="shared" si="38"/>
        <v>No</v>
      </c>
      <c r="L613" s="25">
        <f t="shared" si="39"/>
        <v>51.546218487394967</v>
      </c>
    </row>
    <row r="614" spans="1:12">
      <c r="A614" s="9" t="s">
        <v>1036</v>
      </c>
      <c r="B614" s="8">
        <v>24</v>
      </c>
      <c r="C614" s="8" t="s">
        <v>39</v>
      </c>
      <c r="D614" s="8" t="s">
        <v>36</v>
      </c>
      <c r="E614" s="8" t="s">
        <v>918</v>
      </c>
      <c r="F614" s="8">
        <v>84</v>
      </c>
      <c r="G614" s="8">
        <v>42.65</v>
      </c>
      <c r="H614" s="10">
        <v>28.91</v>
      </c>
      <c r="I614" s="8">
        <f t="shared" si="36"/>
        <v>1</v>
      </c>
      <c r="J614" s="8" t="str">
        <f t="shared" si="37"/>
        <v>No</v>
      </c>
      <c r="K614" s="5" t="str">
        <f t="shared" si="38"/>
        <v>No</v>
      </c>
      <c r="L614" s="25">
        <f t="shared" si="39"/>
        <v>35.840336134453779</v>
      </c>
    </row>
    <row r="615" spans="1:12">
      <c r="A615" s="9" t="s">
        <v>1037</v>
      </c>
      <c r="B615" s="8">
        <v>12</v>
      </c>
      <c r="C615" s="8" t="s">
        <v>39</v>
      </c>
      <c r="D615" s="8" t="s">
        <v>36</v>
      </c>
      <c r="E615" s="8" t="s">
        <v>1038</v>
      </c>
      <c r="F615" s="8">
        <v>164</v>
      </c>
      <c r="G615" s="8">
        <v>65.03</v>
      </c>
      <c r="H615" s="10">
        <v>32.46</v>
      </c>
      <c r="I615" s="8">
        <f t="shared" si="36"/>
        <v>1</v>
      </c>
      <c r="J615" s="8" t="str">
        <f t="shared" si="37"/>
        <v>No</v>
      </c>
      <c r="K615" s="5" t="str">
        <f t="shared" si="38"/>
        <v>No</v>
      </c>
      <c r="L615" s="25">
        <f t="shared" si="39"/>
        <v>54.647058823529413</v>
      </c>
    </row>
    <row r="616" spans="1:12">
      <c r="A616" s="9" t="s">
        <v>1039</v>
      </c>
      <c r="B616" s="8">
        <v>24</v>
      </c>
      <c r="C616" s="8" t="s">
        <v>35</v>
      </c>
      <c r="D616" s="8" t="s">
        <v>46</v>
      </c>
      <c r="E616" s="8" t="s">
        <v>189</v>
      </c>
      <c r="F616" s="8">
        <v>288</v>
      </c>
      <c r="G616" s="8">
        <v>104.73</v>
      </c>
      <c r="H616" s="10">
        <v>23.01</v>
      </c>
      <c r="I616" s="8">
        <f t="shared" si="36"/>
        <v>1</v>
      </c>
      <c r="J616" s="8" t="str">
        <f t="shared" si="37"/>
        <v>No</v>
      </c>
      <c r="K616" s="5" t="str">
        <f t="shared" si="38"/>
        <v>No</v>
      </c>
      <c r="L616" s="25">
        <f t="shared" si="39"/>
        <v>88.008403361344548</v>
      </c>
    </row>
    <row r="617" spans="1:12">
      <c r="A617" s="9" t="s">
        <v>1040</v>
      </c>
      <c r="B617" s="8">
        <v>24</v>
      </c>
      <c r="C617" s="8" t="s">
        <v>51</v>
      </c>
      <c r="D617" s="8" t="s">
        <v>36</v>
      </c>
      <c r="E617" s="8" t="s">
        <v>149</v>
      </c>
      <c r="F617" s="8">
        <v>435</v>
      </c>
      <c r="G617" s="8">
        <v>145.63</v>
      </c>
      <c r="H617" s="10">
        <v>19.39</v>
      </c>
      <c r="I617" s="8">
        <f t="shared" si="36"/>
        <v>1</v>
      </c>
      <c r="J617" s="8" t="str">
        <f t="shared" si="37"/>
        <v>No</v>
      </c>
      <c r="K617" s="5" t="str">
        <f t="shared" si="38"/>
        <v>No</v>
      </c>
      <c r="L617" s="25">
        <f t="shared" si="39"/>
        <v>122.3781512605042</v>
      </c>
    </row>
    <row r="618" spans="1:12">
      <c r="A618" s="9" t="s">
        <v>1041</v>
      </c>
      <c r="B618" s="8">
        <v>12</v>
      </c>
      <c r="C618" s="8" t="s">
        <v>39</v>
      </c>
      <c r="D618" s="8" t="s">
        <v>46</v>
      </c>
      <c r="E618" s="8" t="s">
        <v>1042</v>
      </c>
      <c r="F618" s="8">
        <v>153</v>
      </c>
      <c r="G618" s="8">
        <v>66.489999999999995</v>
      </c>
      <c r="H618" s="10">
        <v>29.44</v>
      </c>
      <c r="I618" s="8">
        <f t="shared" si="36"/>
        <v>1</v>
      </c>
      <c r="J618" s="8" t="str">
        <f t="shared" si="37"/>
        <v>No</v>
      </c>
      <c r="K618" s="5" t="str">
        <f t="shared" si="38"/>
        <v>No</v>
      </c>
      <c r="L618" s="25">
        <f t="shared" si="39"/>
        <v>55.87394957983193</v>
      </c>
    </row>
    <row r="619" spans="1:12">
      <c r="A619" s="9" t="s">
        <v>1043</v>
      </c>
      <c r="B619" s="8">
        <v>12</v>
      </c>
      <c r="C619" s="8" t="s">
        <v>39</v>
      </c>
      <c r="D619" s="8" t="s">
        <v>36</v>
      </c>
      <c r="E619" s="8" t="s">
        <v>88</v>
      </c>
      <c r="F619" s="8">
        <v>107</v>
      </c>
      <c r="G619" s="8">
        <v>49.87</v>
      </c>
      <c r="H619" s="10">
        <v>31.29</v>
      </c>
      <c r="I619" s="8">
        <f t="shared" si="36"/>
        <v>1</v>
      </c>
      <c r="J619" s="8" t="str">
        <f t="shared" si="37"/>
        <v>No</v>
      </c>
      <c r="K619" s="5" t="str">
        <f t="shared" si="38"/>
        <v>No</v>
      </c>
      <c r="L619" s="25">
        <f t="shared" si="39"/>
        <v>41.907563025210081</v>
      </c>
    </row>
    <row r="620" spans="1:12">
      <c r="A620" s="9" t="s">
        <v>1044</v>
      </c>
      <c r="B620" s="8">
        <v>24</v>
      </c>
      <c r="C620" s="8" t="s">
        <v>35</v>
      </c>
      <c r="D620" s="8" t="s">
        <v>36</v>
      </c>
      <c r="E620" s="8" t="s">
        <v>1045</v>
      </c>
      <c r="F620" s="8">
        <v>312</v>
      </c>
      <c r="G620" s="8">
        <v>115.44</v>
      </c>
      <c r="H620" s="10">
        <v>25.28</v>
      </c>
      <c r="I620" s="8">
        <f t="shared" si="36"/>
        <v>1</v>
      </c>
      <c r="J620" s="8" t="str">
        <f t="shared" si="37"/>
        <v>No</v>
      </c>
      <c r="K620" s="5" t="str">
        <f t="shared" si="38"/>
        <v>No</v>
      </c>
      <c r="L620" s="25">
        <f t="shared" si="39"/>
        <v>97.008403361344534</v>
      </c>
    </row>
    <row r="621" spans="1:12">
      <c r="A621" s="9" t="s">
        <v>1046</v>
      </c>
      <c r="B621" s="8">
        <v>24</v>
      </c>
      <c r="C621" s="8" t="s">
        <v>51</v>
      </c>
      <c r="D621" s="8" t="s">
        <v>46</v>
      </c>
      <c r="E621" s="8" t="s">
        <v>1047</v>
      </c>
      <c r="F621" s="8">
        <v>371</v>
      </c>
      <c r="G621" s="8">
        <v>132.66999999999999</v>
      </c>
      <c r="H621" s="10">
        <v>18.89</v>
      </c>
      <c r="I621" s="8">
        <f t="shared" si="36"/>
        <v>1</v>
      </c>
      <c r="J621" s="8" t="str">
        <f t="shared" si="37"/>
        <v>No</v>
      </c>
      <c r="K621" s="5" t="str">
        <f t="shared" si="38"/>
        <v>No</v>
      </c>
      <c r="L621" s="25">
        <f t="shared" si="39"/>
        <v>111.48739495798318</v>
      </c>
    </row>
    <row r="622" spans="1:12">
      <c r="A622" s="9" t="s">
        <v>1048</v>
      </c>
      <c r="B622" s="8">
        <v>12</v>
      </c>
      <c r="C622" s="8" t="s">
        <v>39</v>
      </c>
      <c r="D622" s="8" t="s">
        <v>36</v>
      </c>
      <c r="E622" s="8" t="s">
        <v>1049</v>
      </c>
      <c r="F622" s="8">
        <v>142</v>
      </c>
      <c r="G622" s="8">
        <v>62.13</v>
      </c>
      <c r="H622" s="10">
        <v>29.4</v>
      </c>
      <c r="I622" s="8">
        <f t="shared" si="36"/>
        <v>1</v>
      </c>
      <c r="J622" s="8" t="str">
        <f t="shared" si="37"/>
        <v>No</v>
      </c>
      <c r="K622" s="5" t="str">
        <f t="shared" si="38"/>
        <v>No</v>
      </c>
      <c r="L622" s="25">
        <f t="shared" si="39"/>
        <v>52.210084033613448</v>
      </c>
    </row>
    <row r="623" spans="1:12">
      <c r="A623" s="9" t="s">
        <v>1050</v>
      </c>
      <c r="B623" s="8">
        <v>12</v>
      </c>
      <c r="C623" s="8" t="s">
        <v>35</v>
      </c>
      <c r="D623" s="8" t="s">
        <v>36</v>
      </c>
      <c r="E623" s="8" t="s">
        <v>327</v>
      </c>
      <c r="F623" s="8">
        <v>257</v>
      </c>
      <c r="G623" s="8">
        <v>98.98</v>
      </c>
      <c r="H623" s="10">
        <v>23.45</v>
      </c>
      <c r="I623" s="8">
        <f t="shared" si="36"/>
        <v>1</v>
      </c>
      <c r="J623" s="8" t="str">
        <f t="shared" si="37"/>
        <v>No</v>
      </c>
      <c r="K623" s="5" t="str">
        <f t="shared" si="38"/>
        <v>No</v>
      </c>
      <c r="L623" s="25">
        <f t="shared" si="39"/>
        <v>83.176470588235304</v>
      </c>
    </row>
    <row r="624" spans="1:12">
      <c r="A624" s="9" t="s">
        <v>1051</v>
      </c>
      <c r="B624" s="8">
        <v>12</v>
      </c>
      <c r="C624" s="8" t="s">
        <v>39</v>
      </c>
      <c r="D624" s="8" t="s">
        <v>46</v>
      </c>
      <c r="E624" s="8" t="s">
        <v>1052</v>
      </c>
      <c r="F624" s="8">
        <v>91</v>
      </c>
      <c r="G624" s="8">
        <v>44.99</v>
      </c>
      <c r="H624" s="10">
        <v>31.22</v>
      </c>
      <c r="I624" s="8">
        <f t="shared" si="36"/>
        <v>1</v>
      </c>
      <c r="J624" s="8" t="str">
        <f t="shared" si="37"/>
        <v>No</v>
      </c>
      <c r="K624" s="5" t="str">
        <f t="shared" si="38"/>
        <v>No</v>
      </c>
      <c r="L624" s="25">
        <f t="shared" si="39"/>
        <v>37.806722689075634</v>
      </c>
    </row>
    <row r="625" spans="1:12">
      <c r="A625" s="9" t="s">
        <v>1053</v>
      </c>
      <c r="B625" s="8">
        <v>12</v>
      </c>
      <c r="C625" s="8" t="s">
        <v>39</v>
      </c>
      <c r="D625" s="8" t="s">
        <v>36</v>
      </c>
      <c r="E625" s="8" t="s">
        <v>296</v>
      </c>
      <c r="F625" s="8">
        <v>103</v>
      </c>
      <c r="G625" s="8">
        <v>48.44</v>
      </c>
      <c r="H625" s="10">
        <v>29.31</v>
      </c>
      <c r="I625" s="8">
        <f t="shared" si="36"/>
        <v>1</v>
      </c>
      <c r="J625" s="8" t="str">
        <f t="shared" si="37"/>
        <v>No</v>
      </c>
      <c r="K625" s="5" t="str">
        <f t="shared" si="38"/>
        <v>No</v>
      </c>
      <c r="L625" s="25">
        <f t="shared" si="39"/>
        <v>40.705882352941174</v>
      </c>
    </row>
    <row r="626" spans="1:12">
      <c r="A626" s="9" t="s">
        <v>1054</v>
      </c>
      <c r="B626" s="8">
        <v>24</v>
      </c>
      <c r="C626" s="8" t="s">
        <v>51</v>
      </c>
      <c r="D626" s="8" t="s">
        <v>36</v>
      </c>
      <c r="E626" s="8" t="s">
        <v>1055</v>
      </c>
      <c r="F626" s="8">
        <v>337</v>
      </c>
      <c r="G626" s="8">
        <v>123.32</v>
      </c>
      <c r="H626" s="10">
        <v>17.55</v>
      </c>
      <c r="I626" s="8">
        <f t="shared" si="36"/>
        <v>1</v>
      </c>
      <c r="J626" s="8" t="str">
        <f t="shared" si="37"/>
        <v>No</v>
      </c>
      <c r="K626" s="5" t="str">
        <f t="shared" si="38"/>
        <v>No</v>
      </c>
      <c r="L626" s="25">
        <f t="shared" si="39"/>
        <v>103.63025210084034</v>
      </c>
    </row>
    <row r="627" spans="1:12">
      <c r="A627" s="9" t="s">
        <v>1056</v>
      </c>
      <c r="B627" s="8">
        <v>12</v>
      </c>
      <c r="C627" s="8" t="s">
        <v>51</v>
      </c>
      <c r="D627" s="8" t="s">
        <v>36</v>
      </c>
      <c r="E627" s="8" t="s">
        <v>374</v>
      </c>
      <c r="F627" s="8">
        <v>490</v>
      </c>
      <c r="G627" s="8">
        <v>166.96</v>
      </c>
      <c r="H627" s="10">
        <v>16.920000000000002</v>
      </c>
      <c r="I627" s="8">
        <f t="shared" si="36"/>
        <v>1</v>
      </c>
      <c r="J627" s="8" t="str">
        <f t="shared" si="37"/>
        <v>No</v>
      </c>
      <c r="K627" s="5" t="str">
        <f t="shared" si="38"/>
        <v>No</v>
      </c>
      <c r="L627" s="25">
        <f t="shared" si="39"/>
        <v>140.30252100840337</v>
      </c>
    </row>
    <row r="628" spans="1:12">
      <c r="A628" s="9" t="s">
        <v>1057</v>
      </c>
      <c r="B628" s="8">
        <v>12</v>
      </c>
      <c r="C628" s="8" t="s">
        <v>39</v>
      </c>
      <c r="D628" s="8" t="s">
        <v>56</v>
      </c>
      <c r="E628" s="8" t="s">
        <v>281</v>
      </c>
      <c r="F628" s="8">
        <v>108</v>
      </c>
      <c r="G628" s="8">
        <v>51.56</v>
      </c>
      <c r="H628" s="10">
        <v>31.87</v>
      </c>
      <c r="I628" s="8">
        <f t="shared" si="36"/>
        <v>1</v>
      </c>
      <c r="J628" s="8" t="str">
        <f t="shared" si="37"/>
        <v>No</v>
      </c>
      <c r="K628" s="5" t="str">
        <f t="shared" si="38"/>
        <v>No</v>
      </c>
      <c r="L628" s="25">
        <f t="shared" si="39"/>
        <v>43.327731092436977</v>
      </c>
    </row>
    <row r="629" spans="1:12">
      <c r="A629" s="9" t="s">
        <v>1058</v>
      </c>
      <c r="B629" s="8">
        <v>24</v>
      </c>
      <c r="C629" s="8" t="s">
        <v>51</v>
      </c>
      <c r="D629" s="8" t="s">
        <v>46</v>
      </c>
      <c r="E629" s="8" t="s">
        <v>1059</v>
      </c>
      <c r="F629" s="8">
        <v>533</v>
      </c>
      <c r="G629" s="8">
        <v>178.72</v>
      </c>
      <c r="H629" s="10">
        <v>18.91</v>
      </c>
      <c r="I629" s="8">
        <f t="shared" si="36"/>
        <v>1</v>
      </c>
      <c r="J629" s="8" t="str">
        <f t="shared" si="37"/>
        <v>No</v>
      </c>
      <c r="K629" s="5" t="str">
        <f t="shared" si="38"/>
        <v>No</v>
      </c>
      <c r="L629" s="25">
        <f t="shared" si="39"/>
        <v>150.18487394957984</v>
      </c>
    </row>
    <row r="630" spans="1:12">
      <c r="A630" s="9" t="s">
        <v>1060</v>
      </c>
      <c r="B630" s="8">
        <v>12</v>
      </c>
      <c r="C630" s="8" t="s">
        <v>35</v>
      </c>
      <c r="D630" s="8" t="s">
        <v>46</v>
      </c>
      <c r="E630" s="8" t="s">
        <v>1061</v>
      </c>
      <c r="F630" s="8">
        <v>216</v>
      </c>
      <c r="G630" s="8">
        <v>85.97</v>
      </c>
      <c r="H630" s="10">
        <v>27.36</v>
      </c>
      <c r="I630" s="8">
        <f t="shared" si="36"/>
        <v>1</v>
      </c>
      <c r="J630" s="8" t="str">
        <f t="shared" si="37"/>
        <v>No</v>
      </c>
      <c r="K630" s="5" t="str">
        <f t="shared" si="38"/>
        <v>No</v>
      </c>
      <c r="L630" s="25">
        <f t="shared" si="39"/>
        <v>72.243697478991592</v>
      </c>
    </row>
    <row r="631" spans="1:12">
      <c r="A631" s="9" t="s">
        <v>1062</v>
      </c>
      <c r="B631" s="8">
        <v>12</v>
      </c>
      <c r="C631" s="8" t="s">
        <v>51</v>
      </c>
      <c r="D631" s="8" t="s">
        <v>46</v>
      </c>
      <c r="E631" s="8" t="s">
        <v>1063</v>
      </c>
      <c r="F631" s="8">
        <v>433</v>
      </c>
      <c r="G631" s="8">
        <v>147.11000000000001</v>
      </c>
      <c r="H631" s="10">
        <v>19.61</v>
      </c>
      <c r="I631" s="8">
        <f t="shared" si="36"/>
        <v>1</v>
      </c>
      <c r="J631" s="8" t="str">
        <f t="shared" si="37"/>
        <v>No</v>
      </c>
      <c r="K631" s="5" t="str">
        <f t="shared" si="38"/>
        <v>No</v>
      </c>
      <c r="L631" s="25">
        <f t="shared" si="39"/>
        <v>123.62184873949582</v>
      </c>
    </row>
    <row r="632" spans="1:12">
      <c r="A632" s="9" t="s">
        <v>1064</v>
      </c>
      <c r="B632" s="8">
        <v>24</v>
      </c>
      <c r="C632" s="8" t="s">
        <v>35</v>
      </c>
      <c r="D632" s="8" t="s">
        <v>36</v>
      </c>
      <c r="E632" s="8" t="s">
        <v>1065</v>
      </c>
      <c r="F632" s="8">
        <v>290</v>
      </c>
      <c r="G632" s="8">
        <v>106.96</v>
      </c>
      <c r="H632" s="10">
        <v>23.52</v>
      </c>
      <c r="I632" s="8">
        <f t="shared" si="36"/>
        <v>1</v>
      </c>
      <c r="J632" s="8" t="str">
        <f t="shared" si="37"/>
        <v>No</v>
      </c>
      <c r="K632" s="5" t="str">
        <f t="shared" si="38"/>
        <v>No</v>
      </c>
      <c r="L632" s="25">
        <f t="shared" si="39"/>
        <v>89.882352941176464</v>
      </c>
    </row>
    <row r="633" spans="1:12">
      <c r="A633" s="9" t="s">
        <v>1066</v>
      </c>
      <c r="B633" s="8">
        <v>24</v>
      </c>
      <c r="C633" s="8" t="s">
        <v>35</v>
      </c>
      <c r="D633" s="8" t="s">
        <v>36</v>
      </c>
      <c r="E633" s="8" t="s">
        <v>1067</v>
      </c>
      <c r="F633" s="8">
        <v>175</v>
      </c>
      <c r="G633" s="8">
        <v>68.12</v>
      </c>
      <c r="H633" s="10">
        <v>25.23</v>
      </c>
      <c r="I633" s="8">
        <f t="shared" si="36"/>
        <v>1</v>
      </c>
      <c r="J633" s="8" t="str">
        <f t="shared" si="37"/>
        <v>No</v>
      </c>
      <c r="K633" s="5" t="str">
        <f t="shared" si="38"/>
        <v>No</v>
      </c>
      <c r="L633" s="25">
        <f t="shared" si="39"/>
        <v>57.243697478991606</v>
      </c>
    </row>
    <row r="634" spans="1:12">
      <c r="A634" s="9" t="s">
        <v>1068</v>
      </c>
      <c r="B634" s="8">
        <v>12</v>
      </c>
      <c r="C634" s="8" t="s">
        <v>35</v>
      </c>
      <c r="D634" s="8" t="s">
        <v>46</v>
      </c>
      <c r="E634" s="8" t="s">
        <v>63</v>
      </c>
      <c r="F634" s="8">
        <v>317</v>
      </c>
      <c r="G634" s="8">
        <v>121.77</v>
      </c>
      <c r="H634" s="10">
        <v>25.29</v>
      </c>
      <c r="I634" s="8">
        <f t="shared" si="36"/>
        <v>1</v>
      </c>
      <c r="J634" s="8" t="str">
        <f t="shared" si="37"/>
        <v>No</v>
      </c>
      <c r="K634" s="5" t="str">
        <f t="shared" si="38"/>
        <v>No</v>
      </c>
      <c r="L634" s="25">
        <f t="shared" si="39"/>
        <v>102.32773109243698</v>
      </c>
    </row>
    <row r="635" spans="1:12">
      <c r="A635" s="9" t="s">
        <v>1069</v>
      </c>
      <c r="B635" s="8">
        <v>12</v>
      </c>
      <c r="C635" s="8" t="s">
        <v>35</v>
      </c>
      <c r="D635" s="8" t="s">
        <v>36</v>
      </c>
      <c r="E635" s="8" t="s">
        <v>1070</v>
      </c>
      <c r="F635" s="8">
        <v>308</v>
      </c>
      <c r="G635" s="8">
        <v>116.59</v>
      </c>
      <c r="H635" s="10">
        <v>23.54</v>
      </c>
      <c r="I635" s="8">
        <f t="shared" si="36"/>
        <v>1</v>
      </c>
      <c r="J635" s="8" t="str">
        <f t="shared" si="37"/>
        <v>No</v>
      </c>
      <c r="K635" s="5" t="str">
        <f t="shared" si="38"/>
        <v>No</v>
      </c>
      <c r="L635" s="25">
        <f t="shared" si="39"/>
        <v>97.974789915966397</v>
      </c>
    </row>
    <row r="636" spans="1:12">
      <c r="A636" s="9" t="s">
        <v>1071</v>
      </c>
      <c r="B636" s="8">
        <v>12</v>
      </c>
      <c r="C636" s="8" t="s">
        <v>39</v>
      </c>
      <c r="D636" s="8" t="s">
        <v>36</v>
      </c>
      <c r="E636" s="8" t="s">
        <v>1072</v>
      </c>
      <c r="F636" s="8">
        <v>139</v>
      </c>
      <c r="G636" s="8">
        <v>59.38</v>
      </c>
      <c r="H636" s="10">
        <v>29.84</v>
      </c>
      <c r="I636" s="8">
        <f t="shared" si="36"/>
        <v>1</v>
      </c>
      <c r="J636" s="8" t="str">
        <f t="shared" si="37"/>
        <v>No</v>
      </c>
      <c r="K636" s="5" t="str">
        <f t="shared" si="38"/>
        <v>No</v>
      </c>
      <c r="L636" s="25">
        <f t="shared" si="39"/>
        <v>49.899159663865554</v>
      </c>
    </row>
    <row r="637" spans="1:12">
      <c r="A637" s="9" t="s">
        <v>1073</v>
      </c>
      <c r="B637" s="8">
        <v>12</v>
      </c>
      <c r="C637" s="8" t="s">
        <v>39</v>
      </c>
      <c r="D637" s="8" t="s">
        <v>36</v>
      </c>
      <c r="E637" s="8" t="s">
        <v>1074</v>
      </c>
      <c r="F637" s="8">
        <v>133</v>
      </c>
      <c r="G637" s="8">
        <v>61.81</v>
      </c>
      <c r="H637" s="10">
        <v>29.21</v>
      </c>
      <c r="I637" s="8">
        <f t="shared" si="36"/>
        <v>1</v>
      </c>
      <c r="J637" s="8" t="str">
        <f t="shared" si="37"/>
        <v>No</v>
      </c>
      <c r="K637" s="5" t="str">
        <f t="shared" si="38"/>
        <v>No</v>
      </c>
      <c r="L637" s="25">
        <f t="shared" si="39"/>
        <v>51.941176470588239</v>
      </c>
    </row>
    <row r="638" spans="1:12">
      <c r="A638" s="9" t="s">
        <v>1075</v>
      </c>
      <c r="B638" s="8">
        <v>12</v>
      </c>
      <c r="C638" s="8" t="s">
        <v>39</v>
      </c>
      <c r="D638" s="8" t="s">
        <v>36</v>
      </c>
      <c r="E638" s="8" t="s">
        <v>792</v>
      </c>
      <c r="F638" s="8">
        <v>158</v>
      </c>
      <c r="G638" s="8">
        <v>65.03</v>
      </c>
      <c r="H638" s="10">
        <v>31.73</v>
      </c>
      <c r="I638" s="8">
        <f t="shared" si="36"/>
        <v>1</v>
      </c>
      <c r="J638" s="8" t="str">
        <f t="shared" si="37"/>
        <v>No</v>
      </c>
      <c r="K638" s="5" t="str">
        <f t="shared" si="38"/>
        <v>No</v>
      </c>
      <c r="L638" s="25">
        <f t="shared" si="39"/>
        <v>54.647058823529413</v>
      </c>
    </row>
    <row r="639" spans="1:12">
      <c r="A639" s="9" t="s">
        <v>1076</v>
      </c>
      <c r="B639" s="8">
        <v>12</v>
      </c>
      <c r="C639" s="8" t="s">
        <v>35</v>
      </c>
      <c r="D639" s="8" t="s">
        <v>56</v>
      </c>
      <c r="E639" s="8" t="s">
        <v>1077</v>
      </c>
      <c r="F639" s="8">
        <v>198</v>
      </c>
      <c r="G639" s="8">
        <v>80.59</v>
      </c>
      <c r="H639" s="10">
        <v>22.47</v>
      </c>
      <c r="I639" s="8">
        <f t="shared" si="36"/>
        <v>1</v>
      </c>
      <c r="J639" s="8" t="str">
        <f t="shared" si="37"/>
        <v>No</v>
      </c>
      <c r="K639" s="5" t="str">
        <f t="shared" si="38"/>
        <v>No</v>
      </c>
      <c r="L639" s="25">
        <f t="shared" si="39"/>
        <v>67.722689075630257</v>
      </c>
    </row>
    <row r="640" spans="1:12">
      <c r="A640" s="9" t="s">
        <v>1078</v>
      </c>
      <c r="B640" s="8">
        <v>12</v>
      </c>
      <c r="C640" s="8" t="s">
        <v>39</v>
      </c>
      <c r="D640" s="8" t="s">
        <v>36</v>
      </c>
      <c r="E640" s="8" t="s">
        <v>1079</v>
      </c>
      <c r="F640" s="8">
        <v>90</v>
      </c>
      <c r="G640" s="8">
        <v>41.93</v>
      </c>
      <c r="H640" s="10">
        <v>31.73</v>
      </c>
      <c r="I640" s="8">
        <f t="shared" si="36"/>
        <v>1</v>
      </c>
      <c r="J640" s="8" t="str">
        <f t="shared" si="37"/>
        <v>No</v>
      </c>
      <c r="K640" s="5" t="str">
        <f t="shared" si="38"/>
        <v>No</v>
      </c>
      <c r="L640" s="25">
        <f t="shared" si="39"/>
        <v>35.235294117647058</v>
      </c>
    </row>
    <row r="641" spans="1:12">
      <c r="A641" s="9" t="s">
        <v>1080</v>
      </c>
      <c r="B641" s="8">
        <v>12</v>
      </c>
      <c r="C641" s="8" t="s">
        <v>35</v>
      </c>
      <c r="D641" s="8" t="s">
        <v>36</v>
      </c>
      <c r="E641" s="8" t="s">
        <v>369</v>
      </c>
      <c r="F641" s="8">
        <v>207</v>
      </c>
      <c r="G641" s="8">
        <v>84.76</v>
      </c>
      <c r="H641" s="10">
        <v>24.74</v>
      </c>
      <c r="I641" s="8">
        <f t="shared" si="36"/>
        <v>1</v>
      </c>
      <c r="J641" s="8" t="str">
        <f t="shared" si="37"/>
        <v>No</v>
      </c>
      <c r="K641" s="5" t="str">
        <f t="shared" si="38"/>
        <v>No</v>
      </c>
      <c r="L641" s="25">
        <f t="shared" si="39"/>
        <v>71.226890756302524</v>
      </c>
    </row>
    <row r="642" spans="1:12">
      <c r="A642" s="9" t="s">
        <v>1081</v>
      </c>
      <c r="B642" s="8">
        <v>12</v>
      </c>
      <c r="C642" s="8" t="s">
        <v>51</v>
      </c>
      <c r="D642" s="8" t="s">
        <v>36</v>
      </c>
      <c r="E642" s="8" t="s">
        <v>275</v>
      </c>
      <c r="F642" s="8">
        <v>598</v>
      </c>
      <c r="G642" s="8">
        <v>206.4</v>
      </c>
      <c r="H642" s="10">
        <v>19.16</v>
      </c>
      <c r="I642" s="8">
        <f t="shared" ref="I642:I705" si="40">COUNTIF($A:$A,A642)</f>
        <v>1</v>
      </c>
      <c r="J642" s="8" t="str">
        <f t="shared" ref="J642:J705" si="41">IF(F642=0,"Yes","No")</f>
        <v>No</v>
      </c>
      <c r="K642" s="5" t="str">
        <f t="shared" ref="K642:K705" si="42">IF(F642&lt;0,"Yes","No")</f>
        <v>No</v>
      </c>
      <c r="L642" s="25">
        <f t="shared" ref="L642:L705" si="43">G642/1.19</f>
        <v>173.44537815126051</v>
      </c>
    </row>
    <row r="643" spans="1:12">
      <c r="A643" s="9" t="s">
        <v>1082</v>
      </c>
      <c r="B643" s="8">
        <v>12</v>
      </c>
      <c r="C643" s="8" t="s">
        <v>39</v>
      </c>
      <c r="D643" s="8" t="s">
        <v>56</v>
      </c>
      <c r="E643" s="8" t="s">
        <v>106</v>
      </c>
      <c r="F643" s="8">
        <v>86</v>
      </c>
      <c r="G643" s="8">
        <v>40.14</v>
      </c>
      <c r="H643" s="10">
        <v>28.13</v>
      </c>
      <c r="I643" s="8">
        <f t="shared" si="40"/>
        <v>1</v>
      </c>
      <c r="J643" s="8" t="str">
        <f t="shared" si="41"/>
        <v>No</v>
      </c>
      <c r="K643" s="5" t="str">
        <f t="shared" si="42"/>
        <v>No</v>
      </c>
      <c r="L643" s="25">
        <f t="shared" si="43"/>
        <v>33.731092436974791</v>
      </c>
    </row>
    <row r="644" spans="1:12">
      <c r="A644" s="9" t="s">
        <v>1083</v>
      </c>
      <c r="B644" s="8">
        <v>12</v>
      </c>
      <c r="C644" s="8" t="s">
        <v>35</v>
      </c>
      <c r="D644" s="8" t="s">
        <v>36</v>
      </c>
      <c r="E644" s="8" t="s">
        <v>798</v>
      </c>
      <c r="F644" s="8">
        <v>264</v>
      </c>
      <c r="G644" s="8">
        <v>101.42</v>
      </c>
      <c r="H644" s="10">
        <v>23.9</v>
      </c>
      <c r="I644" s="8">
        <f t="shared" si="40"/>
        <v>1</v>
      </c>
      <c r="J644" s="8" t="str">
        <f t="shared" si="41"/>
        <v>No</v>
      </c>
      <c r="K644" s="5" t="str">
        <f t="shared" si="42"/>
        <v>No</v>
      </c>
      <c r="L644" s="25">
        <f t="shared" si="43"/>
        <v>85.226890756302524</v>
      </c>
    </row>
    <row r="645" spans="1:12">
      <c r="A645" s="9" t="s">
        <v>1084</v>
      </c>
      <c r="B645" s="8">
        <v>12</v>
      </c>
      <c r="C645" s="8" t="s">
        <v>35</v>
      </c>
      <c r="D645" s="8" t="s">
        <v>36</v>
      </c>
      <c r="E645" s="8" t="s">
        <v>354</v>
      </c>
      <c r="F645" s="8">
        <v>332</v>
      </c>
      <c r="G645" s="8">
        <v>120.39</v>
      </c>
      <c r="H645" s="10">
        <v>23.63</v>
      </c>
      <c r="I645" s="8">
        <f t="shared" si="40"/>
        <v>1</v>
      </c>
      <c r="J645" s="8" t="str">
        <f t="shared" si="41"/>
        <v>No</v>
      </c>
      <c r="K645" s="5" t="str">
        <f t="shared" si="42"/>
        <v>No</v>
      </c>
      <c r="L645" s="25">
        <f t="shared" si="43"/>
        <v>101.16806722689076</v>
      </c>
    </row>
    <row r="646" spans="1:12">
      <c r="A646" s="9" t="s">
        <v>1085</v>
      </c>
      <c r="B646" s="8">
        <v>12</v>
      </c>
      <c r="C646" s="8" t="s">
        <v>51</v>
      </c>
      <c r="D646" s="8" t="s">
        <v>46</v>
      </c>
      <c r="E646" s="8" t="s">
        <v>884</v>
      </c>
      <c r="F646" s="8">
        <v>619</v>
      </c>
      <c r="G646" s="8">
        <v>205.89</v>
      </c>
      <c r="H646" s="10">
        <v>17.309999999999999</v>
      </c>
      <c r="I646" s="8">
        <f t="shared" si="40"/>
        <v>1</v>
      </c>
      <c r="J646" s="8" t="str">
        <f t="shared" si="41"/>
        <v>No</v>
      </c>
      <c r="K646" s="5" t="str">
        <f t="shared" si="42"/>
        <v>No</v>
      </c>
      <c r="L646" s="25">
        <f t="shared" si="43"/>
        <v>173.01680672268907</v>
      </c>
    </row>
    <row r="647" spans="1:12">
      <c r="A647" s="9" t="s">
        <v>1086</v>
      </c>
      <c r="B647" s="8">
        <v>24</v>
      </c>
      <c r="C647" s="8" t="s">
        <v>39</v>
      </c>
      <c r="D647" s="8" t="s">
        <v>46</v>
      </c>
      <c r="E647" s="8" t="s">
        <v>141</v>
      </c>
      <c r="F647" s="8">
        <v>127</v>
      </c>
      <c r="G647" s="8">
        <v>56.09</v>
      </c>
      <c r="H647" s="10">
        <v>30.63</v>
      </c>
      <c r="I647" s="8">
        <f t="shared" si="40"/>
        <v>1</v>
      </c>
      <c r="J647" s="8" t="str">
        <f t="shared" si="41"/>
        <v>No</v>
      </c>
      <c r="K647" s="5" t="str">
        <f t="shared" si="42"/>
        <v>No</v>
      </c>
      <c r="L647" s="25">
        <f t="shared" si="43"/>
        <v>47.134453781512612</v>
      </c>
    </row>
    <row r="648" spans="1:12">
      <c r="A648" s="9" t="s">
        <v>1087</v>
      </c>
      <c r="B648" s="8">
        <v>24</v>
      </c>
      <c r="C648" s="8" t="s">
        <v>35</v>
      </c>
      <c r="D648" s="8" t="s">
        <v>36</v>
      </c>
      <c r="E648" s="8" t="s">
        <v>1088</v>
      </c>
      <c r="F648" s="8">
        <v>178</v>
      </c>
      <c r="G648" s="8">
        <v>72.53</v>
      </c>
      <c r="H648" s="10">
        <v>25.88</v>
      </c>
      <c r="I648" s="8">
        <f t="shared" si="40"/>
        <v>1</v>
      </c>
      <c r="J648" s="8" t="str">
        <f t="shared" si="41"/>
        <v>No</v>
      </c>
      <c r="K648" s="5" t="str">
        <f t="shared" si="42"/>
        <v>No</v>
      </c>
      <c r="L648" s="25">
        <f t="shared" si="43"/>
        <v>60.949579831932773</v>
      </c>
    </row>
    <row r="649" spans="1:12">
      <c r="A649" s="9" t="s">
        <v>1089</v>
      </c>
      <c r="B649" s="8">
        <v>24</v>
      </c>
      <c r="C649" s="8" t="s">
        <v>51</v>
      </c>
      <c r="D649" s="8" t="s">
        <v>36</v>
      </c>
      <c r="E649" s="8" t="s">
        <v>1077</v>
      </c>
      <c r="F649" s="8">
        <v>611</v>
      </c>
      <c r="G649" s="8">
        <v>199.68</v>
      </c>
      <c r="H649" s="10">
        <v>19.309999999999999</v>
      </c>
      <c r="I649" s="8">
        <f t="shared" si="40"/>
        <v>1</v>
      </c>
      <c r="J649" s="8" t="str">
        <f t="shared" si="41"/>
        <v>No</v>
      </c>
      <c r="K649" s="5" t="str">
        <f t="shared" si="42"/>
        <v>No</v>
      </c>
      <c r="L649" s="25">
        <f t="shared" si="43"/>
        <v>167.79831932773109</v>
      </c>
    </row>
    <row r="650" spans="1:12">
      <c r="A650" s="9" t="s">
        <v>1090</v>
      </c>
      <c r="B650" s="8">
        <v>24</v>
      </c>
      <c r="C650" s="8" t="s">
        <v>51</v>
      </c>
      <c r="D650" s="8" t="s">
        <v>36</v>
      </c>
      <c r="E650" s="8" t="s">
        <v>238</v>
      </c>
      <c r="F650" s="8">
        <v>533</v>
      </c>
      <c r="G650" s="8">
        <v>187.33</v>
      </c>
      <c r="H650" s="10">
        <v>20.07</v>
      </c>
      <c r="I650" s="8">
        <f t="shared" si="40"/>
        <v>1</v>
      </c>
      <c r="J650" s="8" t="str">
        <f t="shared" si="41"/>
        <v>No</v>
      </c>
      <c r="K650" s="5" t="str">
        <f t="shared" si="42"/>
        <v>No</v>
      </c>
      <c r="L650" s="25">
        <f t="shared" si="43"/>
        <v>157.42016806722691</v>
      </c>
    </row>
    <row r="651" spans="1:12">
      <c r="A651" s="9" t="s">
        <v>1091</v>
      </c>
      <c r="B651" s="8">
        <v>12</v>
      </c>
      <c r="C651" s="8" t="s">
        <v>35</v>
      </c>
      <c r="D651" s="8" t="s">
        <v>36</v>
      </c>
      <c r="E651" s="8" t="s">
        <v>857</v>
      </c>
      <c r="F651" s="8">
        <v>186</v>
      </c>
      <c r="G651" s="8">
        <v>69.930000000000007</v>
      </c>
      <c r="H651" s="10">
        <v>22.27</v>
      </c>
      <c r="I651" s="8">
        <f t="shared" si="40"/>
        <v>1</v>
      </c>
      <c r="J651" s="8" t="str">
        <f t="shared" si="41"/>
        <v>No</v>
      </c>
      <c r="K651" s="5" t="str">
        <f t="shared" si="42"/>
        <v>No</v>
      </c>
      <c r="L651" s="25">
        <f t="shared" si="43"/>
        <v>58.764705882352949</v>
      </c>
    </row>
    <row r="652" spans="1:12">
      <c r="A652" s="9" t="s">
        <v>1092</v>
      </c>
      <c r="B652" s="8">
        <v>12</v>
      </c>
      <c r="C652" s="8" t="s">
        <v>35</v>
      </c>
      <c r="D652" s="8" t="s">
        <v>36</v>
      </c>
      <c r="E652" s="8" t="s">
        <v>331</v>
      </c>
      <c r="F652" s="8">
        <v>183</v>
      </c>
      <c r="G652" s="8">
        <v>68.83</v>
      </c>
      <c r="H652" s="10">
        <v>23.67</v>
      </c>
      <c r="I652" s="8">
        <f t="shared" si="40"/>
        <v>1</v>
      </c>
      <c r="J652" s="8" t="str">
        <f t="shared" si="41"/>
        <v>No</v>
      </c>
      <c r="K652" s="5" t="str">
        <f t="shared" si="42"/>
        <v>No</v>
      </c>
      <c r="L652" s="25">
        <f t="shared" si="43"/>
        <v>57.840336134453786</v>
      </c>
    </row>
    <row r="653" spans="1:12">
      <c r="A653" s="9" t="s">
        <v>1093</v>
      </c>
      <c r="B653" s="8">
        <v>12</v>
      </c>
      <c r="C653" s="8" t="s">
        <v>35</v>
      </c>
      <c r="D653" s="8" t="s">
        <v>36</v>
      </c>
      <c r="E653" s="8" t="s">
        <v>662</v>
      </c>
      <c r="F653" s="8">
        <v>318</v>
      </c>
      <c r="G653" s="8">
        <v>119.08</v>
      </c>
      <c r="H653" s="10">
        <v>22.47</v>
      </c>
      <c r="I653" s="8">
        <f t="shared" si="40"/>
        <v>1</v>
      </c>
      <c r="J653" s="8" t="str">
        <f t="shared" si="41"/>
        <v>No</v>
      </c>
      <c r="K653" s="5" t="str">
        <f t="shared" si="42"/>
        <v>No</v>
      </c>
      <c r="L653" s="25">
        <f t="shared" si="43"/>
        <v>100.0672268907563</v>
      </c>
    </row>
    <row r="654" spans="1:12">
      <c r="A654" s="9" t="s">
        <v>1094</v>
      </c>
      <c r="B654" s="8">
        <v>24</v>
      </c>
      <c r="C654" s="8" t="s">
        <v>51</v>
      </c>
      <c r="D654" s="8" t="s">
        <v>36</v>
      </c>
      <c r="E654" s="8" t="s">
        <v>177</v>
      </c>
      <c r="F654" s="8">
        <v>556</v>
      </c>
      <c r="G654" s="8">
        <v>185.56</v>
      </c>
      <c r="H654" s="10">
        <v>19.559999999999999</v>
      </c>
      <c r="I654" s="8">
        <f t="shared" si="40"/>
        <v>1</v>
      </c>
      <c r="J654" s="8" t="str">
        <f t="shared" si="41"/>
        <v>No</v>
      </c>
      <c r="K654" s="5" t="str">
        <f t="shared" si="42"/>
        <v>No</v>
      </c>
      <c r="L654" s="25">
        <f t="shared" si="43"/>
        <v>155.9327731092437</v>
      </c>
    </row>
    <row r="655" spans="1:12">
      <c r="A655" s="9" t="s">
        <v>1095</v>
      </c>
      <c r="B655" s="8">
        <v>24</v>
      </c>
      <c r="C655" s="8" t="s">
        <v>35</v>
      </c>
      <c r="D655" s="8" t="s">
        <v>36</v>
      </c>
      <c r="E655" s="8" t="s">
        <v>1096</v>
      </c>
      <c r="F655" s="8">
        <v>305</v>
      </c>
      <c r="G655" s="8">
        <v>118.62</v>
      </c>
      <c r="H655" s="10">
        <v>25.75</v>
      </c>
      <c r="I655" s="8">
        <f t="shared" si="40"/>
        <v>1</v>
      </c>
      <c r="J655" s="8" t="str">
        <f t="shared" si="41"/>
        <v>No</v>
      </c>
      <c r="K655" s="5" t="str">
        <f t="shared" si="42"/>
        <v>No</v>
      </c>
      <c r="L655" s="25">
        <f t="shared" si="43"/>
        <v>99.680672268907571</v>
      </c>
    </row>
    <row r="656" spans="1:12">
      <c r="A656" s="9" t="s">
        <v>1097</v>
      </c>
      <c r="B656" s="8">
        <v>12</v>
      </c>
      <c r="C656" s="8" t="s">
        <v>39</v>
      </c>
      <c r="D656" s="8" t="s">
        <v>46</v>
      </c>
      <c r="E656" s="8" t="s">
        <v>1098</v>
      </c>
      <c r="F656" s="8">
        <v>157</v>
      </c>
      <c r="G656" s="8">
        <v>67.27</v>
      </c>
      <c r="H656" s="10">
        <v>30.65</v>
      </c>
      <c r="I656" s="8">
        <f t="shared" si="40"/>
        <v>1</v>
      </c>
      <c r="J656" s="8" t="str">
        <f t="shared" si="41"/>
        <v>No</v>
      </c>
      <c r="K656" s="5" t="str">
        <f t="shared" si="42"/>
        <v>No</v>
      </c>
      <c r="L656" s="25">
        <f t="shared" si="43"/>
        <v>56.529411764705884</v>
      </c>
    </row>
    <row r="657" spans="1:12">
      <c r="A657" s="9" t="s">
        <v>1099</v>
      </c>
      <c r="B657" s="8">
        <v>12</v>
      </c>
      <c r="C657" s="8" t="s">
        <v>51</v>
      </c>
      <c r="D657" s="8" t="s">
        <v>56</v>
      </c>
      <c r="E657" s="8" t="s">
        <v>124</v>
      </c>
      <c r="F657" s="8">
        <v>524</v>
      </c>
      <c r="G657" s="8">
        <v>166.45</v>
      </c>
      <c r="H657" s="10">
        <v>0.18</v>
      </c>
      <c r="I657" s="8">
        <f t="shared" si="40"/>
        <v>1</v>
      </c>
      <c r="J657" s="8" t="str">
        <f t="shared" si="41"/>
        <v>No</v>
      </c>
      <c r="K657" s="5" t="str">
        <f t="shared" si="42"/>
        <v>No</v>
      </c>
      <c r="L657" s="25">
        <f t="shared" si="43"/>
        <v>139.87394957983193</v>
      </c>
    </row>
    <row r="658" spans="1:12">
      <c r="A658" s="9" t="s">
        <v>1100</v>
      </c>
      <c r="B658" s="8">
        <v>12</v>
      </c>
      <c r="C658" s="8" t="s">
        <v>35</v>
      </c>
      <c r="D658" s="8" t="s">
        <v>46</v>
      </c>
      <c r="E658" s="8" t="s">
        <v>1101</v>
      </c>
      <c r="F658" s="8">
        <v>253</v>
      </c>
      <c r="G658" s="8">
        <v>98.58</v>
      </c>
      <c r="H658" s="10">
        <v>23.42</v>
      </c>
      <c r="I658" s="8">
        <f t="shared" si="40"/>
        <v>1</v>
      </c>
      <c r="J658" s="8" t="str">
        <f t="shared" si="41"/>
        <v>No</v>
      </c>
      <c r="K658" s="5" t="str">
        <f t="shared" si="42"/>
        <v>No</v>
      </c>
      <c r="L658" s="25">
        <f t="shared" si="43"/>
        <v>82.840336134453779</v>
      </c>
    </row>
    <row r="659" spans="1:12">
      <c r="A659" s="9" t="s">
        <v>1102</v>
      </c>
      <c r="B659" s="8">
        <v>12</v>
      </c>
      <c r="C659" s="8" t="s">
        <v>35</v>
      </c>
      <c r="D659" s="8" t="s">
        <v>36</v>
      </c>
      <c r="E659" s="8" t="s">
        <v>1015</v>
      </c>
      <c r="F659" s="8">
        <v>238</v>
      </c>
      <c r="G659" s="8">
        <v>91.27</v>
      </c>
      <c r="H659" s="10">
        <v>26.2</v>
      </c>
      <c r="I659" s="8">
        <f t="shared" si="40"/>
        <v>1</v>
      </c>
      <c r="J659" s="8" t="str">
        <f t="shared" si="41"/>
        <v>No</v>
      </c>
      <c r="K659" s="5" t="str">
        <f t="shared" si="42"/>
        <v>No</v>
      </c>
      <c r="L659" s="25">
        <f t="shared" si="43"/>
        <v>76.69747899159664</v>
      </c>
    </row>
    <row r="660" spans="1:12">
      <c r="A660" s="9" t="s">
        <v>1103</v>
      </c>
      <c r="B660" s="8">
        <v>24</v>
      </c>
      <c r="C660" s="8" t="s">
        <v>39</v>
      </c>
      <c r="D660" s="8" t="s">
        <v>36</v>
      </c>
      <c r="E660" s="8" t="s">
        <v>577</v>
      </c>
      <c r="F660" s="8">
        <v>110</v>
      </c>
      <c r="G660" s="8">
        <v>51.44</v>
      </c>
      <c r="H660" s="10">
        <v>29.61</v>
      </c>
      <c r="I660" s="8">
        <f t="shared" si="40"/>
        <v>1</v>
      </c>
      <c r="J660" s="8" t="str">
        <f t="shared" si="41"/>
        <v>No</v>
      </c>
      <c r="K660" s="5" t="str">
        <f t="shared" si="42"/>
        <v>No</v>
      </c>
      <c r="L660" s="25">
        <f t="shared" si="43"/>
        <v>43.226890756302524</v>
      </c>
    </row>
    <row r="661" spans="1:12">
      <c r="A661" s="9" t="s">
        <v>1104</v>
      </c>
      <c r="B661" s="8">
        <v>24</v>
      </c>
      <c r="C661" s="8" t="s">
        <v>35</v>
      </c>
      <c r="D661" s="8" t="s">
        <v>56</v>
      </c>
      <c r="E661" s="8" t="s">
        <v>1105</v>
      </c>
      <c r="F661" s="8">
        <v>239</v>
      </c>
      <c r="G661" s="8">
        <v>97.03</v>
      </c>
      <c r="H661" s="10">
        <v>25.33</v>
      </c>
      <c r="I661" s="8">
        <f t="shared" si="40"/>
        <v>1</v>
      </c>
      <c r="J661" s="8" t="str">
        <f t="shared" si="41"/>
        <v>No</v>
      </c>
      <c r="K661" s="5" t="str">
        <f t="shared" si="42"/>
        <v>No</v>
      </c>
      <c r="L661" s="25">
        <f t="shared" si="43"/>
        <v>81.537815126050418</v>
      </c>
    </row>
    <row r="662" spans="1:12">
      <c r="A662" s="9" t="s">
        <v>1106</v>
      </c>
      <c r="B662" s="8">
        <v>12</v>
      </c>
      <c r="C662" s="8" t="s">
        <v>35</v>
      </c>
      <c r="D662" s="8" t="s">
        <v>36</v>
      </c>
      <c r="E662" s="8" t="s">
        <v>1107</v>
      </c>
      <c r="F662" s="8">
        <v>296</v>
      </c>
      <c r="G662" s="8">
        <v>111.89</v>
      </c>
      <c r="H662" s="10">
        <v>25.26</v>
      </c>
      <c r="I662" s="8">
        <f t="shared" si="40"/>
        <v>1</v>
      </c>
      <c r="J662" s="8" t="str">
        <f t="shared" si="41"/>
        <v>No</v>
      </c>
      <c r="K662" s="5" t="str">
        <f t="shared" si="42"/>
        <v>No</v>
      </c>
      <c r="L662" s="25">
        <f t="shared" si="43"/>
        <v>94.025210084033617</v>
      </c>
    </row>
    <row r="663" spans="1:12">
      <c r="A663" s="9" t="s">
        <v>1108</v>
      </c>
      <c r="B663" s="8">
        <v>24</v>
      </c>
      <c r="C663" s="8" t="s">
        <v>35</v>
      </c>
      <c r="D663" s="8" t="s">
        <v>36</v>
      </c>
      <c r="E663" s="8" t="s">
        <v>1109</v>
      </c>
      <c r="F663" s="8">
        <v>267</v>
      </c>
      <c r="G663" s="8">
        <v>102.18</v>
      </c>
      <c r="H663" s="10">
        <v>0.24</v>
      </c>
      <c r="I663" s="8">
        <f t="shared" si="40"/>
        <v>1</v>
      </c>
      <c r="J663" s="8" t="str">
        <f t="shared" si="41"/>
        <v>No</v>
      </c>
      <c r="K663" s="5" t="str">
        <f t="shared" si="42"/>
        <v>No</v>
      </c>
      <c r="L663" s="25">
        <f t="shared" si="43"/>
        <v>85.86554621848741</v>
      </c>
    </row>
    <row r="664" spans="1:12">
      <c r="A664" s="9" t="s">
        <v>1110</v>
      </c>
      <c r="B664" s="8">
        <v>24</v>
      </c>
      <c r="C664" s="8" t="s">
        <v>39</v>
      </c>
      <c r="D664" s="8" t="s">
        <v>46</v>
      </c>
      <c r="E664" s="8" t="s">
        <v>1111</v>
      </c>
      <c r="F664" s="8">
        <v>158</v>
      </c>
      <c r="G664" s="8">
        <v>65.08</v>
      </c>
      <c r="H664" s="10">
        <v>29.49</v>
      </c>
      <c r="I664" s="8">
        <f t="shared" si="40"/>
        <v>1</v>
      </c>
      <c r="J664" s="8" t="str">
        <f t="shared" si="41"/>
        <v>No</v>
      </c>
      <c r="K664" s="5" t="str">
        <f t="shared" si="42"/>
        <v>No</v>
      </c>
      <c r="L664" s="25">
        <f t="shared" si="43"/>
        <v>54.689075630252098</v>
      </c>
    </row>
    <row r="665" spans="1:12">
      <c r="A665" s="9" t="s">
        <v>1112</v>
      </c>
      <c r="B665" s="8">
        <v>12</v>
      </c>
      <c r="C665" s="8" t="s">
        <v>35</v>
      </c>
      <c r="D665" s="8" t="s">
        <v>46</v>
      </c>
      <c r="E665" s="8" t="s">
        <v>458</v>
      </c>
      <c r="F665" s="8">
        <v>241</v>
      </c>
      <c r="G665" s="8">
        <v>94.03</v>
      </c>
      <c r="H665" s="10">
        <v>23.02</v>
      </c>
      <c r="I665" s="8">
        <f t="shared" si="40"/>
        <v>1</v>
      </c>
      <c r="J665" s="8" t="str">
        <f t="shared" si="41"/>
        <v>No</v>
      </c>
      <c r="K665" s="5" t="str">
        <f t="shared" si="42"/>
        <v>No</v>
      </c>
      <c r="L665" s="25">
        <f t="shared" si="43"/>
        <v>79.016806722689083</v>
      </c>
    </row>
    <row r="666" spans="1:12">
      <c r="A666" s="9" t="s">
        <v>1113</v>
      </c>
      <c r="B666" s="8">
        <v>12</v>
      </c>
      <c r="C666" s="8" t="s">
        <v>51</v>
      </c>
      <c r="D666" s="8" t="s">
        <v>46</v>
      </c>
      <c r="E666" s="8" t="s">
        <v>1114</v>
      </c>
      <c r="F666" s="8">
        <v>536</v>
      </c>
      <c r="G666" s="8">
        <v>182.88</v>
      </c>
      <c r="H666" s="10">
        <v>17.03</v>
      </c>
      <c r="I666" s="8">
        <f t="shared" si="40"/>
        <v>1</v>
      </c>
      <c r="J666" s="8" t="str">
        <f t="shared" si="41"/>
        <v>No</v>
      </c>
      <c r="K666" s="5" t="str">
        <f t="shared" si="42"/>
        <v>No</v>
      </c>
      <c r="L666" s="25">
        <f t="shared" si="43"/>
        <v>153.68067226890756</v>
      </c>
    </row>
    <row r="667" spans="1:12">
      <c r="A667" s="9" t="s">
        <v>1115</v>
      </c>
      <c r="B667" s="8">
        <v>12</v>
      </c>
      <c r="C667" s="8" t="s">
        <v>39</v>
      </c>
      <c r="D667" s="8" t="s">
        <v>36</v>
      </c>
      <c r="E667" s="8" t="s">
        <v>1116</v>
      </c>
      <c r="F667" s="8">
        <v>136</v>
      </c>
      <c r="G667" s="8">
        <v>60.69</v>
      </c>
      <c r="H667" s="10">
        <v>29.42</v>
      </c>
      <c r="I667" s="8">
        <f t="shared" si="40"/>
        <v>1</v>
      </c>
      <c r="J667" s="8" t="str">
        <f t="shared" si="41"/>
        <v>No</v>
      </c>
      <c r="K667" s="5" t="str">
        <f t="shared" si="42"/>
        <v>No</v>
      </c>
      <c r="L667" s="25">
        <f t="shared" si="43"/>
        <v>51</v>
      </c>
    </row>
    <row r="668" spans="1:12">
      <c r="A668" s="9" t="s">
        <v>1117</v>
      </c>
      <c r="B668" s="8">
        <v>12</v>
      </c>
      <c r="C668" s="8" t="s">
        <v>51</v>
      </c>
      <c r="D668" s="8" t="s">
        <v>36</v>
      </c>
      <c r="E668" s="8" t="s">
        <v>631</v>
      </c>
      <c r="F668" s="8">
        <v>531</v>
      </c>
      <c r="G668" s="8">
        <v>169.94</v>
      </c>
      <c r="H668" s="10">
        <v>18.57</v>
      </c>
      <c r="I668" s="8">
        <f t="shared" si="40"/>
        <v>1</v>
      </c>
      <c r="J668" s="8" t="str">
        <f t="shared" si="41"/>
        <v>No</v>
      </c>
      <c r="K668" s="5" t="str">
        <f t="shared" si="42"/>
        <v>No</v>
      </c>
      <c r="L668" s="25">
        <f t="shared" si="43"/>
        <v>142.80672268907563</v>
      </c>
    </row>
    <row r="669" spans="1:12">
      <c r="A669" s="9" t="s">
        <v>1118</v>
      </c>
      <c r="B669" s="8">
        <v>12</v>
      </c>
      <c r="C669" s="8" t="s">
        <v>35</v>
      </c>
      <c r="D669" s="8" t="s">
        <v>56</v>
      </c>
      <c r="E669" s="8" t="s">
        <v>541</v>
      </c>
      <c r="F669" s="8">
        <v>284</v>
      </c>
      <c r="G669" s="8">
        <v>111.54</v>
      </c>
      <c r="H669" s="10">
        <v>24.7</v>
      </c>
      <c r="I669" s="8">
        <f t="shared" si="40"/>
        <v>1</v>
      </c>
      <c r="J669" s="8" t="str">
        <f t="shared" si="41"/>
        <v>No</v>
      </c>
      <c r="K669" s="5" t="str">
        <f t="shared" si="42"/>
        <v>No</v>
      </c>
      <c r="L669" s="25">
        <f t="shared" si="43"/>
        <v>93.731092436974805</v>
      </c>
    </row>
    <row r="670" spans="1:12">
      <c r="A670" s="9" t="s">
        <v>1119</v>
      </c>
      <c r="B670" s="8">
        <v>12</v>
      </c>
      <c r="C670" s="8" t="s">
        <v>51</v>
      </c>
      <c r="D670" s="8" t="s">
        <v>36</v>
      </c>
      <c r="E670" s="8" t="s">
        <v>1120</v>
      </c>
      <c r="F670" s="8">
        <v>412</v>
      </c>
      <c r="G670" s="8">
        <v>143.61000000000001</v>
      </c>
      <c r="H670" s="10">
        <v>19.79</v>
      </c>
      <c r="I670" s="8">
        <f t="shared" si="40"/>
        <v>1</v>
      </c>
      <c r="J670" s="8" t="str">
        <f t="shared" si="41"/>
        <v>No</v>
      </c>
      <c r="K670" s="5" t="str">
        <f t="shared" si="42"/>
        <v>No</v>
      </c>
      <c r="L670" s="25">
        <f t="shared" si="43"/>
        <v>120.68067226890759</v>
      </c>
    </row>
    <row r="671" spans="1:12">
      <c r="A671" s="9" t="s">
        <v>1121</v>
      </c>
      <c r="B671" s="8">
        <v>12</v>
      </c>
      <c r="C671" s="8" t="s">
        <v>51</v>
      </c>
      <c r="D671" s="8" t="s">
        <v>46</v>
      </c>
      <c r="E671" s="8" t="s">
        <v>957</v>
      </c>
      <c r="F671" s="8">
        <v>504</v>
      </c>
      <c r="G671" s="8">
        <v>170.74</v>
      </c>
      <c r="H671" s="10">
        <v>16.850000000000001</v>
      </c>
      <c r="I671" s="8">
        <f t="shared" si="40"/>
        <v>1</v>
      </c>
      <c r="J671" s="8" t="str">
        <f t="shared" si="41"/>
        <v>No</v>
      </c>
      <c r="K671" s="5" t="str">
        <f t="shared" si="42"/>
        <v>No</v>
      </c>
      <c r="L671" s="25">
        <f t="shared" si="43"/>
        <v>143.47899159663868</v>
      </c>
    </row>
    <row r="672" spans="1:12">
      <c r="A672" s="9" t="s">
        <v>1122</v>
      </c>
      <c r="B672" s="8">
        <v>12</v>
      </c>
      <c r="C672" s="8" t="s">
        <v>35</v>
      </c>
      <c r="D672" s="8" t="s">
        <v>46</v>
      </c>
      <c r="E672" s="8" t="s">
        <v>1123</v>
      </c>
      <c r="F672" s="8">
        <v>184</v>
      </c>
      <c r="G672" s="8">
        <v>73.3</v>
      </c>
      <c r="H672" s="10">
        <v>23.58</v>
      </c>
      <c r="I672" s="8">
        <f t="shared" si="40"/>
        <v>1</v>
      </c>
      <c r="J672" s="8" t="str">
        <f t="shared" si="41"/>
        <v>No</v>
      </c>
      <c r="K672" s="5" t="str">
        <f t="shared" si="42"/>
        <v>No</v>
      </c>
      <c r="L672" s="25">
        <f t="shared" si="43"/>
        <v>61.596638655462186</v>
      </c>
    </row>
    <row r="673" spans="1:12">
      <c r="A673" s="9" t="s">
        <v>1124</v>
      </c>
      <c r="B673" s="8">
        <v>24</v>
      </c>
      <c r="C673" s="8" t="s">
        <v>35</v>
      </c>
      <c r="D673" s="8" t="s">
        <v>46</v>
      </c>
      <c r="E673" s="8" t="s">
        <v>128</v>
      </c>
      <c r="F673" s="8">
        <v>231</v>
      </c>
      <c r="G673" s="8">
        <v>92.41</v>
      </c>
      <c r="H673" s="10">
        <v>22.73</v>
      </c>
      <c r="I673" s="8">
        <f t="shared" si="40"/>
        <v>1</v>
      </c>
      <c r="J673" s="8" t="str">
        <f t="shared" si="41"/>
        <v>No</v>
      </c>
      <c r="K673" s="5" t="str">
        <f t="shared" si="42"/>
        <v>No</v>
      </c>
      <c r="L673" s="25">
        <f t="shared" si="43"/>
        <v>77.655462184873954</v>
      </c>
    </row>
    <row r="674" spans="1:12">
      <c r="A674" s="9" t="s">
        <v>1125</v>
      </c>
      <c r="B674" s="8">
        <v>12</v>
      </c>
      <c r="C674" s="8" t="s">
        <v>51</v>
      </c>
      <c r="D674" s="8" t="s">
        <v>36</v>
      </c>
      <c r="E674" s="8" t="s">
        <v>391</v>
      </c>
      <c r="F674" s="8">
        <v>496</v>
      </c>
      <c r="G674" s="8">
        <v>167.25</v>
      </c>
      <c r="H674" s="10">
        <v>17.28</v>
      </c>
      <c r="I674" s="8">
        <f t="shared" si="40"/>
        <v>1</v>
      </c>
      <c r="J674" s="8" t="str">
        <f t="shared" si="41"/>
        <v>No</v>
      </c>
      <c r="K674" s="5" t="str">
        <f t="shared" si="42"/>
        <v>No</v>
      </c>
      <c r="L674" s="25">
        <f t="shared" si="43"/>
        <v>140.54621848739495</v>
      </c>
    </row>
    <row r="675" spans="1:12">
      <c r="A675" s="9" t="s">
        <v>1126</v>
      </c>
      <c r="B675" s="8">
        <v>12</v>
      </c>
      <c r="C675" s="8" t="s">
        <v>35</v>
      </c>
      <c r="D675" s="8" t="s">
        <v>36</v>
      </c>
      <c r="E675" s="8" t="s">
        <v>1127</v>
      </c>
      <c r="F675" s="8">
        <v>275</v>
      </c>
      <c r="G675" s="8">
        <v>100.79</v>
      </c>
      <c r="H675" s="10">
        <v>25.31</v>
      </c>
      <c r="I675" s="8">
        <f t="shared" si="40"/>
        <v>1</v>
      </c>
      <c r="J675" s="8" t="str">
        <f t="shared" si="41"/>
        <v>No</v>
      </c>
      <c r="K675" s="5" t="str">
        <f t="shared" si="42"/>
        <v>No</v>
      </c>
      <c r="L675" s="25">
        <f t="shared" si="43"/>
        <v>84.697478991596654</v>
      </c>
    </row>
    <row r="676" spans="1:12">
      <c r="A676" s="9" t="s">
        <v>1128</v>
      </c>
      <c r="B676" s="8">
        <v>12</v>
      </c>
      <c r="C676" s="8" t="s">
        <v>39</v>
      </c>
      <c r="D676" s="8" t="s">
        <v>46</v>
      </c>
      <c r="E676" s="8" t="s">
        <v>957</v>
      </c>
      <c r="F676" s="8">
        <v>163</v>
      </c>
      <c r="G676" s="8">
        <v>66.180000000000007</v>
      </c>
      <c r="H676" s="10">
        <v>28.17</v>
      </c>
      <c r="I676" s="8">
        <f t="shared" si="40"/>
        <v>1</v>
      </c>
      <c r="J676" s="8" t="str">
        <f t="shared" si="41"/>
        <v>No</v>
      </c>
      <c r="K676" s="5" t="str">
        <f t="shared" si="42"/>
        <v>No</v>
      </c>
      <c r="L676" s="25">
        <f t="shared" si="43"/>
        <v>55.613445378151269</v>
      </c>
    </row>
    <row r="677" spans="1:12">
      <c r="A677" s="9" t="s">
        <v>1129</v>
      </c>
      <c r="B677" s="8">
        <v>24</v>
      </c>
      <c r="C677" s="8" t="s">
        <v>35</v>
      </c>
      <c r="D677" s="8" t="s">
        <v>56</v>
      </c>
      <c r="E677" s="8" t="s">
        <v>1130</v>
      </c>
      <c r="F677" s="8">
        <v>267</v>
      </c>
      <c r="G677" s="8">
        <v>105.6</v>
      </c>
      <c r="H677" s="10">
        <v>25.68</v>
      </c>
      <c r="I677" s="8">
        <f t="shared" si="40"/>
        <v>1</v>
      </c>
      <c r="J677" s="8" t="str">
        <f t="shared" si="41"/>
        <v>No</v>
      </c>
      <c r="K677" s="5" t="str">
        <f t="shared" si="42"/>
        <v>No</v>
      </c>
      <c r="L677" s="25">
        <f t="shared" si="43"/>
        <v>88.739495798319325</v>
      </c>
    </row>
    <row r="678" spans="1:12">
      <c r="A678" s="9" t="s">
        <v>1131</v>
      </c>
      <c r="B678" s="8">
        <v>12</v>
      </c>
      <c r="C678" s="8" t="s">
        <v>51</v>
      </c>
      <c r="D678" s="8" t="s">
        <v>56</v>
      </c>
      <c r="E678" s="8" t="s">
        <v>1132</v>
      </c>
      <c r="F678" s="8">
        <v>581</v>
      </c>
      <c r="G678" s="8">
        <v>181.57</v>
      </c>
      <c r="H678" s="10">
        <v>17.34</v>
      </c>
      <c r="I678" s="8">
        <f t="shared" si="40"/>
        <v>1</v>
      </c>
      <c r="J678" s="8" t="str">
        <f t="shared" si="41"/>
        <v>No</v>
      </c>
      <c r="K678" s="5" t="str">
        <f t="shared" si="42"/>
        <v>No</v>
      </c>
      <c r="L678" s="25">
        <f t="shared" si="43"/>
        <v>152.57983193277312</v>
      </c>
    </row>
    <row r="679" spans="1:12">
      <c r="A679" s="9" t="s">
        <v>1133</v>
      </c>
      <c r="B679" s="8">
        <v>12</v>
      </c>
      <c r="C679" s="8" t="s">
        <v>51</v>
      </c>
      <c r="D679" s="8" t="s">
        <v>36</v>
      </c>
      <c r="E679" s="8" t="s">
        <v>1134</v>
      </c>
      <c r="F679" s="8">
        <v>502</v>
      </c>
      <c r="G679" s="8">
        <v>176.41</v>
      </c>
      <c r="H679" s="10">
        <v>20.9</v>
      </c>
      <c r="I679" s="8">
        <f t="shared" si="40"/>
        <v>1</v>
      </c>
      <c r="J679" s="8" t="str">
        <f t="shared" si="41"/>
        <v>No</v>
      </c>
      <c r="K679" s="5" t="str">
        <f t="shared" si="42"/>
        <v>No</v>
      </c>
      <c r="L679" s="25">
        <f t="shared" si="43"/>
        <v>148.24369747899161</v>
      </c>
    </row>
    <row r="680" spans="1:12">
      <c r="A680" s="9" t="s">
        <v>1135</v>
      </c>
      <c r="B680" s="8">
        <v>24</v>
      </c>
      <c r="C680" s="8" t="s">
        <v>51</v>
      </c>
      <c r="D680" s="8" t="s">
        <v>36</v>
      </c>
      <c r="E680" s="8" t="s">
        <v>535</v>
      </c>
      <c r="F680" s="8">
        <v>545</v>
      </c>
      <c r="G680" s="8">
        <v>188.46</v>
      </c>
      <c r="H680" s="10">
        <v>19.29</v>
      </c>
      <c r="I680" s="8">
        <f t="shared" si="40"/>
        <v>1</v>
      </c>
      <c r="J680" s="8" t="str">
        <f t="shared" si="41"/>
        <v>No</v>
      </c>
      <c r="K680" s="5" t="str">
        <f t="shared" si="42"/>
        <v>No</v>
      </c>
      <c r="L680" s="25">
        <f t="shared" si="43"/>
        <v>158.36974789915968</v>
      </c>
    </row>
    <row r="681" spans="1:12">
      <c r="A681" s="9" t="s">
        <v>1136</v>
      </c>
      <c r="B681" s="8">
        <v>24</v>
      </c>
      <c r="C681" s="8" t="s">
        <v>35</v>
      </c>
      <c r="D681" s="8" t="s">
        <v>56</v>
      </c>
      <c r="E681" s="8" t="s">
        <v>1137</v>
      </c>
      <c r="F681" s="8">
        <v>179</v>
      </c>
      <c r="G681" s="8">
        <v>72.44</v>
      </c>
      <c r="H681" s="10">
        <v>22.93</v>
      </c>
      <c r="I681" s="8">
        <f t="shared" si="40"/>
        <v>1</v>
      </c>
      <c r="J681" s="8" t="str">
        <f t="shared" si="41"/>
        <v>No</v>
      </c>
      <c r="K681" s="5" t="str">
        <f t="shared" si="42"/>
        <v>No</v>
      </c>
      <c r="L681" s="25">
        <f t="shared" si="43"/>
        <v>60.873949579831937</v>
      </c>
    </row>
    <row r="682" spans="1:12">
      <c r="A682" s="9" t="s">
        <v>1138</v>
      </c>
      <c r="B682" s="8">
        <v>24</v>
      </c>
      <c r="C682" s="8" t="s">
        <v>51</v>
      </c>
      <c r="D682" s="8" t="s">
        <v>46</v>
      </c>
      <c r="E682" s="8" t="s">
        <v>1139</v>
      </c>
      <c r="F682" s="8">
        <v>418</v>
      </c>
      <c r="G682" s="8">
        <v>141.77000000000001</v>
      </c>
      <c r="H682" s="10">
        <v>21.01</v>
      </c>
      <c r="I682" s="8">
        <f t="shared" si="40"/>
        <v>1</v>
      </c>
      <c r="J682" s="8" t="str">
        <f t="shared" si="41"/>
        <v>No</v>
      </c>
      <c r="K682" s="5" t="str">
        <f t="shared" si="42"/>
        <v>No</v>
      </c>
      <c r="L682" s="25">
        <f t="shared" si="43"/>
        <v>119.13445378151262</v>
      </c>
    </row>
    <row r="683" spans="1:12">
      <c r="A683" s="9" t="s">
        <v>1140</v>
      </c>
      <c r="B683" s="8">
        <v>12</v>
      </c>
      <c r="C683" s="8" t="s">
        <v>39</v>
      </c>
      <c r="D683" s="8" t="s">
        <v>56</v>
      </c>
      <c r="E683" s="8" t="s">
        <v>1141</v>
      </c>
      <c r="F683" s="8">
        <v>113</v>
      </c>
      <c r="G683" s="8">
        <v>49.72</v>
      </c>
      <c r="H683" s="10">
        <v>30.93</v>
      </c>
      <c r="I683" s="8">
        <f t="shared" si="40"/>
        <v>1</v>
      </c>
      <c r="J683" s="8" t="str">
        <f t="shared" si="41"/>
        <v>No</v>
      </c>
      <c r="K683" s="5" t="str">
        <f t="shared" si="42"/>
        <v>No</v>
      </c>
      <c r="L683" s="25">
        <f t="shared" si="43"/>
        <v>41.781512605042018</v>
      </c>
    </row>
    <row r="684" spans="1:12">
      <c r="A684" s="9" t="s">
        <v>1142</v>
      </c>
      <c r="B684" s="8">
        <v>12</v>
      </c>
      <c r="C684" s="8" t="s">
        <v>35</v>
      </c>
      <c r="D684" s="8" t="s">
        <v>36</v>
      </c>
      <c r="E684" s="8" t="s">
        <v>88</v>
      </c>
      <c r="F684" s="8">
        <v>245</v>
      </c>
      <c r="G684" s="8">
        <v>97.3</v>
      </c>
      <c r="H684" s="10">
        <v>25.83</v>
      </c>
      <c r="I684" s="8">
        <f t="shared" si="40"/>
        <v>1</v>
      </c>
      <c r="J684" s="8" t="str">
        <f t="shared" si="41"/>
        <v>No</v>
      </c>
      <c r="K684" s="5" t="str">
        <f t="shared" si="42"/>
        <v>No</v>
      </c>
      <c r="L684" s="25">
        <f t="shared" si="43"/>
        <v>81.764705882352942</v>
      </c>
    </row>
    <row r="685" spans="1:12">
      <c r="A685" s="9" t="s">
        <v>1143</v>
      </c>
      <c r="B685" s="8">
        <v>24</v>
      </c>
      <c r="C685" s="8" t="s">
        <v>39</v>
      </c>
      <c r="D685" s="8" t="s">
        <v>46</v>
      </c>
      <c r="E685" s="8" t="s">
        <v>1144</v>
      </c>
      <c r="F685" s="8">
        <v>87</v>
      </c>
      <c r="G685" s="8">
        <v>42.82</v>
      </c>
      <c r="H685" s="10">
        <v>28.88</v>
      </c>
      <c r="I685" s="8">
        <f t="shared" si="40"/>
        <v>1</v>
      </c>
      <c r="J685" s="8" t="str">
        <f t="shared" si="41"/>
        <v>No</v>
      </c>
      <c r="K685" s="5" t="str">
        <f t="shared" si="42"/>
        <v>No</v>
      </c>
      <c r="L685" s="25">
        <f t="shared" si="43"/>
        <v>35.983193277310924</v>
      </c>
    </row>
    <row r="686" spans="1:12">
      <c r="A686" s="9" t="s">
        <v>1145</v>
      </c>
      <c r="B686" s="8">
        <v>24</v>
      </c>
      <c r="C686" s="8" t="s">
        <v>39</v>
      </c>
      <c r="D686" s="8" t="s">
        <v>46</v>
      </c>
      <c r="E686" s="8" t="s">
        <v>572</v>
      </c>
      <c r="F686" s="8">
        <v>95</v>
      </c>
      <c r="G686" s="8">
        <v>47.03</v>
      </c>
      <c r="H686" s="10">
        <v>31.54</v>
      </c>
      <c r="I686" s="8">
        <f t="shared" si="40"/>
        <v>1</v>
      </c>
      <c r="J686" s="8" t="str">
        <f t="shared" si="41"/>
        <v>No</v>
      </c>
      <c r="K686" s="5" t="str">
        <f t="shared" si="42"/>
        <v>No</v>
      </c>
      <c r="L686" s="25">
        <f t="shared" si="43"/>
        <v>39.52100840336135</v>
      </c>
    </row>
    <row r="687" spans="1:12">
      <c r="A687" s="9" t="s">
        <v>1146</v>
      </c>
      <c r="B687" s="8">
        <v>24</v>
      </c>
      <c r="C687" s="8" t="s">
        <v>35</v>
      </c>
      <c r="D687" s="8" t="s">
        <v>46</v>
      </c>
      <c r="E687" s="8" t="s">
        <v>936</v>
      </c>
      <c r="F687" s="8">
        <v>213</v>
      </c>
      <c r="G687" s="8">
        <v>85.65</v>
      </c>
      <c r="H687" s="10">
        <v>25.74</v>
      </c>
      <c r="I687" s="8">
        <f t="shared" si="40"/>
        <v>1</v>
      </c>
      <c r="J687" s="8" t="str">
        <f t="shared" si="41"/>
        <v>No</v>
      </c>
      <c r="K687" s="5" t="str">
        <f t="shared" si="42"/>
        <v>No</v>
      </c>
      <c r="L687" s="25">
        <f t="shared" si="43"/>
        <v>71.974789915966397</v>
      </c>
    </row>
    <row r="688" spans="1:12">
      <c r="A688" s="9" t="s">
        <v>1147</v>
      </c>
      <c r="B688" s="8">
        <v>24</v>
      </c>
      <c r="C688" s="8" t="s">
        <v>35</v>
      </c>
      <c r="D688" s="8" t="s">
        <v>36</v>
      </c>
      <c r="E688" s="8" t="s">
        <v>1148</v>
      </c>
      <c r="F688" s="8">
        <v>328</v>
      </c>
      <c r="G688" s="8">
        <v>117.71</v>
      </c>
      <c r="H688" s="10">
        <v>27.67</v>
      </c>
      <c r="I688" s="8">
        <f t="shared" si="40"/>
        <v>1</v>
      </c>
      <c r="J688" s="8" t="str">
        <f t="shared" si="41"/>
        <v>No</v>
      </c>
      <c r="K688" s="5" t="str">
        <f t="shared" si="42"/>
        <v>No</v>
      </c>
      <c r="L688" s="25">
        <f t="shared" si="43"/>
        <v>98.915966386554615</v>
      </c>
    </row>
    <row r="689" spans="1:12">
      <c r="A689" s="9" t="s">
        <v>1149</v>
      </c>
      <c r="B689" s="8">
        <v>12</v>
      </c>
      <c r="C689" s="8" t="s">
        <v>35</v>
      </c>
      <c r="D689" s="8" t="s">
        <v>36</v>
      </c>
      <c r="E689" s="8" t="s">
        <v>1150</v>
      </c>
      <c r="F689" s="8">
        <v>222</v>
      </c>
      <c r="G689" s="8">
        <v>82.76</v>
      </c>
      <c r="H689" s="10">
        <v>24.54</v>
      </c>
      <c r="I689" s="8">
        <f t="shared" si="40"/>
        <v>1</v>
      </c>
      <c r="J689" s="8" t="str">
        <f t="shared" si="41"/>
        <v>No</v>
      </c>
      <c r="K689" s="5" t="str">
        <f t="shared" si="42"/>
        <v>No</v>
      </c>
      <c r="L689" s="25">
        <f t="shared" si="43"/>
        <v>69.546218487394967</v>
      </c>
    </row>
    <row r="690" spans="1:12">
      <c r="A690" s="9" t="s">
        <v>1151</v>
      </c>
      <c r="B690" s="8">
        <v>24</v>
      </c>
      <c r="C690" s="8" t="s">
        <v>35</v>
      </c>
      <c r="D690" s="8" t="s">
        <v>46</v>
      </c>
      <c r="E690" s="8" t="s">
        <v>1152</v>
      </c>
      <c r="F690" s="8">
        <v>247</v>
      </c>
      <c r="G690" s="8">
        <v>96.58</v>
      </c>
      <c r="H690" s="10">
        <v>24.52</v>
      </c>
      <c r="I690" s="8">
        <f t="shared" si="40"/>
        <v>1</v>
      </c>
      <c r="J690" s="8" t="str">
        <f t="shared" si="41"/>
        <v>No</v>
      </c>
      <c r="K690" s="5" t="str">
        <f t="shared" si="42"/>
        <v>No</v>
      </c>
      <c r="L690" s="25">
        <f t="shared" si="43"/>
        <v>81.159663865546221</v>
      </c>
    </row>
    <row r="691" spans="1:12">
      <c r="A691" s="9" t="s">
        <v>1153</v>
      </c>
      <c r="B691" s="8">
        <v>12</v>
      </c>
      <c r="C691" s="8" t="s">
        <v>35</v>
      </c>
      <c r="D691" s="8" t="s">
        <v>36</v>
      </c>
      <c r="E691" s="8" t="s">
        <v>179</v>
      </c>
      <c r="F691" s="8">
        <v>200</v>
      </c>
      <c r="G691" s="8">
        <v>83.78</v>
      </c>
      <c r="H691" s="10">
        <v>23.61</v>
      </c>
      <c r="I691" s="8">
        <f t="shared" si="40"/>
        <v>1</v>
      </c>
      <c r="J691" s="8" t="str">
        <f t="shared" si="41"/>
        <v>No</v>
      </c>
      <c r="K691" s="5" t="str">
        <f t="shared" si="42"/>
        <v>No</v>
      </c>
      <c r="L691" s="25">
        <f t="shared" si="43"/>
        <v>70.403361344537814</v>
      </c>
    </row>
    <row r="692" spans="1:12">
      <c r="A692" s="9" t="s">
        <v>1154</v>
      </c>
      <c r="B692" s="8">
        <v>12</v>
      </c>
      <c r="C692" s="8" t="s">
        <v>39</v>
      </c>
      <c r="D692" s="8" t="s">
        <v>36</v>
      </c>
      <c r="E692" s="8" t="s">
        <v>1155</v>
      </c>
      <c r="F692" s="8">
        <v>134</v>
      </c>
      <c r="G692" s="8">
        <v>56.79</v>
      </c>
      <c r="H692" s="10">
        <v>33.01</v>
      </c>
      <c r="I692" s="8">
        <f t="shared" si="40"/>
        <v>1</v>
      </c>
      <c r="J692" s="8" t="str">
        <f t="shared" si="41"/>
        <v>No</v>
      </c>
      <c r="K692" s="5" t="str">
        <f t="shared" si="42"/>
        <v>No</v>
      </c>
      <c r="L692" s="25">
        <f t="shared" si="43"/>
        <v>47.722689075630257</v>
      </c>
    </row>
    <row r="693" spans="1:12">
      <c r="A693" s="9" t="s">
        <v>1156</v>
      </c>
      <c r="B693" s="8">
        <v>12</v>
      </c>
      <c r="C693" s="8" t="s">
        <v>35</v>
      </c>
      <c r="D693" s="8" t="s">
        <v>56</v>
      </c>
      <c r="E693" s="8" t="s">
        <v>522</v>
      </c>
      <c r="F693" s="8">
        <v>214</v>
      </c>
      <c r="G693" s="8">
        <v>83.18</v>
      </c>
      <c r="H693" s="10">
        <v>24.13</v>
      </c>
      <c r="I693" s="8">
        <f t="shared" si="40"/>
        <v>1</v>
      </c>
      <c r="J693" s="8" t="str">
        <f t="shared" si="41"/>
        <v>No</v>
      </c>
      <c r="K693" s="5" t="str">
        <f t="shared" si="42"/>
        <v>No</v>
      </c>
      <c r="L693" s="25">
        <f t="shared" si="43"/>
        <v>69.899159663865561</v>
      </c>
    </row>
    <row r="694" spans="1:12">
      <c r="A694" s="9" t="s">
        <v>1157</v>
      </c>
      <c r="B694" s="8">
        <v>12</v>
      </c>
      <c r="C694" s="8" t="s">
        <v>39</v>
      </c>
      <c r="D694" s="8" t="s">
        <v>36</v>
      </c>
      <c r="E694" s="8" t="s">
        <v>1158</v>
      </c>
      <c r="F694" s="8">
        <v>100</v>
      </c>
      <c r="G694" s="8">
        <v>46.91</v>
      </c>
      <c r="H694" s="10">
        <v>30.71</v>
      </c>
      <c r="I694" s="8">
        <f t="shared" si="40"/>
        <v>1</v>
      </c>
      <c r="J694" s="8" t="str">
        <f t="shared" si="41"/>
        <v>No</v>
      </c>
      <c r="K694" s="5" t="str">
        <f t="shared" si="42"/>
        <v>No</v>
      </c>
      <c r="L694" s="25">
        <f t="shared" si="43"/>
        <v>39.420168067226889</v>
      </c>
    </row>
    <row r="695" spans="1:12">
      <c r="A695" s="9" t="s">
        <v>1159</v>
      </c>
      <c r="B695" s="8">
        <v>12</v>
      </c>
      <c r="C695" s="8" t="s">
        <v>39</v>
      </c>
      <c r="D695" s="8" t="s">
        <v>56</v>
      </c>
      <c r="E695" s="8" t="s">
        <v>1160</v>
      </c>
      <c r="F695" s="8">
        <v>126</v>
      </c>
      <c r="G695" s="8">
        <v>55.29</v>
      </c>
      <c r="H695" s="10">
        <v>31.71</v>
      </c>
      <c r="I695" s="8">
        <f t="shared" si="40"/>
        <v>1</v>
      </c>
      <c r="J695" s="8" t="str">
        <f t="shared" si="41"/>
        <v>No</v>
      </c>
      <c r="K695" s="5" t="str">
        <f t="shared" si="42"/>
        <v>No</v>
      </c>
      <c r="L695" s="25">
        <f t="shared" si="43"/>
        <v>46.462184873949582</v>
      </c>
    </row>
    <row r="696" spans="1:12">
      <c r="A696" s="9" t="s">
        <v>1161</v>
      </c>
      <c r="B696" s="8">
        <v>12</v>
      </c>
      <c r="C696" s="8" t="s">
        <v>35</v>
      </c>
      <c r="D696" s="8" t="s">
        <v>36</v>
      </c>
      <c r="E696" s="8" t="s">
        <v>598</v>
      </c>
      <c r="F696" s="8">
        <v>168</v>
      </c>
      <c r="G696" s="8">
        <v>67.37</v>
      </c>
      <c r="H696" s="10">
        <v>26.93</v>
      </c>
      <c r="I696" s="8">
        <f t="shared" si="40"/>
        <v>1</v>
      </c>
      <c r="J696" s="8" t="str">
        <f t="shared" si="41"/>
        <v>No</v>
      </c>
      <c r="K696" s="5" t="str">
        <f t="shared" si="42"/>
        <v>No</v>
      </c>
      <c r="L696" s="25">
        <f t="shared" si="43"/>
        <v>56.613445378151269</v>
      </c>
    </row>
    <row r="697" spans="1:12">
      <c r="A697" s="9" t="s">
        <v>1162</v>
      </c>
      <c r="B697" s="8">
        <v>24</v>
      </c>
      <c r="C697" s="8" t="s">
        <v>35</v>
      </c>
      <c r="D697" s="8" t="s">
        <v>46</v>
      </c>
      <c r="E697" s="8" t="s">
        <v>740</v>
      </c>
      <c r="F697" s="8">
        <v>168</v>
      </c>
      <c r="G697" s="8">
        <v>70.48</v>
      </c>
      <c r="H697" s="10">
        <v>25.3</v>
      </c>
      <c r="I697" s="8">
        <f t="shared" si="40"/>
        <v>1</v>
      </c>
      <c r="J697" s="8" t="str">
        <f t="shared" si="41"/>
        <v>No</v>
      </c>
      <c r="K697" s="5" t="str">
        <f t="shared" si="42"/>
        <v>No</v>
      </c>
      <c r="L697" s="25">
        <f t="shared" si="43"/>
        <v>59.226890756302524</v>
      </c>
    </row>
    <row r="698" spans="1:12">
      <c r="A698" s="9" t="s">
        <v>1163</v>
      </c>
      <c r="B698" s="8">
        <v>12</v>
      </c>
      <c r="C698" s="8" t="s">
        <v>35</v>
      </c>
      <c r="D698" s="8" t="s">
        <v>56</v>
      </c>
      <c r="E698" s="8" t="s">
        <v>1164</v>
      </c>
      <c r="F698" s="8">
        <v>203</v>
      </c>
      <c r="G698" s="8">
        <v>80.099999999999994</v>
      </c>
      <c r="H698" s="10">
        <v>22.59</v>
      </c>
      <c r="I698" s="8">
        <f t="shared" si="40"/>
        <v>1</v>
      </c>
      <c r="J698" s="8" t="str">
        <f t="shared" si="41"/>
        <v>No</v>
      </c>
      <c r="K698" s="5" t="str">
        <f t="shared" si="42"/>
        <v>No</v>
      </c>
      <c r="L698" s="25">
        <f t="shared" si="43"/>
        <v>67.310924369747895</v>
      </c>
    </row>
    <row r="699" spans="1:12">
      <c r="A699" s="9" t="s">
        <v>1165</v>
      </c>
      <c r="B699" s="8">
        <v>24</v>
      </c>
      <c r="C699" s="8" t="s">
        <v>35</v>
      </c>
      <c r="D699" s="8" t="s">
        <v>36</v>
      </c>
      <c r="E699" s="8" t="s">
        <v>403</v>
      </c>
      <c r="F699" s="8">
        <v>173</v>
      </c>
      <c r="G699" s="8">
        <v>72.5</v>
      </c>
      <c r="H699" s="10">
        <v>25.33</v>
      </c>
      <c r="I699" s="8">
        <f t="shared" si="40"/>
        <v>1</v>
      </c>
      <c r="J699" s="8" t="str">
        <f t="shared" si="41"/>
        <v>No</v>
      </c>
      <c r="K699" s="5" t="str">
        <f t="shared" si="42"/>
        <v>No</v>
      </c>
      <c r="L699" s="25">
        <f t="shared" si="43"/>
        <v>60.924369747899163</v>
      </c>
    </row>
    <row r="700" spans="1:12">
      <c r="A700" s="9" t="s">
        <v>1166</v>
      </c>
      <c r="B700" s="8">
        <v>12</v>
      </c>
      <c r="C700" s="8" t="s">
        <v>35</v>
      </c>
      <c r="D700" s="8" t="s">
        <v>36</v>
      </c>
      <c r="E700" s="8" t="s">
        <v>1167</v>
      </c>
      <c r="F700" s="8">
        <v>185</v>
      </c>
      <c r="G700" s="8">
        <v>71.47</v>
      </c>
      <c r="H700" s="10">
        <v>24.16</v>
      </c>
      <c r="I700" s="8">
        <f t="shared" si="40"/>
        <v>1</v>
      </c>
      <c r="J700" s="8" t="str">
        <f t="shared" si="41"/>
        <v>No</v>
      </c>
      <c r="K700" s="5" t="str">
        <f t="shared" si="42"/>
        <v>No</v>
      </c>
      <c r="L700" s="25">
        <f t="shared" si="43"/>
        <v>60.058823529411768</v>
      </c>
    </row>
    <row r="701" spans="1:12">
      <c r="A701" s="9" t="s">
        <v>1168</v>
      </c>
      <c r="B701" s="8">
        <v>12</v>
      </c>
      <c r="C701" s="8" t="s">
        <v>51</v>
      </c>
      <c r="D701" s="8" t="s">
        <v>36</v>
      </c>
      <c r="E701" s="8" t="s">
        <v>1169</v>
      </c>
      <c r="F701" s="8">
        <v>446</v>
      </c>
      <c r="G701" s="8">
        <v>158.28</v>
      </c>
      <c r="H701" s="10">
        <v>20.72</v>
      </c>
      <c r="I701" s="8">
        <f t="shared" si="40"/>
        <v>1</v>
      </c>
      <c r="J701" s="8" t="str">
        <f t="shared" si="41"/>
        <v>No</v>
      </c>
      <c r="K701" s="5" t="str">
        <f t="shared" si="42"/>
        <v>No</v>
      </c>
      <c r="L701" s="25">
        <f t="shared" si="43"/>
        <v>133.00840336134453</v>
      </c>
    </row>
    <row r="702" spans="1:12">
      <c r="A702" s="9" t="s">
        <v>1170</v>
      </c>
      <c r="B702" s="8">
        <v>12</v>
      </c>
      <c r="C702" s="8" t="s">
        <v>35</v>
      </c>
      <c r="D702" s="8" t="s">
        <v>36</v>
      </c>
      <c r="E702" s="8" t="s">
        <v>1171</v>
      </c>
      <c r="F702" s="8">
        <v>300</v>
      </c>
      <c r="G702" s="8">
        <v>109.33</v>
      </c>
      <c r="H702" s="10">
        <v>23.73</v>
      </c>
      <c r="I702" s="8">
        <f t="shared" si="40"/>
        <v>1</v>
      </c>
      <c r="J702" s="8" t="str">
        <f t="shared" si="41"/>
        <v>No</v>
      </c>
      <c r="K702" s="5" t="str">
        <f t="shared" si="42"/>
        <v>No</v>
      </c>
      <c r="L702" s="25">
        <f t="shared" si="43"/>
        <v>91.87394957983193</v>
      </c>
    </row>
    <row r="703" spans="1:12">
      <c r="A703" s="9" t="s">
        <v>1172</v>
      </c>
      <c r="B703" s="8">
        <v>12</v>
      </c>
      <c r="C703" s="8" t="s">
        <v>35</v>
      </c>
      <c r="D703" s="8" t="s">
        <v>46</v>
      </c>
      <c r="E703" s="8" t="s">
        <v>496</v>
      </c>
      <c r="F703" s="8">
        <v>262</v>
      </c>
      <c r="G703" s="8">
        <v>93.07</v>
      </c>
      <c r="H703" s="10">
        <v>23.52</v>
      </c>
      <c r="I703" s="8">
        <f t="shared" si="40"/>
        <v>1</v>
      </c>
      <c r="J703" s="8" t="str">
        <f t="shared" si="41"/>
        <v>No</v>
      </c>
      <c r="K703" s="5" t="str">
        <f t="shared" si="42"/>
        <v>No</v>
      </c>
      <c r="L703" s="25">
        <f t="shared" si="43"/>
        <v>78.210084033613441</v>
      </c>
    </row>
    <row r="704" spans="1:12">
      <c r="A704" s="9" t="s">
        <v>1173</v>
      </c>
      <c r="B704" s="8">
        <v>12</v>
      </c>
      <c r="C704" s="8" t="s">
        <v>39</v>
      </c>
      <c r="D704" s="8" t="s">
        <v>56</v>
      </c>
      <c r="E704" s="8" t="s">
        <v>100</v>
      </c>
      <c r="F704" s="8">
        <v>126</v>
      </c>
      <c r="G704" s="8">
        <v>55.63</v>
      </c>
      <c r="H704" s="10">
        <v>31.66</v>
      </c>
      <c r="I704" s="8">
        <f t="shared" si="40"/>
        <v>1</v>
      </c>
      <c r="J704" s="8" t="str">
        <f t="shared" si="41"/>
        <v>No</v>
      </c>
      <c r="K704" s="5" t="str">
        <f t="shared" si="42"/>
        <v>No</v>
      </c>
      <c r="L704" s="25">
        <f t="shared" si="43"/>
        <v>46.747899159663866</v>
      </c>
    </row>
    <row r="705" spans="1:12">
      <c r="A705" s="9" t="s">
        <v>1174</v>
      </c>
      <c r="B705" s="8">
        <v>12</v>
      </c>
      <c r="C705" s="8" t="s">
        <v>39</v>
      </c>
      <c r="D705" s="8" t="s">
        <v>36</v>
      </c>
      <c r="E705" s="8" t="s">
        <v>1028</v>
      </c>
      <c r="F705" s="8">
        <v>108</v>
      </c>
      <c r="G705" s="8">
        <v>50.04</v>
      </c>
      <c r="H705" s="10">
        <v>29</v>
      </c>
      <c r="I705" s="8">
        <f t="shared" si="40"/>
        <v>1</v>
      </c>
      <c r="J705" s="8" t="str">
        <f t="shared" si="41"/>
        <v>No</v>
      </c>
      <c r="K705" s="5" t="str">
        <f t="shared" si="42"/>
        <v>No</v>
      </c>
      <c r="L705" s="25">
        <f t="shared" si="43"/>
        <v>42.050420168067227</v>
      </c>
    </row>
    <row r="706" spans="1:12">
      <c r="A706" s="9" t="s">
        <v>1175</v>
      </c>
      <c r="B706" s="8">
        <v>12</v>
      </c>
      <c r="C706" s="8" t="s">
        <v>35</v>
      </c>
      <c r="D706" s="8" t="s">
        <v>36</v>
      </c>
      <c r="E706" s="8" t="s">
        <v>420</v>
      </c>
      <c r="F706" s="8">
        <v>322</v>
      </c>
      <c r="G706" s="8">
        <v>117.23</v>
      </c>
      <c r="H706" s="10">
        <v>25.38</v>
      </c>
      <c r="I706" s="8">
        <f t="shared" ref="I706:I769" si="44">COUNTIF($A:$A,A706)</f>
        <v>1</v>
      </c>
      <c r="J706" s="8" t="str">
        <f t="shared" ref="J706:J769" si="45">IF(F706=0,"Yes","No")</f>
        <v>No</v>
      </c>
      <c r="K706" s="5" t="str">
        <f t="shared" ref="K706:K769" si="46">IF(F706&lt;0,"Yes","No")</f>
        <v>No</v>
      </c>
      <c r="L706" s="25">
        <f t="shared" ref="L706:L769" si="47">G706/1.19</f>
        <v>98.512605042016816</v>
      </c>
    </row>
    <row r="707" spans="1:12">
      <c r="A707" s="9" t="s">
        <v>1176</v>
      </c>
      <c r="B707" s="8">
        <v>24</v>
      </c>
      <c r="C707" s="8" t="s">
        <v>35</v>
      </c>
      <c r="D707" s="8" t="s">
        <v>36</v>
      </c>
      <c r="E707" s="8" t="s">
        <v>1177</v>
      </c>
      <c r="F707" s="8">
        <v>233</v>
      </c>
      <c r="G707" s="8">
        <v>88.74</v>
      </c>
      <c r="H707" s="10">
        <v>23.94</v>
      </c>
      <c r="I707" s="8">
        <f t="shared" si="44"/>
        <v>1</v>
      </c>
      <c r="J707" s="8" t="str">
        <f t="shared" si="45"/>
        <v>No</v>
      </c>
      <c r="K707" s="5" t="str">
        <f t="shared" si="46"/>
        <v>No</v>
      </c>
      <c r="L707" s="25">
        <f t="shared" si="47"/>
        <v>74.571428571428569</v>
      </c>
    </row>
    <row r="708" spans="1:12">
      <c r="A708" s="9" t="s">
        <v>1178</v>
      </c>
      <c r="B708" s="8">
        <v>12</v>
      </c>
      <c r="C708" s="8" t="s">
        <v>35</v>
      </c>
      <c r="D708" s="8" t="s">
        <v>46</v>
      </c>
      <c r="E708" s="8" t="s">
        <v>1179</v>
      </c>
      <c r="F708" s="8">
        <v>182</v>
      </c>
      <c r="G708" s="8">
        <v>74.260000000000005</v>
      </c>
      <c r="H708" s="10">
        <v>24.06</v>
      </c>
      <c r="I708" s="8">
        <f t="shared" si="44"/>
        <v>1</v>
      </c>
      <c r="J708" s="8" t="str">
        <f t="shared" si="45"/>
        <v>No</v>
      </c>
      <c r="K708" s="5" t="str">
        <f t="shared" si="46"/>
        <v>No</v>
      </c>
      <c r="L708" s="25">
        <f t="shared" si="47"/>
        <v>62.403361344537821</v>
      </c>
    </row>
    <row r="709" spans="1:12">
      <c r="A709" s="9" t="s">
        <v>1180</v>
      </c>
      <c r="B709" s="8">
        <v>24</v>
      </c>
      <c r="C709" s="8" t="s">
        <v>35</v>
      </c>
      <c r="D709" s="8" t="s">
        <v>36</v>
      </c>
      <c r="E709" s="8" t="s">
        <v>656</v>
      </c>
      <c r="F709" s="8">
        <v>269</v>
      </c>
      <c r="G709" s="8">
        <v>99.5</v>
      </c>
      <c r="H709" s="10">
        <v>23.23</v>
      </c>
      <c r="I709" s="8">
        <f t="shared" si="44"/>
        <v>1</v>
      </c>
      <c r="J709" s="8" t="str">
        <f t="shared" si="45"/>
        <v>No</v>
      </c>
      <c r="K709" s="5" t="str">
        <f t="shared" si="46"/>
        <v>No</v>
      </c>
      <c r="L709" s="25">
        <f t="shared" si="47"/>
        <v>83.613445378151269</v>
      </c>
    </row>
    <row r="710" spans="1:12">
      <c r="A710" s="9" t="s">
        <v>1181</v>
      </c>
      <c r="B710" s="8">
        <v>12</v>
      </c>
      <c r="C710" s="8" t="s">
        <v>35</v>
      </c>
      <c r="D710" s="8" t="s">
        <v>46</v>
      </c>
      <c r="E710" s="8" t="s">
        <v>1182</v>
      </c>
      <c r="F710" s="8">
        <v>186</v>
      </c>
      <c r="G710" s="8">
        <v>74.81</v>
      </c>
      <c r="H710" s="10">
        <v>24.29</v>
      </c>
      <c r="I710" s="8">
        <f t="shared" si="44"/>
        <v>1</v>
      </c>
      <c r="J710" s="8" t="str">
        <f t="shared" si="45"/>
        <v>No</v>
      </c>
      <c r="K710" s="5" t="str">
        <f t="shared" si="46"/>
        <v>No</v>
      </c>
      <c r="L710" s="25">
        <f t="shared" si="47"/>
        <v>62.865546218487403</v>
      </c>
    </row>
    <row r="711" spans="1:12">
      <c r="A711" s="9" t="s">
        <v>1183</v>
      </c>
      <c r="B711" s="8">
        <v>24</v>
      </c>
      <c r="C711" s="8" t="s">
        <v>51</v>
      </c>
      <c r="D711" s="8" t="s">
        <v>46</v>
      </c>
      <c r="E711" s="8" t="s">
        <v>1184</v>
      </c>
      <c r="F711" s="8">
        <v>448</v>
      </c>
      <c r="G711" s="8">
        <v>155.51</v>
      </c>
      <c r="H711" s="10">
        <v>18.13</v>
      </c>
      <c r="I711" s="8">
        <f t="shared" si="44"/>
        <v>1</v>
      </c>
      <c r="J711" s="8" t="str">
        <f t="shared" si="45"/>
        <v>No</v>
      </c>
      <c r="K711" s="5" t="str">
        <f t="shared" si="46"/>
        <v>No</v>
      </c>
      <c r="L711" s="25">
        <f t="shared" si="47"/>
        <v>130.68067226890756</v>
      </c>
    </row>
    <row r="712" spans="1:12">
      <c r="A712" s="9" t="s">
        <v>1185</v>
      </c>
      <c r="B712" s="8">
        <v>24</v>
      </c>
      <c r="C712" s="8" t="s">
        <v>51</v>
      </c>
      <c r="D712" s="8" t="s">
        <v>46</v>
      </c>
      <c r="E712" s="8" t="s">
        <v>1186</v>
      </c>
      <c r="F712" s="8">
        <v>502</v>
      </c>
      <c r="G712" s="8">
        <v>167.18</v>
      </c>
      <c r="H712" s="10">
        <v>16.7</v>
      </c>
      <c r="I712" s="8">
        <f t="shared" si="44"/>
        <v>1</v>
      </c>
      <c r="J712" s="8" t="str">
        <f t="shared" si="45"/>
        <v>No</v>
      </c>
      <c r="K712" s="5" t="str">
        <f t="shared" si="46"/>
        <v>No</v>
      </c>
      <c r="L712" s="25">
        <f t="shared" si="47"/>
        <v>140.48739495798321</v>
      </c>
    </row>
    <row r="713" spans="1:12">
      <c r="A713" s="9" t="s">
        <v>1187</v>
      </c>
      <c r="B713" s="8">
        <v>24</v>
      </c>
      <c r="C713" s="8" t="s">
        <v>35</v>
      </c>
      <c r="D713" s="8" t="s">
        <v>36</v>
      </c>
      <c r="E713" s="8" t="s">
        <v>185</v>
      </c>
      <c r="F713" s="8">
        <v>312</v>
      </c>
      <c r="G713" s="8">
        <v>119.3</v>
      </c>
      <c r="H713" s="10">
        <v>23.09</v>
      </c>
      <c r="I713" s="8">
        <f t="shared" si="44"/>
        <v>1</v>
      </c>
      <c r="J713" s="8" t="str">
        <f t="shared" si="45"/>
        <v>No</v>
      </c>
      <c r="K713" s="5" t="str">
        <f t="shared" si="46"/>
        <v>No</v>
      </c>
      <c r="L713" s="25">
        <f t="shared" si="47"/>
        <v>100.25210084033614</v>
      </c>
    </row>
    <row r="714" spans="1:12">
      <c r="A714" s="9" t="s">
        <v>1188</v>
      </c>
      <c r="B714" s="8">
        <v>12</v>
      </c>
      <c r="C714" s="8" t="s">
        <v>51</v>
      </c>
      <c r="D714" s="8" t="s">
        <v>46</v>
      </c>
      <c r="E714" s="8" t="s">
        <v>1189</v>
      </c>
      <c r="F714" s="8">
        <v>498</v>
      </c>
      <c r="G714" s="8">
        <v>163.34</v>
      </c>
      <c r="H714" s="10">
        <v>16.53</v>
      </c>
      <c r="I714" s="8">
        <f t="shared" si="44"/>
        <v>1</v>
      </c>
      <c r="J714" s="8" t="str">
        <f t="shared" si="45"/>
        <v>No</v>
      </c>
      <c r="K714" s="5" t="str">
        <f t="shared" si="46"/>
        <v>No</v>
      </c>
      <c r="L714" s="25">
        <f t="shared" si="47"/>
        <v>137.26050420168067</v>
      </c>
    </row>
    <row r="715" spans="1:12">
      <c r="A715" s="9" t="s">
        <v>1190</v>
      </c>
      <c r="B715" s="8">
        <v>12</v>
      </c>
      <c r="C715" s="8" t="s">
        <v>39</v>
      </c>
      <c r="D715" s="8" t="s">
        <v>36</v>
      </c>
      <c r="E715" s="8" t="s">
        <v>493</v>
      </c>
      <c r="F715" s="8">
        <v>142</v>
      </c>
      <c r="G715" s="8">
        <v>64.02</v>
      </c>
      <c r="H715" s="10">
        <v>31.91</v>
      </c>
      <c r="I715" s="8">
        <f t="shared" si="44"/>
        <v>1</v>
      </c>
      <c r="J715" s="8" t="str">
        <f t="shared" si="45"/>
        <v>No</v>
      </c>
      <c r="K715" s="5" t="str">
        <f t="shared" si="46"/>
        <v>No</v>
      </c>
      <c r="L715" s="25">
        <f t="shared" si="47"/>
        <v>53.798319327731093</v>
      </c>
    </row>
    <row r="716" spans="1:12">
      <c r="A716" s="9" t="s">
        <v>1191</v>
      </c>
      <c r="B716" s="8">
        <v>12</v>
      </c>
      <c r="C716" s="8" t="s">
        <v>39</v>
      </c>
      <c r="D716" s="8" t="s">
        <v>36</v>
      </c>
      <c r="E716" s="8" t="s">
        <v>1192</v>
      </c>
      <c r="F716" s="8">
        <v>166</v>
      </c>
      <c r="G716" s="8">
        <v>68.510000000000005</v>
      </c>
      <c r="H716" s="10">
        <v>33.86</v>
      </c>
      <c r="I716" s="8">
        <f t="shared" si="44"/>
        <v>1</v>
      </c>
      <c r="J716" s="8" t="str">
        <f t="shared" si="45"/>
        <v>No</v>
      </c>
      <c r="K716" s="5" t="str">
        <f t="shared" si="46"/>
        <v>No</v>
      </c>
      <c r="L716" s="25">
        <f t="shared" si="47"/>
        <v>57.571428571428577</v>
      </c>
    </row>
    <row r="717" spans="1:12">
      <c r="A717" s="9" t="s">
        <v>1193</v>
      </c>
      <c r="B717" s="8">
        <v>24</v>
      </c>
      <c r="C717" s="8" t="s">
        <v>39</v>
      </c>
      <c r="D717" s="8" t="s">
        <v>56</v>
      </c>
      <c r="E717" s="8" t="s">
        <v>290</v>
      </c>
      <c r="F717" s="8">
        <v>94</v>
      </c>
      <c r="G717" s="8">
        <v>45.6</v>
      </c>
      <c r="H717" s="10">
        <v>29.58</v>
      </c>
      <c r="I717" s="8">
        <f t="shared" si="44"/>
        <v>1</v>
      </c>
      <c r="J717" s="8" t="str">
        <f t="shared" si="45"/>
        <v>No</v>
      </c>
      <c r="K717" s="5" t="str">
        <f t="shared" si="46"/>
        <v>No</v>
      </c>
      <c r="L717" s="25">
        <f t="shared" si="47"/>
        <v>38.319327731092443</v>
      </c>
    </row>
    <row r="718" spans="1:12">
      <c r="A718" s="9" t="s">
        <v>1194</v>
      </c>
      <c r="B718" s="8">
        <v>24</v>
      </c>
      <c r="C718" s="8" t="s">
        <v>35</v>
      </c>
      <c r="D718" s="8" t="s">
        <v>46</v>
      </c>
      <c r="E718" s="8" t="s">
        <v>1195</v>
      </c>
      <c r="F718" s="8">
        <v>213</v>
      </c>
      <c r="G718" s="8">
        <v>86.2</v>
      </c>
      <c r="H718" s="10">
        <v>26.91</v>
      </c>
      <c r="I718" s="8">
        <f t="shared" si="44"/>
        <v>1</v>
      </c>
      <c r="J718" s="8" t="str">
        <f t="shared" si="45"/>
        <v>No</v>
      </c>
      <c r="K718" s="5" t="str">
        <f t="shared" si="46"/>
        <v>No</v>
      </c>
      <c r="L718" s="25">
        <f t="shared" si="47"/>
        <v>72.436974789915979</v>
      </c>
    </row>
    <row r="719" spans="1:12">
      <c r="A719" s="9" t="s">
        <v>1196</v>
      </c>
      <c r="B719" s="8">
        <v>24</v>
      </c>
      <c r="C719" s="8" t="s">
        <v>51</v>
      </c>
      <c r="D719" s="8" t="s">
        <v>36</v>
      </c>
      <c r="E719" s="8" t="s">
        <v>1197</v>
      </c>
      <c r="F719" s="8">
        <v>465</v>
      </c>
      <c r="G719" s="8">
        <v>167.99</v>
      </c>
      <c r="H719" s="10">
        <v>18.23</v>
      </c>
      <c r="I719" s="8">
        <f t="shared" si="44"/>
        <v>1</v>
      </c>
      <c r="J719" s="8" t="str">
        <f t="shared" si="45"/>
        <v>No</v>
      </c>
      <c r="K719" s="5" t="str">
        <f t="shared" si="46"/>
        <v>No</v>
      </c>
      <c r="L719" s="25">
        <f t="shared" si="47"/>
        <v>141.16806722689077</v>
      </c>
    </row>
    <row r="720" spans="1:12">
      <c r="A720" s="9" t="s">
        <v>1198</v>
      </c>
      <c r="B720" s="8">
        <v>12</v>
      </c>
      <c r="C720" s="8" t="s">
        <v>39</v>
      </c>
      <c r="D720" s="8" t="s">
        <v>36</v>
      </c>
      <c r="E720" s="8" t="s">
        <v>1192</v>
      </c>
      <c r="F720" s="8">
        <v>118</v>
      </c>
      <c r="G720" s="8">
        <v>51.36</v>
      </c>
      <c r="H720" s="10">
        <v>32.68</v>
      </c>
      <c r="I720" s="8">
        <f t="shared" si="44"/>
        <v>1</v>
      </c>
      <c r="J720" s="8" t="str">
        <f t="shared" si="45"/>
        <v>No</v>
      </c>
      <c r="K720" s="5" t="str">
        <f t="shared" si="46"/>
        <v>No</v>
      </c>
      <c r="L720" s="25">
        <f t="shared" si="47"/>
        <v>43.159663865546221</v>
      </c>
    </row>
    <row r="721" spans="1:12">
      <c r="A721" s="9" t="s">
        <v>1199</v>
      </c>
      <c r="B721" s="8">
        <v>24</v>
      </c>
      <c r="C721" s="8" t="s">
        <v>51</v>
      </c>
      <c r="D721" s="8" t="s">
        <v>36</v>
      </c>
      <c r="E721" s="8" t="s">
        <v>443</v>
      </c>
      <c r="F721" s="8">
        <v>470</v>
      </c>
      <c r="G721" s="8">
        <v>167.95</v>
      </c>
      <c r="H721" s="10">
        <v>20.53</v>
      </c>
      <c r="I721" s="8">
        <f t="shared" si="44"/>
        <v>1</v>
      </c>
      <c r="J721" s="8" t="str">
        <f t="shared" si="45"/>
        <v>No</v>
      </c>
      <c r="K721" s="5" t="str">
        <f t="shared" si="46"/>
        <v>No</v>
      </c>
      <c r="L721" s="25">
        <f t="shared" si="47"/>
        <v>141.1344537815126</v>
      </c>
    </row>
    <row r="722" spans="1:12">
      <c r="A722" s="9" t="s">
        <v>1200</v>
      </c>
      <c r="B722" s="8">
        <v>24</v>
      </c>
      <c r="C722" s="8" t="s">
        <v>39</v>
      </c>
      <c r="D722" s="8" t="s">
        <v>36</v>
      </c>
      <c r="E722" s="8" t="s">
        <v>1201</v>
      </c>
      <c r="F722" s="8">
        <v>159</v>
      </c>
      <c r="G722" s="8">
        <v>68.510000000000005</v>
      </c>
      <c r="H722" s="10">
        <v>31.79</v>
      </c>
      <c r="I722" s="8">
        <f t="shared" si="44"/>
        <v>1</v>
      </c>
      <c r="J722" s="8" t="str">
        <f t="shared" si="45"/>
        <v>No</v>
      </c>
      <c r="K722" s="5" t="str">
        <f t="shared" si="46"/>
        <v>No</v>
      </c>
      <c r="L722" s="25">
        <f t="shared" si="47"/>
        <v>57.571428571428577</v>
      </c>
    </row>
    <row r="723" spans="1:12">
      <c r="A723" s="9" t="s">
        <v>1202</v>
      </c>
      <c r="B723" s="8">
        <v>12</v>
      </c>
      <c r="C723" s="8" t="s">
        <v>51</v>
      </c>
      <c r="D723" s="8" t="s">
        <v>36</v>
      </c>
      <c r="E723" s="8" t="s">
        <v>1028</v>
      </c>
      <c r="F723" s="8">
        <v>572</v>
      </c>
      <c r="G723" s="8">
        <v>179.98</v>
      </c>
      <c r="H723" s="10">
        <v>18.5</v>
      </c>
      <c r="I723" s="8">
        <f t="shared" si="44"/>
        <v>1</v>
      </c>
      <c r="J723" s="8" t="str">
        <f t="shared" si="45"/>
        <v>No</v>
      </c>
      <c r="K723" s="5" t="str">
        <f t="shared" si="46"/>
        <v>No</v>
      </c>
      <c r="L723" s="25">
        <f t="shared" si="47"/>
        <v>151.24369747899161</v>
      </c>
    </row>
    <row r="724" spans="1:12">
      <c r="A724" s="9" t="s">
        <v>1203</v>
      </c>
      <c r="B724" s="8">
        <v>12</v>
      </c>
      <c r="C724" s="8" t="s">
        <v>35</v>
      </c>
      <c r="D724" s="8" t="s">
        <v>36</v>
      </c>
      <c r="E724" s="8" t="s">
        <v>646</v>
      </c>
      <c r="F724" s="8">
        <v>268</v>
      </c>
      <c r="G724" s="8">
        <v>99.03</v>
      </c>
      <c r="H724" s="10">
        <v>25.13</v>
      </c>
      <c r="I724" s="8">
        <f t="shared" si="44"/>
        <v>1</v>
      </c>
      <c r="J724" s="8" t="str">
        <f t="shared" si="45"/>
        <v>No</v>
      </c>
      <c r="K724" s="5" t="str">
        <f t="shared" si="46"/>
        <v>No</v>
      </c>
      <c r="L724" s="25">
        <f t="shared" si="47"/>
        <v>83.21848739495799</v>
      </c>
    </row>
    <row r="725" spans="1:12">
      <c r="A725" s="9" t="s">
        <v>1204</v>
      </c>
      <c r="B725" s="8">
        <v>24</v>
      </c>
      <c r="C725" s="8" t="s">
        <v>39</v>
      </c>
      <c r="D725" s="8" t="s">
        <v>36</v>
      </c>
      <c r="E725" s="8" t="s">
        <v>1205</v>
      </c>
      <c r="F725" s="8">
        <v>109</v>
      </c>
      <c r="G725" s="8">
        <v>49.65</v>
      </c>
      <c r="H725" s="10">
        <v>29.06</v>
      </c>
      <c r="I725" s="8">
        <f t="shared" si="44"/>
        <v>1</v>
      </c>
      <c r="J725" s="8" t="str">
        <f t="shared" si="45"/>
        <v>No</v>
      </c>
      <c r="K725" s="5" t="str">
        <f t="shared" si="46"/>
        <v>No</v>
      </c>
      <c r="L725" s="25">
        <f t="shared" si="47"/>
        <v>41.72268907563025</v>
      </c>
    </row>
    <row r="726" spans="1:12">
      <c r="A726" s="9" t="s">
        <v>1206</v>
      </c>
      <c r="B726" s="8">
        <v>24</v>
      </c>
      <c r="C726" s="8" t="s">
        <v>35</v>
      </c>
      <c r="D726" s="8" t="s">
        <v>46</v>
      </c>
      <c r="E726" s="8" t="s">
        <v>1207</v>
      </c>
      <c r="F726" s="8">
        <v>304</v>
      </c>
      <c r="G726" s="8">
        <v>111.99</v>
      </c>
      <c r="H726" s="10">
        <v>25.96</v>
      </c>
      <c r="I726" s="8">
        <f t="shared" si="44"/>
        <v>1</v>
      </c>
      <c r="J726" s="8" t="str">
        <f t="shared" si="45"/>
        <v>No</v>
      </c>
      <c r="K726" s="5" t="str">
        <f t="shared" si="46"/>
        <v>No</v>
      </c>
      <c r="L726" s="25">
        <f t="shared" si="47"/>
        <v>94.109243697478988</v>
      </c>
    </row>
    <row r="727" spans="1:12">
      <c r="A727" s="9" t="s">
        <v>1208</v>
      </c>
      <c r="B727" s="8">
        <v>24</v>
      </c>
      <c r="C727" s="8" t="s">
        <v>39</v>
      </c>
      <c r="D727" s="8" t="s">
        <v>46</v>
      </c>
      <c r="E727" s="8" t="s">
        <v>1209</v>
      </c>
      <c r="F727" s="8">
        <v>163</v>
      </c>
      <c r="G727" s="8">
        <v>64.06</v>
      </c>
      <c r="H727" s="10">
        <v>28.1</v>
      </c>
      <c r="I727" s="8">
        <f t="shared" si="44"/>
        <v>1</v>
      </c>
      <c r="J727" s="8" t="str">
        <f t="shared" si="45"/>
        <v>No</v>
      </c>
      <c r="K727" s="5" t="str">
        <f t="shared" si="46"/>
        <v>No</v>
      </c>
      <c r="L727" s="25">
        <f t="shared" si="47"/>
        <v>53.831932773109251</v>
      </c>
    </row>
    <row r="728" spans="1:12">
      <c r="A728" s="9" t="s">
        <v>1210</v>
      </c>
      <c r="B728" s="8">
        <v>12</v>
      </c>
      <c r="C728" s="8" t="s">
        <v>39</v>
      </c>
      <c r="D728" s="8" t="s">
        <v>46</v>
      </c>
      <c r="E728" s="8" t="s">
        <v>1211</v>
      </c>
      <c r="F728" s="8">
        <v>152</v>
      </c>
      <c r="G728" s="8">
        <v>68.19</v>
      </c>
      <c r="H728" s="10">
        <v>30.41</v>
      </c>
      <c r="I728" s="8">
        <f t="shared" si="44"/>
        <v>1</v>
      </c>
      <c r="J728" s="8" t="str">
        <f t="shared" si="45"/>
        <v>No</v>
      </c>
      <c r="K728" s="5" t="str">
        <f t="shared" si="46"/>
        <v>No</v>
      </c>
      <c r="L728" s="25">
        <f t="shared" si="47"/>
        <v>57.30252100840336</v>
      </c>
    </row>
    <row r="729" spans="1:12">
      <c r="A729" s="9" t="s">
        <v>1212</v>
      </c>
      <c r="B729" s="8">
        <v>24</v>
      </c>
      <c r="C729" s="8" t="s">
        <v>39</v>
      </c>
      <c r="D729" s="8" t="s">
        <v>36</v>
      </c>
      <c r="E729" s="8" t="s">
        <v>1213</v>
      </c>
      <c r="F729" s="8">
        <v>83</v>
      </c>
      <c r="G729" s="8">
        <v>40.1</v>
      </c>
      <c r="H729" s="10">
        <v>30.64</v>
      </c>
      <c r="I729" s="8">
        <f t="shared" si="44"/>
        <v>1</v>
      </c>
      <c r="J729" s="8" t="str">
        <f t="shared" si="45"/>
        <v>No</v>
      </c>
      <c r="K729" s="5" t="str">
        <f t="shared" si="46"/>
        <v>No</v>
      </c>
      <c r="L729" s="25">
        <f t="shared" si="47"/>
        <v>33.69747899159664</v>
      </c>
    </row>
    <row r="730" spans="1:12">
      <c r="A730" s="9" t="s">
        <v>1214</v>
      </c>
      <c r="B730" s="8">
        <v>12</v>
      </c>
      <c r="C730" s="8" t="s">
        <v>51</v>
      </c>
      <c r="D730" s="8" t="s">
        <v>56</v>
      </c>
      <c r="E730" s="8" t="s">
        <v>141</v>
      </c>
      <c r="F730" s="8">
        <v>546</v>
      </c>
      <c r="G730" s="8">
        <v>185.14</v>
      </c>
      <c r="H730" s="10">
        <v>19.940000000000001</v>
      </c>
      <c r="I730" s="8">
        <f t="shared" si="44"/>
        <v>1</v>
      </c>
      <c r="J730" s="8" t="str">
        <f t="shared" si="45"/>
        <v>No</v>
      </c>
      <c r="K730" s="5" t="str">
        <f t="shared" si="46"/>
        <v>No</v>
      </c>
      <c r="L730" s="25">
        <f t="shared" si="47"/>
        <v>155.57983193277312</v>
      </c>
    </row>
    <row r="731" spans="1:12">
      <c r="A731" s="9" t="s">
        <v>1215</v>
      </c>
      <c r="B731" s="8">
        <v>12</v>
      </c>
      <c r="C731" s="8" t="s">
        <v>35</v>
      </c>
      <c r="D731" s="8" t="s">
        <v>56</v>
      </c>
      <c r="E731" s="8" t="s">
        <v>347</v>
      </c>
      <c r="F731" s="8">
        <v>176</v>
      </c>
      <c r="G731" s="8">
        <v>67.3</v>
      </c>
      <c r="H731" s="10">
        <v>22.48</v>
      </c>
      <c r="I731" s="8">
        <f t="shared" si="44"/>
        <v>1</v>
      </c>
      <c r="J731" s="8" t="str">
        <f t="shared" si="45"/>
        <v>No</v>
      </c>
      <c r="K731" s="5" t="str">
        <f t="shared" si="46"/>
        <v>No</v>
      </c>
      <c r="L731" s="25">
        <f t="shared" si="47"/>
        <v>56.554621848739494</v>
      </c>
    </row>
    <row r="732" spans="1:12">
      <c r="A732" s="9" t="s">
        <v>1216</v>
      </c>
      <c r="B732" s="8">
        <v>12</v>
      </c>
      <c r="C732" s="8" t="s">
        <v>39</v>
      </c>
      <c r="D732" s="8" t="s">
        <v>56</v>
      </c>
      <c r="E732" s="8" t="s">
        <v>1217</v>
      </c>
      <c r="F732" s="8">
        <v>105</v>
      </c>
      <c r="G732" s="8">
        <v>47.42</v>
      </c>
      <c r="H732" s="10">
        <v>31.75</v>
      </c>
      <c r="I732" s="8">
        <f t="shared" si="44"/>
        <v>1</v>
      </c>
      <c r="J732" s="8" t="str">
        <f t="shared" si="45"/>
        <v>No</v>
      </c>
      <c r="K732" s="5" t="str">
        <f t="shared" si="46"/>
        <v>No</v>
      </c>
      <c r="L732" s="25">
        <f t="shared" si="47"/>
        <v>39.84873949579832</v>
      </c>
    </row>
    <row r="733" spans="1:12">
      <c r="A733" s="9" t="s">
        <v>1218</v>
      </c>
      <c r="B733" s="8">
        <v>24</v>
      </c>
      <c r="C733" s="8" t="s">
        <v>35</v>
      </c>
      <c r="D733" s="8" t="s">
        <v>56</v>
      </c>
      <c r="E733" s="8" t="s">
        <v>108</v>
      </c>
      <c r="F733" s="8">
        <v>177</v>
      </c>
      <c r="G733" s="8">
        <v>67.41</v>
      </c>
      <c r="H733" s="10">
        <v>22.72</v>
      </c>
      <c r="I733" s="8">
        <f t="shared" si="44"/>
        <v>1</v>
      </c>
      <c r="J733" s="8" t="str">
        <f t="shared" si="45"/>
        <v>No</v>
      </c>
      <c r="K733" s="5" t="str">
        <f t="shared" si="46"/>
        <v>No</v>
      </c>
      <c r="L733" s="25">
        <f t="shared" si="47"/>
        <v>56.647058823529413</v>
      </c>
    </row>
    <row r="734" spans="1:12">
      <c r="A734" s="9" t="s">
        <v>1219</v>
      </c>
      <c r="B734" s="8">
        <v>24</v>
      </c>
      <c r="C734" s="8" t="s">
        <v>35</v>
      </c>
      <c r="D734" s="8" t="s">
        <v>56</v>
      </c>
      <c r="E734" s="8" t="s">
        <v>1220</v>
      </c>
      <c r="F734" s="8">
        <v>267</v>
      </c>
      <c r="G734" s="8">
        <v>105.57</v>
      </c>
      <c r="H734" s="10">
        <v>24.49</v>
      </c>
      <c r="I734" s="8">
        <f t="shared" si="44"/>
        <v>1</v>
      </c>
      <c r="J734" s="8" t="str">
        <f t="shared" si="45"/>
        <v>No</v>
      </c>
      <c r="K734" s="5" t="str">
        <f t="shared" si="46"/>
        <v>No</v>
      </c>
      <c r="L734" s="25">
        <f t="shared" si="47"/>
        <v>88.714285714285708</v>
      </c>
    </row>
    <row r="735" spans="1:12">
      <c r="A735" s="9" t="s">
        <v>1221</v>
      </c>
      <c r="B735" s="8">
        <v>12</v>
      </c>
      <c r="C735" s="8" t="s">
        <v>39</v>
      </c>
      <c r="D735" s="8" t="s">
        <v>36</v>
      </c>
      <c r="E735" s="8" t="s">
        <v>798</v>
      </c>
      <c r="F735" s="8">
        <v>141</v>
      </c>
      <c r="G735" s="8">
        <v>64.86</v>
      </c>
      <c r="H735" s="10">
        <v>28.89</v>
      </c>
      <c r="I735" s="8">
        <f t="shared" si="44"/>
        <v>1</v>
      </c>
      <c r="J735" s="8" t="str">
        <f t="shared" si="45"/>
        <v>No</v>
      </c>
      <c r="K735" s="5" t="str">
        <f t="shared" si="46"/>
        <v>No</v>
      </c>
      <c r="L735" s="25">
        <f t="shared" si="47"/>
        <v>54.504201680672274</v>
      </c>
    </row>
    <row r="736" spans="1:12">
      <c r="A736" s="9" t="s">
        <v>1222</v>
      </c>
      <c r="B736" s="8">
        <v>12</v>
      </c>
      <c r="C736" s="8" t="s">
        <v>35</v>
      </c>
      <c r="D736" s="8" t="s">
        <v>36</v>
      </c>
      <c r="E736" s="8" t="s">
        <v>1223</v>
      </c>
      <c r="F736" s="8">
        <v>186</v>
      </c>
      <c r="G736" s="8">
        <v>71.8</v>
      </c>
      <c r="H736" s="10">
        <v>23.23</v>
      </c>
      <c r="I736" s="8">
        <f t="shared" si="44"/>
        <v>1</v>
      </c>
      <c r="J736" s="8" t="str">
        <f t="shared" si="45"/>
        <v>No</v>
      </c>
      <c r="K736" s="5" t="str">
        <f t="shared" si="46"/>
        <v>No</v>
      </c>
      <c r="L736" s="25">
        <f t="shared" si="47"/>
        <v>60.336134453781511</v>
      </c>
    </row>
    <row r="737" spans="1:12">
      <c r="A737" s="9" t="s">
        <v>1224</v>
      </c>
      <c r="B737" s="8">
        <v>24</v>
      </c>
      <c r="C737" s="8" t="s">
        <v>39</v>
      </c>
      <c r="D737" s="8" t="s">
        <v>46</v>
      </c>
      <c r="E737" s="8" t="s">
        <v>1225</v>
      </c>
      <c r="F737" s="8">
        <v>115</v>
      </c>
      <c r="G737" s="8">
        <v>48.9</v>
      </c>
      <c r="H737" s="10">
        <v>30.19</v>
      </c>
      <c r="I737" s="8">
        <f t="shared" si="44"/>
        <v>1</v>
      </c>
      <c r="J737" s="8" t="str">
        <f t="shared" si="45"/>
        <v>No</v>
      </c>
      <c r="K737" s="5" t="str">
        <f t="shared" si="46"/>
        <v>No</v>
      </c>
      <c r="L737" s="25">
        <f t="shared" si="47"/>
        <v>41.092436974789919</v>
      </c>
    </row>
    <row r="738" spans="1:12">
      <c r="A738" s="9" t="s">
        <v>1226</v>
      </c>
      <c r="B738" s="8">
        <v>12</v>
      </c>
      <c r="C738" s="8" t="s">
        <v>39</v>
      </c>
      <c r="D738" s="8" t="s">
        <v>46</v>
      </c>
      <c r="E738" s="8" t="s">
        <v>598</v>
      </c>
      <c r="F738" s="8">
        <v>121</v>
      </c>
      <c r="G738" s="8">
        <v>52.85</v>
      </c>
      <c r="H738" s="10">
        <v>31.67</v>
      </c>
      <c r="I738" s="8">
        <f t="shared" si="44"/>
        <v>1</v>
      </c>
      <c r="J738" s="8" t="str">
        <f t="shared" si="45"/>
        <v>No</v>
      </c>
      <c r="K738" s="5" t="str">
        <f t="shared" si="46"/>
        <v>No</v>
      </c>
      <c r="L738" s="25">
        <f t="shared" si="47"/>
        <v>44.411764705882355</v>
      </c>
    </row>
    <row r="739" spans="1:12">
      <c r="A739" s="9" t="s">
        <v>1227</v>
      </c>
      <c r="B739" s="8">
        <v>24</v>
      </c>
      <c r="C739" s="8" t="s">
        <v>35</v>
      </c>
      <c r="D739" s="8" t="s">
        <v>46</v>
      </c>
      <c r="E739" s="8" t="s">
        <v>1228</v>
      </c>
      <c r="F739" s="8">
        <v>228</v>
      </c>
      <c r="G739" s="8">
        <v>89.9</v>
      </c>
      <c r="H739" s="10">
        <v>22.64</v>
      </c>
      <c r="I739" s="8">
        <f t="shared" si="44"/>
        <v>1</v>
      </c>
      <c r="J739" s="8" t="str">
        <f t="shared" si="45"/>
        <v>No</v>
      </c>
      <c r="K739" s="5" t="str">
        <f t="shared" si="46"/>
        <v>No</v>
      </c>
      <c r="L739" s="25">
        <f t="shared" si="47"/>
        <v>75.546218487394967</v>
      </c>
    </row>
    <row r="740" spans="1:12">
      <c r="A740" s="9" t="s">
        <v>1229</v>
      </c>
      <c r="B740" s="8">
        <v>12</v>
      </c>
      <c r="C740" s="8" t="s">
        <v>39</v>
      </c>
      <c r="D740" s="8" t="s">
        <v>36</v>
      </c>
      <c r="E740" s="8" t="s">
        <v>1230</v>
      </c>
      <c r="F740" s="8">
        <v>93</v>
      </c>
      <c r="G740" s="8">
        <v>44.33</v>
      </c>
      <c r="H740" s="10">
        <v>28.68</v>
      </c>
      <c r="I740" s="8">
        <f t="shared" si="44"/>
        <v>1</v>
      </c>
      <c r="J740" s="8" t="str">
        <f t="shared" si="45"/>
        <v>No</v>
      </c>
      <c r="K740" s="5" t="str">
        <f t="shared" si="46"/>
        <v>No</v>
      </c>
      <c r="L740" s="25">
        <f t="shared" si="47"/>
        <v>37.252100840336134</v>
      </c>
    </row>
    <row r="741" spans="1:12">
      <c r="A741" s="9" t="s">
        <v>1231</v>
      </c>
      <c r="B741" s="8">
        <v>12</v>
      </c>
      <c r="C741" s="8" t="s">
        <v>35</v>
      </c>
      <c r="D741" s="8" t="s">
        <v>36</v>
      </c>
      <c r="E741" s="8" t="s">
        <v>155</v>
      </c>
      <c r="F741" s="8">
        <v>236</v>
      </c>
      <c r="G741" s="8">
        <v>91.56</v>
      </c>
      <c r="H741" s="10">
        <v>23.67</v>
      </c>
      <c r="I741" s="8">
        <f t="shared" si="44"/>
        <v>1</v>
      </c>
      <c r="J741" s="8" t="str">
        <f t="shared" si="45"/>
        <v>No</v>
      </c>
      <c r="K741" s="5" t="str">
        <f t="shared" si="46"/>
        <v>No</v>
      </c>
      <c r="L741" s="25">
        <f t="shared" si="47"/>
        <v>76.941176470588246</v>
      </c>
    </row>
    <row r="742" spans="1:12">
      <c r="A742" s="9" t="s">
        <v>1232</v>
      </c>
      <c r="B742" s="8">
        <v>12</v>
      </c>
      <c r="C742" s="8" t="s">
        <v>35</v>
      </c>
      <c r="D742" s="8" t="s">
        <v>36</v>
      </c>
      <c r="E742" s="8" t="s">
        <v>1233</v>
      </c>
      <c r="F742" s="8">
        <v>292</v>
      </c>
      <c r="G742" s="8">
        <v>109.52</v>
      </c>
      <c r="H742" s="10">
        <v>25.03</v>
      </c>
      <c r="I742" s="8">
        <f t="shared" si="44"/>
        <v>1</v>
      </c>
      <c r="J742" s="8" t="str">
        <f t="shared" si="45"/>
        <v>No</v>
      </c>
      <c r="K742" s="5" t="str">
        <f t="shared" si="46"/>
        <v>No</v>
      </c>
      <c r="L742" s="25">
        <f t="shared" si="47"/>
        <v>92.033613445378151</v>
      </c>
    </row>
    <row r="743" spans="1:12">
      <c r="A743" s="9" t="s">
        <v>1234</v>
      </c>
      <c r="B743" s="8">
        <v>12</v>
      </c>
      <c r="C743" s="8" t="s">
        <v>39</v>
      </c>
      <c r="D743" s="8" t="s">
        <v>56</v>
      </c>
      <c r="E743" s="8" t="s">
        <v>310</v>
      </c>
      <c r="F743" s="8">
        <v>46313</v>
      </c>
      <c r="G743" s="8">
        <v>42.62</v>
      </c>
      <c r="H743" s="10">
        <v>29.59</v>
      </c>
      <c r="I743" s="8">
        <f t="shared" si="44"/>
        <v>1</v>
      </c>
      <c r="J743" s="8" t="str">
        <f t="shared" si="45"/>
        <v>No</v>
      </c>
      <c r="K743" s="5" t="str">
        <f t="shared" si="46"/>
        <v>No</v>
      </c>
      <c r="L743" s="25">
        <f t="shared" si="47"/>
        <v>35.815126050420169</v>
      </c>
    </row>
    <row r="744" spans="1:12">
      <c r="A744" s="9" t="s">
        <v>1235</v>
      </c>
      <c r="B744" s="8">
        <v>24</v>
      </c>
      <c r="C744" s="8" t="s">
        <v>35</v>
      </c>
      <c r="D744" s="8" t="s">
        <v>46</v>
      </c>
      <c r="E744" s="8" t="s">
        <v>288</v>
      </c>
      <c r="F744" s="8">
        <v>180</v>
      </c>
      <c r="G744" s="8">
        <v>71.819999999999993</v>
      </c>
      <c r="H744" s="10">
        <v>22.34</v>
      </c>
      <c r="I744" s="8">
        <f t="shared" si="44"/>
        <v>1</v>
      </c>
      <c r="J744" s="8" t="str">
        <f t="shared" si="45"/>
        <v>No</v>
      </c>
      <c r="K744" s="5" t="str">
        <f t="shared" si="46"/>
        <v>No</v>
      </c>
      <c r="L744" s="25">
        <f t="shared" si="47"/>
        <v>60.352941176470587</v>
      </c>
    </row>
    <row r="745" spans="1:12">
      <c r="A745" s="9" t="s">
        <v>1236</v>
      </c>
      <c r="B745" s="8">
        <v>12</v>
      </c>
      <c r="C745" s="8" t="s">
        <v>39</v>
      </c>
      <c r="D745" s="8" t="s">
        <v>36</v>
      </c>
      <c r="E745" s="8" t="s">
        <v>1211</v>
      </c>
      <c r="F745" s="8">
        <v>113</v>
      </c>
      <c r="G745" s="8">
        <v>55.04</v>
      </c>
      <c r="H745" s="10">
        <v>29.57</v>
      </c>
      <c r="I745" s="8">
        <f t="shared" si="44"/>
        <v>1</v>
      </c>
      <c r="J745" s="8" t="str">
        <f t="shared" si="45"/>
        <v>No</v>
      </c>
      <c r="K745" s="5" t="str">
        <f t="shared" si="46"/>
        <v>No</v>
      </c>
      <c r="L745" s="25">
        <f t="shared" si="47"/>
        <v>46.252100840336134</v>
      </c>
    </row>
    <row r="746" spans="1:12">
      <c r="A746" s="9" t="s">
        <v>1237</v>
      </c>
      <c r="B746" s="8">
        <v>12</v>
      </c>
      <c r="C746" s="8" t="s">
        <v>51</v>
      </c>
      <c r="D746" s="8" t="s">
        <v>36</v>
      </c>
      <c r="E746" s="8" t="s">
        <v>1238</v>
      </c>
      <c r="F746" s="8">
        <v>648</v>
      </c>
      <c r="G746" s="8">
        <v>206.67</v>
      </c>
      <c r="H746" s="10">
        <v>17</v>
      </c>
      <c r="I746" s="8">
        <f t="shared" si="44"/>
        <v>1</v>
      </c>
      <c r="J746" s="8" t="str">
        <f t="shared" si="45"/>
        <v>No</v>
      </c>
      <c r="K746" s="5" t="str">
        <f t="shared" si="46"/>
        <v>No</v>
      </c>
      <c r="L746" s="25">
        <f t="shared" si="47"/>
        <v>173.67226890756302</v>
      </c>
    </row>
    <row r="747" spans="1:12">
      <c r="A747" s="9" t="s">
        <v>1239</v>
      </c>
      <c r="B747" s="8">
        <v>24</v>
      </c>
      <c r="C747" s="8" t="s">
        <v>35</v>
      </c>
      <c r="D747" s="8" t="s">
        <v>36</v>
      </c>
      <c r="E747" s="8" t="s">
        <v>114</v>
      </c>
      <c r="F747" s="8">
        <v>278</v>
      </c>
      <c r="G747" s="8">
        <v>99.73</v>
      </c>
      <c r="H747" s="10">
        <v>22.07</v>
      </c>
      <c r="I747" s="8">
        <f t="shared" si="44"/>
        <v>1</v>
      </c>
      <c r="J747" s="8" t="str">
        <f t="shared" si="45"/>
        <v>No</v>
      </c>
      <c r="K747" s="5" t="str">
        <f t="shared" si="46"/>
        <v>No</v>
      </c>
      <c r="L747" s="25">
        <f t="shared" si="47"/>
        <v>83.806722689075642</v>
      </c>
    </row>
    <row r="748" spans="1:12">
      <c r="A748" s="9" t="s">
        <v>1240</v>
      </c>
      <c r="B748" s="8">
        <v>12</v>
      </c>
      <c r="C748" s="8" t="s">
        <v>51</v>
      </c>
      <c r="D748" s="8" t="s">
        <v>56</v>
      </c>
      <c r="E748" s="8" t="s">
        <v>234</v>
      </c>
      <c r="F748" s="8">
        <v>560</v>
      </c>
      <c r="G748" s="8">
        <v>177.03</v>
      </c>
      <c r="H748" s="10">
        <v>19.809999999999999</v>
      </c>
      <c r="I748" s="8">
        <f t="shared" si="44"/>
        <v>1</v>
      </c>
      <c r="J748" s="8" t="str">
        <f t="shared" si="45"/>
        <v>No</v>
      </c>
      <c r="K748" s="5" t="str">
        <f t="shared" si="46"/>
        <v>No</v>
      </c>
      <c r="L748" s="25">
        <f t="shared" si="47"/>
        <v>148.76470588235296</v>
      </c>
    </row>
    <row r="749" spans="1:12">
      <c r="A749" s="9" t="s">
        <v>1241</v>
      </c>
      <c r="B749" s="8">
        <v>12</v>
      </c>
      <c r="C749" s="8" t="s">
        <v>35</v>
      </c>
      <c r="D749" s="8" t="s">
        <v>46</v>
      </c>
      <c r="E749" s="8" t="s">
        <v>740</v>
      </c>
      <c r="F749" s="8">
        <v>227</v>
      </c>
      <c r="G749" s="8">
        <v>81.7</v>
      </c>
      <c r="H749" s="10">
        <v>24.41</v>
      </c>
      <c r="I749" s="8">
        <f t="shared" si="44"/>
        <v>1</v>
      </c>
      <c r="J749" s="8" t="str">
        <f t="shared" si="45"/>
        <v>No</v>
      </c>
      <c r="K749" s="5" t="str">
        <f t="shared" si="46"/>
        <v>No</v>
      </c>
      <c r="L749" s="25">
        <f t="shared" si="47"/>
        <v>68.655462184873954</v>
      </c>
    </row>
    <row r="750" spans="1:12">
      <c r="A750" s="9" t="s">
        <v>1242</v>
      </c>
      <c r="B750" s="8">
        <v>24</v>
      </c>
      <c r="C750" s="8" t="s">
        <v>39</v>
      </c>
      <c r="D750" s="8" t="s">
        <v>46</v>
      </c>
      <c r="E750" s="8" t="s">
        <v>397</v>
      </c>
      <c r="F750" s="8">
        <v>133</v>
      </c>
      <c r="G750" s="8">
        <v>56.89</v>
      </c>
      <c r="H750" s="10">
        <v>28.65</v>
      </c>
      <c r="I750" s="8">
        <f t="shared" si="44"/>
        <v>1</v>
      </c>
      <c r="J750" s="8" t="str">
        <f t="shared" si="45"/>
        <v>No</v>
      </c>
      <c r="K750" s="5" t="str">
        <f t="shared" si="46"/>
        <v>No</v>
      </c>
      <c r="L750" s="25">
        <f t="shared" si="47"/>
        <v>47.806722689075634</v>
      </c>
    </row>
    <row r="751" spans="1:12">
      <c r="A751" s="9" t="s">
        <v>1243</v>
      </c>
      <c r="B751" s="8">
        <v>24</v>
      </c>
      <c r="C751" s="8" t="s">
        <v>35</v>
      </c>
      <c r="D751" s="8" t="s">
        <v>36</v>
      </c>
      <c r="E751" s="8" t="s">
        <v>558</v>
      </c>
      <c r="F751" s="8">
        <v>169</v>
      </c>
      <c r="G751" s="8">
        <v>69.2</v>
      </c>
      <c r="H751" s="10">
        <v>0.23</v>
      </c>
      <c r="I751" s="8">
        <f t="shared" si="44"/>
        <v>1</v>
      </c>
      <c r="J751" s="8" t="str">
        <f t="shared" si="45"/>
        <v>No</v>
      </c>
      <c r="K751" s="5" t="str">
        <f t="shared" si="46"/>
        <v>No</v>
      </c>
      <c r="L751" s="25">
        <f t="shared" si="47"/>
        <v>58.151260504201687</v>
      </c>
    </row>
    <row r="752" spans="1:12">
      <c r="A752" s="9" t="s">
        <v>1244</v>
      </c>
      <c r="B752" s="8">
        <v>12</v>
      </c>
      <c r="C752" s="8" t="s">
        <v>51</v>
      </c>
      <c r="D752" s="8" t="s">
        <v>46</v>
      </c>
      <c r="E752" s="8" t="s">
        <v>256</v>
      </c>
      <c r="F752" s="8">
        <v>546</v>
      </c>
      <c r="G752" s="8">
        <v>176.42</v>
      </c>
      <c r="H752" s="10">
        <v>18.62</v>
      </c>
      <c r="I752" s="8">
        <f t="shared" si="44"/>
        <v>1</v>
      </c>
      <c r="J752" s="8" t="str">
        <f t="shared" si="45"/>
        <v>No</v>
      </c>
      <c r="K752" s="5" t="str">
        <f t="shared" si="46"/>
        <v>No</v>
      </c>
      <c r="L752" s="25">
        <f t="shared" si="47"/>
        <v>148.25210084033614</v>
      </c>
    </row>
    <row r="753" spans="1:12">
      <c r="A753" s="9" t="s">
        <v>1245</v>
      </c>
      <c r="B753" s="8">
        <v>24</v>
      </c>
      <c r="C753" s="8" t="s">
        <v>35</v>
      </c>
      <c r="D753" s="8" t="s">
        <v>36</v>
      </c>
      <c r="E753" s="8" t="s">
        <v>1246</v>
      </c>
      <c r="F753" s="8">
        <v>319</v>
      </c>
      <c r="G753" s="8">
        <v>118.76</v>
      </c>
      <c r="H753" s="10">
        <v>27.34</v>
      </c>
      <c r="I753" s="8">
        <f t="shared" si="44"/>
        <v>1</v>
      </c>
      <c r="J753" s="8" t="str">
        <f t="shared" si="45"/>
        <v>No</v>
      </c>
      <c r="K753" s="5" t="str">
        <f t="shared" si="46"/>
        <v>No</v>
      </c>
      <c r="L753" s="25">
        <f t="shared" si="47"/>
        <v>99.798319327731107</v>
      </c>
    </row>
    <row r="754" spans="1:12">
      <c r="A754" s="9" t="s">
        <v>1247</v>
      </c>
      <c r="B754" s="8">
        <v>24</v>
      </c>
      <c r="C754" s="8" t="s">
        <v>51</v>
      </c>
      <c r="D754" s="8" t="s">
        <v>46</v>
      </c>
      <c r="E754" s="8" t="s">
        <v>539</v>
      </c>
      <c r="F754" s="8">
        <v>538</v>
      </c>
      <c r="G754" s="8">
        <v>186.93</v>
      </c>
      <c r="H754" s="10">
        <v>21.37</v>
      </c>
      <c r="I754" s="8">
        <f t="shared" si="44"/>
        <v>1</v>
      </c>
      <c r="J754" s="8" t="str">
        <f t="shared" si="45"/>
        <v>No</v>
      </c>
      <c r="K754" s="5" t="str">
        <f t="shared" si="46"/>
        <v>No</v>
      </c>
      <c r="L754" s="25">
        <f t="shared" si="47"/>
        <v>157.0840336134454</v>
      </c>
    </row>
    <row r="755" spans="1:12">
      <c r="A755" s="9" t="s">
        <v>1248</v>
      </c>
      <c r="B755" s="8">
        <v>12</v>
      </c>
      <c r="C755" s="8" t="s">
        <v>51</v>
      </c>
      <c r="D755" s="8" t="s">
        <v>36</v>
      </c>
      <c r="E755" s="8" t="s">
        <v>478</v>
      </c>
      <c r="F755" s="8">
        <v>625</v>
      </c>
      <c r="G755" s="8">
        <v>205.96</v>
      </c>
      <c r="H755" s="10">
        <v>17.18</v>
      </c>
      <c r="I755" s="8">
        <f t="shared" si="44"/>
        <v>1</v>
      </c>
      <c r="J755" s="8" t="str">
        <f t="shared" si="45"/>
        <v>No</v>
      </c>
      <c r="K755" s="5" t="str">
        <f t="shared" si="46"/>
        <v>No</v>
      </c>
      <c r="L755" s="25">
        <f t="shared" si="47"/>
        <v>173.07563025210086</v>
      </c>
    </row>
    <row r="756" spans="1:12">
      <c r="A756" s="9" t="s">
        <v>1249</v>
      </c>
      <c r="B756" s="8">
        <v>12</v>
      </c>
      <c r="C756" s="8" t="s">
        <v>39</v>
      </c>
      <c r="D756" s="8" t="s">
        <v>36</v>
      </c>
      <c r="E756" s="8" t="s">
        <v>491</v>
      </c>
      <c r="F756" s="8">
        <v>144</v>
      </c>
      <c r="G756" s="8">
        <v>65.819999999999993</v>
      </c>
      <c r="H756" s="10">
        <v>28.93</v>
      </c>
      <c r="I756" s="8">
        <f t="shared" si="44"/>
        <v>1</v>
      </c>
      <c r="J756" s="8" t="str">
        <f t="shared" si="45"/>
        <v>No</v>
      </c>
      <c r="K756" s="5" t="str">
        <f t="shared" si="46"/>
        <v>No</v>
      </c>
      <c r="L756" s="25">
        <f t="shared" si="47"/>
        <v>55.310924369747895</v>
      </c>
    </row>
    <row r="757" spans="1:12">
      <c r="A757" s="9" t="s">
        <v>1250</v>
      </c>
      <c r="B757" s="8">
        <v>24</v>
      </c>
      <c r="C757" s="8" t="s">
        <v>39</v>
      </c>
      <c r="D757" s="8" t="s">
        <v>46</v>
      </c>
      <c r="E757" s="8" t="s">
        <v>1251</v>
      </c>
      <c r="F757" s="8">
        <v>93</v>
      </c>
      <c r="G757" s="8">
        <v>46.8</v>
      </c>
      <c r="H757" s="10">
        <v>31.47</v>
      </c>
      <c r="I757" s="8">
        <f t="shared" si="44"/>
        <v>1</v>
      </c>
      <c r="J757" s="8" t="str">
        <f t="shared" si="45"/>
        <v>No</v>
      </c>
      <c r="K757" s="5" t="str">
        <f t="shared" si="46"/>
        <v>No</v>
      </c>
      <c r="L757" s="25">
        <f t="shared" si="47"/>
        <v>39.327731092436977</v>
      </c>
    </row>
    <row r="758" spans="1:12">
      <c r="A758" s="9" t="s">
        <v>1252</v>
      </c>
      <c r="B758" s="8">
        <v>24</v>
      </c>
      <c r="C758" s="8" t="s">
        <v>35</v>
      </c>
      <c r="D758" s="8" t="s">
        <v>56</v>
      </c>
      <c r="E758" s="8" t="s">
        <v>1020</v>
      </c>
      <c r="F758" s="8">
        <v>317</v>
      </c>
      <c r="G758" s="8">
        <v>111.96</v>
      </c>
      <c r="H758" s="10">
        <v>25.71</v>
      </c>
      <c r="I758" s="8">
        <f t="shared" si="44"/>
        <v>1</v>
      </c>
      <c r="J758" s="8" t="str">
        <f t="shared" si="45"/>
        <v>No</v>
      </c>
      <c r="K758" s="5" t="str">
        <f t="shared" si="46"/>
        <v>No</v>
      </c>
      <c r="L758" s="25">
        <f t="shared" si="47"/>
        <v>94.084033613445371</v>
      </c>
    </row>
    <row r="759" spans="1:12">
      <c r="A759" s="9" t="s">
        <v>1253</v>
      </c>
      <c r="B759" s="8">
        <v>12</v>
      </c>
      <c r="C759" s="8" t="s">
        <v>35</v>
      </c>
      <c r="D759" s="8" t="s">
        <v>36</v>
      </c>
      <c r="E759" s="8" t="s">
        <v>1254</v>
      </c>
      <c r="F759" s="8">
        <v>178</v>
      </c>
      <c r="G759" s="8">
        <v>74.09</v>
      </c>
      <c r="H759" s="10">
        <v>23.68</v>
      </c>
      <c r="I759" s="8">
        <f t="shared" si="44"/>
        <v>1</v>
      </c>
      <c r="J759" s="8" t="str">
        <f t="shared" si="45"/>
        <v>No</v>
      </c>
      <c r="K759" s="5" t="str">
        <f t="shared" si="46"/>
        <v>No</v>
      </c>
      <c r="L759" s="25">
        <f t="shared" si="47"/>
        <v>62.260504201680675</v>
      </c>
    </row>
    <row r="760" spans="1:12">
      <c r="A760" s="9" t="s">
        <v>1255</v>
      </c>
      <c r="B760" s="8">
        <v>24</v>
      </c>
      <c r="C760" s="8" t="s">
        <v>51</v>
      </c>
      <c r="D760" s="8" t="s">
        <v>56</v>
      </c>
      <c r="E760" s="8" t="s">
        <v>976</v>
      </c>
      <c r="F760" s="8">
        <v>511</v>
      </c>
      <c r="G760" s="8">
        <v>171.34</v>
      </c>
      <c r="H760" s="10">
        <v>16.75</v>
      </c>
      <c r="I760" s="8">
        <f t="shared" si="44"/>
        <v>1</v>
      </c>
      <c r="J760" s="8" t="str">
        <f t="shared" si="45"/>
        <v>No</v>
      </c>
      <c r="K760" s="5" t="str">
        <f t="shared" si="46"/>
        <v>No</v>
      </c>
      <c r="L760" s="25">
        <f t="shared" si="47"/>
        <v>143.98319327731093</v>
      </c>
    </row>
    <row r="761" spans="1:12">
      <c r="A761" s="9" t="s">
        <v>1256</v>
      </c>
      <c r="B761" s="8">
        <v>24</v>
      </c>
      <c r="C761" s="8" t="s">
        <v>51</v>
      </c>
      <c r="D761" s="8" t="s">
        <v>36</v>
      </c>
      <c r="E761" s="8" t="s">
        <v>219</v>
      </c>
      <c r="F761" s="8">
        <v>380</v>
      </c>
      <c r="G761" s="8">
        <v>139.21</v>
      </c>
      <c r="H761" s="10">
        <v>16.7</v>
      </c>
      <c r="I761" s="8">
        <f t="shared" si="44"/>
        <v>1</v>
      </c>
      <c r="J761" s="8" t="str">
        <f t="shared" si="45"/>
        <v>No</v>
      </c>
      <c r="K761" s="5" t="str">
        <f t="shared" si="46"/>
        <v>No</v>
      </c>
      <c r="L761" s="25">
        <f t="shared" si="47"/>
        <v>116.98319327731093</v>
      </c>
    </row>
    <row r="762" spans="1:12">
      <c r="A762" s="9" t="s">
        <v>1257</v>
      </c>
      <c r="B762" s="8">
        <v>12</v>
      </c>
      <c r="C762" s="8" t="s">
        <v>35</v>
      </c>
      <c r="D762" s="8" t="s">
        <v>36</v>
      </c>
      <c r="E762" s="8" t="s">
        <v>1258</v>
      </c>
      <c r="F762" s="8">
        <v>169</v>
      </c>
      <c r="G762" s="8">
        <v>67.319999999999993</v>
      </c>
      <c r="H762" s="10">
        <v>24.3</v>
      </c>
      <c r="I762" s="8">
        <f t="shared" si="44"/>
        <v>1</v>
      </c>
      <c r="J762" s="8" t="str">
        <f t="shared" si="45"/>
        <v>No</v>
      </c>
      <c r="K762" s="5" t="str">
        <f t="shared" si="46"/>
        <v>No</v>
      </c>
      <c r="L762" s="25">
        <f t="shared" si="47"/>
        <v>56.571428571428569</v>
      </c>
    </row>
    <row r="763" spans="1:12">
      <c r="A763" s="9" t="s">
        <v>1259</v>
      </c>
      <c r="B763" s="8">
        <v>12</v>
      </c>
      <c r="C763" s="8" t="s">
        <v>39</v>
      </c>
      <c r="D763" s="8" t="s">
        <v>36</v>
      </c>
      <c r="E763" s="8" t="s">
        <v>340</v>
      </c>
      <c r="F763" s="8">
        <v>118</v>
      </c>
      <c r="G763" s="8">
        <v>57.93</v>
      </c>
      <c r="H763" s="10">
        <v>29.57</v>
      </c>
      <c r="I763" s="8">
        <f t="shared" si="44"/>
        <v>1</v>
      </c>
      <c r="J763" s="8" t="str">
        <f t="shared" si="45"/>
        <v>No</v>
      </c>
      <c r="K763" s="5" t="str">
        <f t="shared" si="46"/>
        <v>No</v>
      </c>
      <c r="L763" s="25">
        <f t="shared" si="47"/>
        <v>48.680672268907564</v>
      </c>
    </row>
    <row r="764" spans="1:12">
      <c r="A764" s="9" t="s">
        <v>1260</v>
      </c>
      <c r="B764" s="8">
        <v>12</v>
      </c>
      <c r="C764" s="8" t="s">
        <v>51</v>
      </c>
      <c r="D764" s="8" t="s">
        <v>36</v>
      </c>
      <c r="E764" s="8" t="s">
        <v>1261</v>
      </c>
      <c r="F764" s="8">
        <v>432</v>
      </c>
      <c r="G764" s="8">
        <v>148.18</v>
      </c>
      <c r="H764" s="10">
        <v>16.64</v>
      </c>
      <c r="I764" s="8">
        <f t="shared" si="44"/>
        <v>1</v>
      </c>
      <c r="J764" s="8" t="str">
        <f t="shared" si="45"/>
        <v>No</v>
      </c>
      <c r="K764" s="5" t="str">
        <f t="shared" si="46"/>
        <v>No</v>
      </c>
      <c r="L764" s="25">
        <f t="shared" si="47"/>
        <v>124.52100840336135</v>
      </c>
    </row>
    <row r="765" spans="1:12">
      <c r="A765" s="9" t="s">
        <v>1262</v>
      </c>
      <c r="B765" s="8">
        <v>24</v>
      </c>
      <c r="C765" s="8" t="s">
        <v>39</v>
      </c>
      <c r="D765" s="8" t="s">
        <v>36</v>
      </c>
      <c r="E765" s="8" t="s">
        <v>947</v>
      </c>
      <c r="F765" s="8">
        <v>124</v>
      </c>
      <c r="G765" s="8">
        <v>53.21</v>
      </c>
      <c r="H765" s="10">
        <v>30.33</v>
      </c>
      <c r="I765" s="8">
        <f t="shared" si="44"/>
        <v>1</v>
      </c>
      <c r="J765" s="8" t="str">
        <f t="shared" si="45"/>
        <v>No</v>
      </c>
      <c r="K765" s="5" t="str">
        <f t="shared" si="46"/>
        <v>No</v>
      </c>
      <c r="L765" s="25">
        <f t="shared" si="47"/>
        <v>44.714285714285715</v>
      </c>
    </row>
    <row r="766" spans="1:12">
      <c r="A766" s="9" t="s">
        <v>1263</v>
      </c>
      <c r="B766" s="8">
        <v>12</v>
      </c>
      <c r="C766" s="8" t="s">
        <v>51</v>
      </c>
      <c r="D766" s="8" t="s">
        <v>36</v>
      </c>
      <c r="E766" s="8" t="s">
        <v>1264</v>
      </c>
      <c r="F766" s="8">
        <v>526</v>
      </c>
      <c r="G766" s="8">
        <v>177.38</v>
      </c>
      <c r="H766" s="10">
        <v>18.559999999999999</v>
      </c>
      <c r="I766" s="8">
        <f t="shared" si="44"/>
        <v>1</v>
      </c>
      <c r="J766" s="8" t="str">
        <f t="shared" si="45"/>
        <v>No</v>
      </c>
      <c r="K766" s="5" t="str">
        <f t="shared" si="46"/>
        <v>No</v>
      </c>
      <c r="L766" s="25">
        <f t="shared" si="47"/>
        <v>149.05882352941177</v>
      </c>
    </row>
    <row r="767" spans="1:12">
      <c r="A767" s="9" t="s">
        <v>1265</v>
      </c>
      <c r="B767" s="8">
        <v>24</v>
      </c>
      <c r="C767" s="8" t="s">
        <v>35</v>
      </c>
      <c r="D767" s="8" t="s">
        <v>36</v>
      </c>
      <c r="E767" s="8" t="s">
        <v>646</v>
      </c>
      <c r="F767" s="8">
        <v>174</v>
      </c>
      <c r="G767" s="8">
        <v>71.819999999999993</v>
      </c>
      <c r="H767" s="10">
        <v>25.15</v>
      </c>
      <c r="I767" s="8">
        <f t="shared" si="44"/>
        <v>1</v>
      </c>
      <c r="J767" s="8" t="str">
        <f t="shared" si="45"/>
        <v>No</v>
      </c>
      <c r="K767" s="5" t="str">
        <f t="shared" si="46"/>
        <v>No</v>
      </c>
      <c r="L767" s="25">
        <f t="shared" si="47"/>
        <v>60.352941176470587</v>
      </c>
    </row>
    <row r="768" spans="1:12">
      <c r="A768" s="9" t="s">
        <v>1266</v>
      </c>
      <c r="B768" s="8">
        <v>24</v>
      </c>
      <c r="C768" s="8" t="s">
        <v>35</v>
      </c>
      <c r="D768" s="8" t="s">
        <v>56</v>
      </c>
      <c r="E768" s="8" t="s">
        <v>1267</v>
      </c>
      <c r="F768" s="8">
        <v>187</v>
      </c>
      <c r="G768" s="8">
        <v>78.78</v>
      </c>
      <c r="H768" s="10">
        <v>23.23</v>
      </c>
      <c r="I768" s="8">
        <f t="shared" si="44"/>
        <v>1</v>
      </c>
      <c r="J768" s="8" t="str">
        <f t="shared" si="45"/>
        <v>No</v>
      </c>
      <c r="K768" s="5" t="str">
        <f t="shared" si="46"/>
        <v>No</v>
      </c>
      <c r="L768" s="25">
        <f t="shared" si="47"/>
        <v>66.201680672268907</v>
      </c>
    </row>
    <row r="769" spans="1:12">
      <c r="A769" s="9" t="s">
        <v>1268</v>
      </c>
      <c r="B769" s="8">
        <v>24</v>
      </c>
      <c r="C769" s="8" t="s">
        <v>39</v>
      </c>
      <c r="D769" s="8" t="s">
        <v>36</v>
      </c>
      <c r="E769" s="8" t="s">
        <v>1269</v>
      </c>
      <c r="F769" s="8">
        <v>130</v>
      </c>
      <c r="G769" s="8">
        <v>56.7</v>
      </c>
      <c r="H769" s="10">
        <v>28.16</v>
      </c>
      <c r="I769" s="8">
        <f t="shared" si="44"/>
        <v>1</v>
      </c>
      <c r="J769" s="8" t="str">
        <f t="shared" si="45"/>
        <v>No</v>
      </c>
      <c r="K769" s="5" t="str">
        <f t="shared" si="46"/>
        <v>No</v>
      </c>
      <c r="L769" s="25">
        <f t="shared" si="47"/>
        <v>47.647058823529413</v>
      </c>
    </row>
    <row r="770" spans="1:12">
      <c r="A770" s="9" t="s">
        <v>1270</v>
      </c>
      <c r="B770" s="8">
        <v>12</v>
      </c>
      <c r="C770" s="8" t="s">
        <v>35</v>
      </c>
      <c r="D770" s="8" t="s">
        <v>46</v>
      </c>
      <c r="E770" s="8" t="s">
        <v>81</v>
      </c>
      <c r="F770" s="8">
        <v>224</v>
      </c>
      <c r="G770" s="8">
        <v>89.8</v>
      </c>
      <c r="H770" s="10">
        <v>24.35</v>
      </c>
      <c r="I770" s="8">
        <f t="shared" ref="I770:I801" si="48">COUNTIF($A:$A,A770)</f>
        <v>1</v>
      </c>
      <c r="J770" s="8" t="str">
        <f t="shared" ref="J770:J801" si="49">IF(F770=0,"Yes","No")</f>
        <v>No</v>
      </c>
      <c r="K770" s="5" t="str">
        <f t="shared" ref="K770:K801" si="50">IF(F770&lt;0,"Yes","No")</f>
        <v>No</v>
      </c>
      <c r="L770" s="25">
        <f t="shared" ref="L770:L801" si="51">G770/1.19</f>
        <v>75.462184873949582</v>
      </c>
    </row>
    <row r="771" spans="1:12">
      <c r="A771" s="9" t="s">
        <v>1271</v>
      </c>
      <c r="B771" s="8">
        <v>24</v>
      </c>
      <c r="C771" s="8" t="s">
        <v>35</v>
      </c>
      <c r="D771" s="8" t="s">
        <v>36</v>
      </c>
      <c r="E771" s="8" t="s">
        <v>1272</v>
      </c>
      <c r="F771" s="8">
        <v>288</v>
      </c>
      <c r="G771" s="8">
        <v>110.26</v>
      </c>
      <c r="H771" s="10">
        <v>23.59</v>
      </c>
      <c r="I771" s="8">
        <f t="shared" si="48"/>
        <v>1</v>
      </c>
      <c r="J771" s="8" t="str">
        <f t="shared" si="49"/>
        <v>No</v>
      </c>
      <c r="K771" s="5" t="str">
        <f t="shared" si="50"/>
        <v>No</v>
      </c>
      <c r="L771" s="25">
        <f t="shared" si="51"/>
        <v>92.655462184873954</v>
      </c>
    </row>
    <row r="772" spans="1:12">
      <c r="A772" s="9" t="s">
        <v>1273</v>
      </c>
      <c r="B772" s="8">
        <v>12</v>
      </c>
      <c r="C772" s="8" t="s">
        <v>35</v>
      </c>
      <c r="D772" s="8" t="s">
        <v>46</v>
      </c>
      <c r="E772" s="8" t="s">
        <v>691</v>
      </c>
      <c r="F772" s="8">
        <v>275</v>
      </c>
      <c r="G772" s="8">
        <v>101.04</v>
      </c>
      <c r="H772" s="10">
        <v>25.9</v>
      </c>
      <c r="I772" s="8">
        <f t="shared" si="48"/>
        <v>1</v>
      </c>
      <c r="J772" s="8" t="str">
        <f t="shared" si="49"/>
        <v>No</v>
      </c>
      <c r="K772" s="5" t="str">
        <f t="shared" si="50"/>
        <v>No</v>
      </c>
      <c r="L772" s="25">
        <f t="shared" si="51"/>
        <v>84.907563025210095</v>
      </c>
    </row>
    <row r="773" spans="1:12">
      <c r="A773" s="9" t="s">
        <v>1274</v>
      </c>
      <c r="B773" s="8">
        <v>24</v>
      </c>
      <c r="C773" s="8" t="s">
        <v>39</v>
      </c>
      <c r="D773" s="8" t="s">
        <v>36</v>
      </c>
      <c r="E773" s="8" t="s">
        <v>1155</v>
      </c>
      <c r="F773" s="8">
        <v>154</v>
      </c>
      <c r="G773" s="8">
        <v>63.36</v>
      </c>
      <c r="H773" s="10">
        <v>32.18</v>
      </c>
      <c r="I773" s="8">
        <f t="shared" si="48"/>
        <v>1</v>
      </c>
      <c r="J773" s="8" t="str">
        <f t="shared" si="49"/>
        <v>No</v>
      </c>
      <c r="K773" s="5" t="str">
        <f t="shared" si="50"/>
        <v>No</v>
      </c>
      <c r="L773" s="25">
        <f t="shared" si="51"/>
        <v>53.243697478991599</v>
      </c>
    </row>
    <row r="774" spans="1:12">
      <c r="A774" s="9" t="s">
        <v>1275</v>
      </c>
      <c r="B774" s="8">
        <v>12</v>
      </c>
      <c r="C774" s="8" t="s">
        <v>35</v>
      </c>
      <c r="D774" s="8" t="s">
        <v>36</v>
      </c>
      <c r="E774" s="8" t="s">
        <v>219</v>
      </c>
      <c r="F774" s="8">
        <v>282</v>
      </c>
      <c r="G774" s="8">
        <v>104.71</v>
      </c>
      <c r="H774" s="10">
        <v>23.1</v>
      </c>
      <c r="I774" s="8">
        <f t="shared" si="48"/>
        <v>1</v>
      </c>
      <c r="J774" s="8" t="str">
        <f t="shared" si="49"/>
        <v>No</v>
      </c>
      <c r="K774" s="5" t="str">
        <f t="shared" si="50"/>
        <v>No</v>
      </c>
      <c r="L774" s="25">
        <f t="shared" si="51"/>
        <v>87.991596638655466</v>
      </c>
    </row>
    <row r="775" spans="1:12">
      <c r="A775" s="9" t="s">
        <v>1276</v>
      </c>
      <c r="B775" s="8">
        <v>12</v>
      </c>
      <c r="C775" s="8" t="s">
        <v>51</v>
      </c>
      <c r="D775" s="8" t="s">
        <v>36</v>
      </c>
      <c r="E775" s="8" t="s">
        <v>646</v>
      </c>
      <c r="F775" s="8">
        <v>477</v>
      </c>
      <c r="G775" s="8">
        <v>165.51</v>
      </c>
      <c r="H775" s="10">
        <v>20.05</v>
      </c>
      <c r="I775" s="8">
        <f t="shared" si="48"/>
        <v>1</v>
      </c>
      <c r="J775" s="8" t="str">
        <f t="shared" si="49"/>
        <v>No</v>
      </c>
      <c r="K775" s="5" t="str">
        <f t="shared" si="50"/>
        <v>No</v>
      </c>
      <c r="L775" s="25">
        <f t="shared" si="51"/>
        <v>139.08403361344537</v>
      </c>
    </row>
    <row r="776" spans="1:12">
      <c r="A776" s="9" t="s">
        <v>1277</v>
      </c>
      <c r="B776" s="8">
        <v>24</v>
      </c>
      <c r="C776" s="8" t="s">
        <v>39</v>
      </c>
      <c r="D776" s="8" t="s">
        <v>36</v>
      </c>
      <c r="E776" s="8" t="s">
        <v>1278</v>
      </c>
      <c r="F776" s="8">
        <v>140</v>
      </c>
      <c r="G776" s="8">
        <v>60.76</v>
      </c>
      <c r="H776" s="10">
        <v>29.09</v>
      </c>
      <c r="I776" s="8">
        <f t="shared" si="48"/>
        <v>1</v>
      </c>
      <c r="J776" s="8" t="str">
        <f t="shared" si="49"/>
        <v>No</v>
      </c>
      <c r="K776" s="5" t="str">
        <f t="shared" si="50"/>
        <v>No</v>
      </c>
      <c r="L776" s="25">
        <f t="shared" si="51"/>
        <v>51.058823529411768</v>
      </c>
    </row>
    <row r="777" spans="1:12">
      <c r="A777" s="9" t="s">
        <v>1279</v>
      </c>
      <c r="B777" s="8">
        <v>12</v>
      </c>
      <c r="C777" s="8" t="s">
        <v>39</v>
      </c>
      <c r="D777" s="8" t="s">
        <v>36</v>
      </c>
      <c r="E777" s="8" t="s">
        <v>1201</v>
      </c>
      <c r="F777" s="8">
        <v>106</v>
      </c>
      <c r="G777" s="8">
        <v>48.61</v>
      </c>
      <c r="H777" s="10">
        <v>31.62</v>
      </c>
      <c r="I777" s="8">
        <f t="shared" si="48"/>
        <v>1</v>
      </c>
      <c r="J777" s="8" t="str">
        <f t="shared" si="49"/>
        <v>No</v>
      </c>
      <c r="K777" s="5" t="str">
        <f t="shared" si="50"/>
        <v>No</v>
      </c>
      <c r="L777" s="25">
        <f t="shared" si="51"/>
        <v>40.84873949579832</v>
      </c>
    </row>
    <row r="778" spans="1:12">
      <c r="A778" s="9" t="s">
        <v>1280</v>
      </c>
      <c r="B778" s="8">
        <v>12</v>
      </c>
      <c r="C778" s="8" t="s">
        <v>39</v>
      </c>
      <c r="D778" s="8" t="s">
        <v>46</v>
      </c>
      <c r="E778" s="8" t="s">
        <v>583</v>
      </c>
      <c r="F778" s="8">
        <v>109</v>
      </c>
      <c r="G778" s="8">
        <v>48.83</v>
      </c>
      <c r="H778" s="10">
        <v>29.5</v>
      </c>
      <c r="I778" s="8">
        <f t="shared" si="48"/>
        <v>1</v>
      </c>
      <c r="J778" s="8" t="str">
        <f t="shared" si="49"/>
        <v>No</v>
      </c>
      <c r="K778" s="5" t="str">
        <f t="shared" si="50"/>
        <v>No</v>
      </c>
      <c r="L778" s="25">
        <f t="shared" si="51"/>
        <v>41.033613445378151</v>
      </c>
    </row>
    <row r="779" spans="1:12">
      <c r="A779" s="9" t="s">
        <v>1281</v>
      </c>
      <c r="B779" s="8">
        <v>24</v>
      </c>
      <c r="C779" s="8" t="s">
        <v>35</v>
      </c>
      <c r="D779" s="8" t="s">
        <v>56</v>
      </c>
      <c r="E779" s="8" t="s">
        <v>1282</v>
      </c>
      <c r="F779" s="8">
        <v>298</v>
      </c>
      <c r="G779" s="8">
        <v>113.21</v>
      </c>
      <c r="H779" s="10">
        <v>24.2</v>
      </c>
      <c r="I779" s="8">
        <f t="shared" si="48"/>
        <v>1</v>
      </c>
      <c r="J779" s="8" t="str">
        <f t="shared" si="49"/>
        <v>No</v>
      </c>
      <c r="K779" s="5" t="str">
        <f t="shared" si="50"/>
        <v>No</v>
      </c>
      <c r="L779" s="25">
        <f t="shared" si="51"/>
        <v>95.134453781512605</v>
      </c>
    </row>
    <row r="780" spans="1:12">
      <c r="A780" s="9" t="s">
        <v>1283</v>
      </c>
      <c r="B780" s="8">
        <v>24</v>
      </c>
      <c r="C780" s="8" t="s">
        <v>35</v>
      </c>
      <c r="D780" s="8" t="s">
        <v>56</v>
      </c>
      <c r="E780" s="8" t="s">
        <v>1284</v>
      </c>
      <c r="F780" s="8">
        <v>241</v>
      </c>
      <c r="G780" s="8">
        <v>93.39</v>
      </c>
      <c r="H780" s="10">
        <v>22.2</v>
      </c>
      <c r="I780" s="8">
        <f t="shared" si="48"/>
        <v>1</v>
      </c>
      <c r="J780" s="8" t="str">
        <f t="shared" si="49"/>
        <v>No</v>
      </c>
      <c r="K780" s="5" t="str">
        <f t="shared" si="50"/>
        <v>No</v>
      </c>
      <c r="L780" s="25">
        <f t="shared" si="51"/>
        <v>78.478991596638664</v>
      </c>
    </row>
    <row r="781" spans="1:12">
      <c r="A781" s="9" t="s">
        <v>1285</v>
      </c>
      <c r="B781" s="8">
        <v>24</v>
      </c>
      <c r="C781" s="8" t="s">
        <v>35</v>
      </c>
      <c r="D781" s="8" t="s">
        <v>46</v>
      </c>
      <c r="E781" s="8" t="s">
        <v>1286</v>
      </c>
      <c r="F781" s="8">
        <v>300</v>
      </c>
      <c r="G781" s="8">
        <v>110.34</v>
      </c>
      <c r="H781" s="10">
        <v>25.7</v>
      </c>
      <c r="I781" s="8">
        <f t="shared" si="48"/>
        <v>1</v>
      </c>
      <c r="J781" s="8" t="str">
        <f t="shared" si="49"/>
        <v>No</v>
      </c>
      <c r="K781" s="5" t="str">
        <f t="shared" si="50"/>
        <v>No</v>
      </c>
      <c r="L781" s="25">
        <f t="shared" si="51"/>
        <v>92.722689075630257</v>
      </c>
    </row>
    <row r="782" spans="1:12">
      <c r="A782" s="9" t="s">
        <v>1287</v>
      </c>
      <c r="B782" s="8">
        <v>24</v>
      </c>
      <c r="C782" s="8" t="s">
        <v>39</v>
      </c>
      <c r="D782" s="8" t="s">
        <v>36</v>
      </c>
      <c r="E782" s="8" t="s">
        <v>1288</v>
      </c>
      <c r="F782" s="8">
        <v>152</v>
      </c>
      <c r="G782" s="8">
        <v>60.75</v>
      </c>
      <c r="H782" s="10">
        <v>31.33</v>
      </c>
      <c r="I782" s="8">
        <f t="shared" si="48"/>
        <v>1</v>
      </c>
      <c r="J782" s="8" t="str">
        <f t="shared" si="49"/>
        <v>No</v>
      </c>
      <c r="K782" s="5" t="str">
        <f t="shared" si="50"/>
        <v>No</v>
      </c>
      <c r="L782" s="25">
        <f t="shared" si="51"/>
        <v>51.050420168067227</v>
      </c>
    </row>
    <row r="783" spans="1:12">
      <c r="A783" s="9" t="s">
        <v>1289</v>
      </c>
      <c r="B783" s="8">
        <v>12</v>
      </c>
      <c r="C783" s="8" t="s">
        <v>35</v>
      </c>
      <c r="D783" s="8" t="s">
        <v>36</v>
      </c>
      <c r="E783" s="8" t="s">
        <v>635</v>
      </c>
      <c r="F783" s="8">
        <v>309</v>
      </c>
      <c r="G783" s="8">
        <v>110.88</v>
      </c>
      <c r="H783" s="10">
        <v>25.22</v>
      </c>
      <c r="I783" s="8">
        <f t="shared" si="48"/>
        <v>1</v>
      </c>
      <c r="J783" s="8" t="str">
        <f t="shared" si="49"/>
        <v>No</v>
      </c>
      <c r="K783" s="5" t="str">
        <f t="shared" si="50"/>
        <v>No</v>
      </c>
      <c r="L783" s="25">
        <f t="shared" si="51"/>
        <v>93.17647058823529</v>
      </c>
    </row>
    <row r="784" spans="1:12">
      <c r="A784" s="9" t="s">
        <v>1290</v>
      </c>
      <c r="B784" s="8">
        <v>12</v>
      </c>
      <c r="C784" s="8" t="s">
        <v>35</v>
      </c>
      <c r="D784" s="8" t="s">
        <v>36</v>
      </c>
      <c r="E784" s="8" t="s">
        <v>1291</v>
      </c>
      <c r="F784" s="8">
        <v>319</v>
      </c>
      <c r="G784" s="8">
        <v>120.46</v>
      </c>
      <c r="H784" s="10">
        <v>24.9</v>
      </c>
      <c r="I784" s="8">
        <f t="shared" si="48"/>
        <v>1</v>
      </c>
      <c r="J784" s="8" t="str">
        <f t="shared" si="49"/>
        <v>No</v>
      </c>
      <c r="K784" s="5" t="str">
        <f t="shared" si="50"/>
        <v>No</v>
      </c>
      <c r="L784" s="25">
        <f t="shared" si="51"/>
        <v>101.22689075630252</v>
      </c>
    </row>
    <row r="785" spans="1:12">
      <c r="A785" s="9" t="s">
        <v>1292</v>
      </c>
      <c r="B785" s="8">
        <v>12</v>
      </c>
      <c r="C785" s="8" t="s">
        <v>35</v>
      </c>
      <c r="D785" s="8" t="s">
        <v>36</v>
      </c>
      <c r="E785" s="8" t="s">
        <v>1211</v>
      </c>
      <c r="F785" s="8">
        <v>238</v>
      </c>
      <c r="G785" s="8">
        <v>90.54</v>
      </c>
      <c r="H785" s="10">
        <v>22.9</v>
      </c>
      <c r="I785" s="8">
        <f t="shared" si="48"/>
        <v>1</v>
      </c>
      <c r="J785" s="8" t="str">
        <f t="shared" si="49"/>
        <v>No</v>
      </c>
      <c r="K785" s="5" t="str">
        <f t="shared" si="50"/>
        <v>No</v>
      </c>
      <c r="L785" s="25">
        <f t="shared" si="51"/>
        <v>76.084033613445385</v>
      </c>
    </row>
    <row r="786" spans="1:12">
      <c r="A786" s="9" t="s">
        <v>1293</v>
      </c>
      <c r="B786" s="8">
        <v>12</v>
      </c>
      <c r="C786" s="8" t="s">
        <v>51</v>
      </c>
      <c r="D786" s="8" t="s">
        <v>36</v>
      </c>
      <c r="E786" s="8" t="s">
        <v>179</v>
      </c>
      <c r="F786" s="8">
        <v>440</v>
      </c>
      <c r="G786" s="8">
        <v>146.38</v>
      </c>
      <c r="H786" s="10">
        <v>20.59</v>
      </c>
      <c r="I786" s="8">
        <f t="shared" si="48"/>
        <v>1</v>
      </c>
      <c r="J786" s="8" t="str">
        <f t="shared" si="49"/>
        <v>No</v>
      </c>
      <c r="K786" s="5" t="str">
        <f t="shared" si="50"/>
        <v>No</v>
      </c>
      <c r="L786" s="25">
        <f t="shared" si="51"/>
        <v>123.00840336134453</v>
      </c>
    </row>
    <row r="787" spans="1:12">
      <c r="A787" s="9" t="s">
        <v>1294</v>
      </c>
      <c r="B787" s="8">
        <v>24</v>
      </c>
      <c r="C787" s="8" t="s">
        <v>39</v>
      </c>
      <c r="D787" s="8" t="s">
        <v>36</v>
      </c>
      <c r="E787" s="8" t="s">
        <v>1295</v>
      </c>
      <c r="F787" s="8">
        <v>132</v>
      </c>
      <c r="G787" s="8">
        <v>55.5</v>
      </c>
      <c r="H787" s="10">
        <v>31.72</v>
      </c>
      <c r="I787" s="8">
        <f t="shared" si="48"/>
        <v>1</v>
      </c>
      <c r="J787" s="8" t="str">
        <f t="shared" si="49"/>
        <v>No</v>
      </c>
      <c r="K787" s="5" t="str">
        <f t="shared" si="50"/>
        <v>No</v>
      </c>
      <c r="L787" s="25">
        <f t="shared" si="51"/>
        <v>46.638655462184879</v>
      </c>
    </row>
    <row r="788" spans="1:12">
      <c r="A788" s="9" t="s">
        <v>1296</v>
      </c>
      <c r="B788" s="8">
        <v>24</v>
      </c>
      <c r="C788" s="8" t="s">
        <v>35</v>
      </c>
      <c r="D788" s="8" t="s">
        <v>36</v>
      </c>
      <c r="E788" s="8" t="s">
        <v>448</v>
      </c>
      <c r="F788" s="8">
        <v>229</v>
      </c>
      <c r="G788" s="8">
        <v>92.16</v>
      </c>
      <c r="H788" s="10">
        <v>22.38</v>
      </c>
      <c r="I788" s="8">
        <f t="shared" si="48"/>
        <v>1</v>
      </c>
      <c r="J788" s="8" t="str">
        <f t="shared" si="49"/>
        <v>No</v>
      </c>
      <c r="K788" s="5" t="str">
        <f t="shared" si="50"/>
        <v>No</v>
      </c>
      <c r="L788" s="25">
        <f t="shared" si="51"/>
        <v>77.445378151260499</v>
      </c>
    </row>
    <row r="789" spans="1:12">
      <c r="A789" s="9" t="s">
        <v>1297</v>
      </c>
      <c r="B789" s="8">
        <v>12</v>
      </c>
      <c r="C789" s="8" t="s">
        <v>35</v>
      </c>
      <c r="D789" s="8" t="s">
        <v>36</v>
      </c>
      <c r="E789" s="8" t="s">
        <v>1298</v>
      </c>
      <c r="F789" s="8">
        <v>267</v>
      </c>
      <c r="G789" s="8">
        <v>104.53</v>
      </c>
      <c r="H789" s="10">
        <v>23.8</v>
      </c>
      <c r="I789" s="8">
        <f t="shared" si="48"/>
        <v>1</v>
      </c>
      <c r="J789" s="8" t="str">
        <f t="shared" si="49"/>
        <v>No</v>
      </c>
      <c r="K789" s="5" t="str">
        <f t="shared" si="50"/>
        <v>No</v>
      </c>
      <c r="L789" s="25">
        <f t="shared" si="51"/>
        <v>87.840336134453793</v>
      </c>
    </row>
    <row r="790" spans="1:12">
      <c r="A790" s="9" t="s">
        <v>1299</v>
      </c>
      <c r="B790" s="8">
        <v>12</v>
      </c>
      <c r="C790" s="8" t="s">
        <v>35</v>
      </c>
      <c r="D790" s="8" t="s">
        <v>56</v>
      </c>
      <c r="E790" s="8" t="s">
        <v>1300</v>
      </c>
      <c r="F790" s="8">
        <v>284</v>
      </c>
      <c r="G790" s="8">
        <v>108.53</v>
      </c>
      <c r="H790" s="10">
        <v>23.35</v>
      </c>
      <c r="I790" s="8">
        <f t="shared" si="48"/>
        <v>1</v>
      </c>
      <c r="J790" s="8" t="str">
        <f t="shared" si="49"/>
        <v>No</v>
      </c>
      <c r="K790" s="5" t="str">
        <f t="shared" si="50"/>
        <v>No</v>
      </c>
      <c r="L790" s="25">
        <f t="shared" si="51"/>
        <v>91.201680672268907</v>
      </c>
    </row>
    <row r="791" spans="1:12">
      <c r="A791" s="9" t="s">
        <v>1301</v>
      </c>
      <c r="B791" s="8">
        <v>24</v>
      </c>
      <c r="C791" s="8" t="s">
        <v>35</v>
      </c>
      <c r="D791" s="8" t="s">
        <v>46</v>
      </c>
      <c r="E791" s="8" t="s">
        <v>936</v>
      </c>
      <c r="F791" s="8">
        <v>281</v>
      </c>
      <c r="G791" s="8">
        <v>106.26</v>
      </c>
      <c r="H791" s="10">
        <v>25.48</v>
      </c>
      <c r="I791" s="8">
        <f t="shared" si="48"/>
        <v>1</v>
      </c>
      <c r="J791" s="8" t="str">
        <f t="shared" si="49"/>
        <v>No</v>
      </c>
      <c r="K791" s="5" t="str">
        <f t="shared" si="50"/>
        <v>No</v>
      </c>
      <c r="L791" s="25">
        <f t="shared" si="51"/>
        <v>89.294117647058826</v>
      </c>
    </row>
    <row r="792" spans="1:12">
      <c r="A792" s="9" t="s">
        <v>1302</v>
      </c>
      <c r="B792" s="8">
        <v>12</v>
      </c>
      <c r="C792" s="8" t="s">
        <v>35</v>
      </c>
      <c r="D792" s="8" t="s">
        <v>36</v>
      </c>
      <c r="E792" s="8" t="s">
        <v>279</v>
      </c>
      <c r="F792" s="8">
        <v>229</v>
      </c>
      <c r="G792" s="8">
        <v>84.16</v>
      </c>
      <c r="H792" s="10">
        <v>22.33</v>
      </c>
      <c r="I792" s="8">
        <f t="shared" si="48"/>
        <v>1</v>
      </c>
      <c r="J792" s="8" t="str">
        <f t="shared" si="49"/>
        <v>No</v>
      </c>
      <c r="K792" s="5" t="str">
        <f t="shared" si="50"/>
        <v>No</v>
      </c>
      <c r="L792" s="25">
        <f t="shared" si="51"/>
        <v>70.722689075630257</v>
      </c>
    </row>
    <row r="793" spans="1:12">
      <c r="A793" s="9" t="s">
        <v>1303</v>
      </c>
      <c r="B793" s="8">
        <v>24</v>
      </c>
      <c r="C793" s="8" t="s">
        <v>51</v>
      </c>
      <c r="D793" s="8" t="s">
        <v>56</v>
      </c>
      <c r="E793" s="8" t="s">
        <v>553</v>
      </c>
      <c r="F793" s="8">
        <v>389</v>
      </c>
      <c r="G793" s="8">
        <v>140.88999999999999</v>
      </c>
      <c r="H793" s="10">
        <v>17.559999999999999</v>
      </c>
      <c r="I793" s="8">
        <f t="shared" si="48"/>
        <v>1</v>
      </c>
      <c r="J793" s="8" t="str">
        <f t="shared" si="49"/>
        <v>No</v>
      </c>
      <c r="K793" s="5" t="str">
        <f t="shared" si="50"/>
        <v>No</v>
      </c>
      <c r="L793" s="25">
        <f t="shared" si="51"/>
        <v>118.39495798319327</v>
      </c>
    </row>
    <row r="794" spans="1:12">
      <c r="A794" s="9" t="s">
        <v>1304</v>
      </c>
      <c r="B794" s="8">
        <v>12</v>
      </c>
      <c r="C794" s="8" t="s">
        <v>39</v>
      </c>
      <c r="D794" s="8" t="s">
        <v>56</v>
      </c>
      <c r="E794" s="8" t="s">
        <v>486</v>
      </c>
      <c r="F794" s="8">
        <v>119</v>
      </c>
      <c r="G794" s="8">
        <v>49.8</v>
      </c>
      <c r="H794" s="10">
        <v>31.01</v>
      </c>
      <c r="I794" s="8">
        <f t="shared" si="48"/>
        <v>1</v>
      </c>
      <c r="J794" s="8" t="str">
        <f t="shared" si="49"/>
        <v>No</v>
      </c>
      <c r="K794" s="5" t="str">
        <f t="shared" si="50"/>
        <v>No</v>
      </c>
      <c r="L794" s="25">
        <f t="shared" si="51"/>
        <v>41.84873949579832</v>
      </c>
    </row>
    <row r="795" spans="1:12">
      <c r="A795" s="9" t="s">
        <v>1305</v>
      </c>
      <c r="B795" s="8">
        <v>24</v>
      </c>
      <c r="C795" s="8" t="s">
        <v>39</v>
      </c>
      <c r="D795" s="8" t="s">
        <v>36</v>
      </c>
      <c r="E795" s="8" t="s">
        <v>357</v>
      </c>
      <c r="F795" s="8">
        <v>95</v>
      </c>
      <c r="G795" s="8">
        <v>46.81</v>
      </c>
      <c r="H795" s="10">
        <v>28.21</v>
      </c>
      <c r="I795" s="8">
        <f t="shared" si="48"/>
        <v>1</v>
      </c>
      <c r="J795" s="8" t="str">
        <f t="shared" si="49"/>
        <v>No</v>
      </c>
      <c r="K795" s="5" t="str">
        <f t="shared" si="50"/>
        <v>No</v>
      </c>
      <c r="L795" s="25">
        <f t="shared" si="51"/>
        <v>39.336134453781519</v>
      </c>
    </row>
    <row r="796" spans="1:12">
      <c r="A796" s="9" t="s">
        <v>1306</v>
      </c>
      <c r="B796" s="8">
        <v>12</v>
      </c>
      <c r="C796" s="8" t="s">
        <v>35</v>
      </c>
      <c r="D796" s="8" t="s">
        <v>36</v>
      </c>
      <c r="E796" s="8" t="s">
        <v>703</v>
      </c>
      <c r="F796" s="8">
        <v>315</v>
      </c>
      <c r="G796" s="8">
        <v>113.84</v>
      </c>
      <c r="H796" s="10">
        <v>23.97</v>
      </c>
      <c r="I796" s="8">
        <f t="shared" si="48"/>
        <v>1</v>
      </c>
      <c r="J796" s="8" t="str">
        <f t="shared" si="49"/>
        <v>No</v>
      </c>
      <c r="K796" s="5" t="str">
        <f t="shared" si="50"/>
        <v>No</v>
      </c>
      <c r="L796" s="25">
        <f t="shared" si="51"/>
        <v>95.663865546218489</v>
      </c>
    </row>
    <row r="797" spans="1:12">
      <c r="A797" s="9" t="s">
        <v>1307</v>
      </c>
      <c r="B797" s="8">
        <v>24</v>
      </c>
      <c r="C797" s="8" t="s">
        <v>35</v>
      </c>
      <c r="D797" s="8" t="s">
        <v>36</v>
      </c>
      <c r="E797" s="8" t="s">
        <v>162</v>
      </c>
      <c r="F797" s="8">
        <v>224</v>
      </c>
      <c r="G797" s="8">
        <v>86.46</v>
      </c>
      <c r="H797" s="10">
        <v>23.77</v>
      </c>
      <c r="I797" s="8">
        <f t="shared" si="48"/>
        <v>1</v>
      </c>
      <c r="J797" s="8" t="str">
        <f t="shared" si="49"/>
        <v>No</v>
      </c>
      <c r="K797" s="5" t="str">
        <f t="shared" si="50"/>
        <v>No</v>
      </c>
      <c r="L797" s="25">
        <f t="shared" si="51"/>
        <v>72.655462184873954</v>
      </c>
    </row>
    <row r="798" spans="1:12">
      <c r="A798" s="9" t="s">
        <v>1308</v>
      </c>
      <c r="B798" s="8">
        <v>24</v>
      </c>
      <c r="C798" s="8" t="s">
        <v>39</v>
      </c>
      <c r="D798" s="8" t="s">
        <v>56</v>
      </c>
      <c r="E798" s="8" t="s">
        <v>1309</v>
      </c>
      <c r="F798" s="8">
        <v>96</v>
      </c>
      <c r="G798" s="8">
        <v>43.76</v>
      </c>
      <c r="H798" s="10">
        <v>29.34</v>
      </c>
      <c r="I798" s="8">
        <f t="shared" si="48"/>
        <v>1</v>
      </c>
      <c r="J798" s="8" t="str">
        <f t="shared" si="49"/>
        <v>No</v>
      </c>
      <c r="K798" s="5" t="str">
        <f t="shared" si="50"/>
        <v>No</v>
      </c>
      <c r="L798" s="25">
        <f t="shared" si="51"/>
        <v>36.773109243697476</v>
      </c>
    </row>
    <row r="799" spans="1:12">
      <c r="A799" s="9" t="s">
        <v>1310</v>
      </c>
      <c r="B799" s="8">
        <v>24</v>
      </c>
      <c r="C799" s="8" t="s">
        <v>39</v>
      </c>
      <c r="D799" s="8" t="s">
        <v>56</v>
      </c>
      <c r="E799" s="8" t="s">
        <v>1311</v>
      </c>
      <c r="F799" s="8">
        <v>85</v>
      </c>
      <c r="G799" s="8">
        <v>43.5</v>
      </c>
      <c r="H799" s="10">
        <v>29.58</v>
      </c>
      <c r="I799" s="8">
        <f t="shared" si="48"/>
        <v>1</v>
      </c>
      <c r="J799" s="8" t="str">
        <f t="shared" si="49"/>
        <v>No</v>
      </c>
      <c r="K799" s="5" t="str">
        <f t="shared" si="50"/>
        <v>No</v>
      </c>
      <c r="L799" s="25">
        <f t="shared" si="51"/>
        <v>36.554621848739501</v>
      </c>
    </row>
    <row r="800" spans="1:12">
      <c r="A800" s="9" t="s">
        <v>1312</v>
      </c>
      <c r="B800" s="8">
        <v>24</v>
      </c>
      <c r="C800" s="8" t="s">
        <v>39</v>
      </c>
      <c r="D800" s="8" t="s">
        <v>36</v>
      </c>
      <c r="E800" s="8" t="s">
        <v>1313</v>
      </c>
      <c r="F800" s="8">
        <v>137</v>
      </c>
      <c r="G800" s="8">
        <v>58.99</v>
      </c>
      <c r="H800" s="10">
        <v>30.12</v>
      </c>
      <c r="I800" s="8">
        <f t="shared" si="48"/>
        <v>1</v>
      </c>
      <c r="J800" s="8" t="str">
        <f t="shared" si="49"/>
        <v>No</v>
      </c>
      <c r="K800" s="5" t="str">
        <f t="shared" si="50"/>
        <v>No</v>
      </c>
      <c r="L800" s="25">
        <f t="shared" si="51"/>
        <v>49.571428571428577</v>
      </c>
    </row>
    <row r="801" spans="1:12">
      <c r="A801" s="14" t="s">
        <v>1314</v>
      </c>
      <c r="B801" s="15">
        <v>24</v>
      </c>
      <c r="C801" s="15" t="s">
        <v>51</v>
      </c>
      <c r="D801" s="15" t="s">
        <v>36</v>
      </c>
      <c r="E801" s="15" t="s">
        <v>803</v>
      </c>
      <c r="F801" s="15">
        <v>546</v>
      </c>
      <c r="G801" s="15">
        <v>187.61</v>
      </c>
      <c r="H801" s="16">
        <v>17.309999999999999</v>
      </c>
      <c r="I801" s="15">
        <f t="shared" si="48"/>
        <v>1</v>
      </c>
      <c r="J801" s="15" t="str">
        <f t="shared" si="49"/>
        <v>No</v>
      </c>
      <c r="K801" s="5" t="str">
        <f t="shared" si="50"/>
        <v>No</v>
      </c>
      <c r="L801" s="25">
        <f t="shared" si="51"/>
        <v>157.65546218487395</v>
      </c>
    </row>
  </sheetData>
  <conditionalFormatting sqref="A1:A1048576">
    <cfRule type="duplicateValues" dxfId="0" priority="1"/>
  </conditionalFormatting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1481E6-D4A5-485B-8286-367BA70470D1}">
  <dimension ref="A3:I1601"/>
  <sheetViews>
    <sheetView zoomScaleNormal="100" workbookViewId="0">
      <selection activeCell="G6" sqref="G6"/>
    </sheetView>
  </sheetViews>
  <sheetFormatPr defaultRowHeight="14.4"/>
  <cols>
    <col min="1" max="1" width="12.5546875" bestFit="1" customWidth="1"/>
    <col min="2" max="2" width="31.77734375" style="20" bestFit="1" customWidth="1"/>
    <col min="3" max="3" width="14.5546875" style="20" bestFit="1" customWidth="1"/>
    <col min="4" max="4" width="20" bestFit="1" customWidth="1"/>
    <col min="7" max="7" width="90.109375" customWidth="1"/>
  </cols>
  <sheetData>
    <row r="3" spans="1:9" ht="14.4" customHeight="1">
      <c r="A3" s="26" t="s">
        <v>1368</v>
      </c>
      <c r="B3" t="s">
        <v>1365</v>
      </c>
      <c r="C3" s="20" t="s">
        <v>1329</v>
      </c>
      <c r="D3" s="20" t="s">
        <v>1360</v>
      </c>
      <c r="G3" s="44" t="s">
        <v>1366</v>
      </c>
    </row>
    <row r="4" spans="1:9" ht="29.4" customHeight="1">
      <c r="A4" s="27" t="s">
        <v>34</v>
      </c>
      <c r="B4" s="28">
        <v>199</v>
      </c>
      <c r="C4" s="20">
        <v>16.427142016806719</v>
      </c>
      <c r="D4" s="20">
        <v>8.2548452345762406</v>
      </c>
      <c r="G4" s="43" t="s">
        <v>1369</v>
      </c>
    </row>
    <row r="5" spans="1:9" ht="28.8" customHeight="1">
      <c r="A5" s="27" t="s">
        <v>38</v>
      </c>
      <c r="B5" s="28">
        <v>110</v>
      </c>
      <c r="C5" s="20">
        <v>8.7957226890756317</v>
      </c>
      <c r="D5" s="20">
        <v>7.9961115355233012</v>
      </c>
      <c r="G5" s="43" t="s">
        <v>1370</v>
      </c>
    </row>
    <row r="6" spans="1:9" ht="26.4" customHeight="1">
      <c r="A6" s="27" t="s">
        <v>41</v>
      </c>
      <c r="B6" s="28">
        <v>205</v>
      </c>
      <c r="C6" s="20">
        <v>24.847218487394962</v>
      </c>
      <c r="D6" s="20">
        <v>12.120594384095103</v>
      </c>
      <c r="G6" s="43" t="s">
        <v>1367</v>
      </c>
    </row>
    <row r="7" spans="1:9">
      <c r="A7" s="27" t="s">
        <v>43</v>
      </c>
      <c r="B7" s="28">
        <v>226</v>
      </c>
      <c r="C7" s="20">
        <v>13.295515966386553</v>
      </c>
      <c r="D7" s="20">
        <v>5.8829716665427227</v>
      </c>
      <c r="I7" s="42"/>
    </row>
    <row r="8" spans="1:9">
      <c r="A8" s="27" t="s">
        <v>45</v>
      </c>
      <c r="B8" s="28">
        <v>178</v>
      </c>
      <c r="C8" s="20">
        <v>15.411157983193284</v>
      </c>
      <c r="D8" s="20">
        <v>8.6579539231422942</v>
      </c>
    </row>
    <row r="9" spans="1:9">
      <c r="A9" s="27" t="s">
        <v>48</v>
      </c>
      <c r="B9" s="28">
        <v>253</v>
      </c>
      <c r="C9" s="20">
        <v>15.167021008403367</v>
      </c>
      <c r="D9" s="20">
        <v>5.9948699637957974</v>
      </c>
    </row>
    <row r="10" spans="1:9">
      <c r="A10" s="27" t="s">
        <v>50</v>
      </c>
      <c r="B10" s="28">
        <v>356</v>
      </c>
      <c r="C10" s="20">
        <v>25.25650756302521</v>
      </c>
      <c r="D10" s="20">
        <v>7.094524596355396</v>
      </c>
    </row>
    <row r="11" spans="1:9">
      <c r="A11" s="27" t="s">
        <v>53</v>
      </c>
      <c r="B11" s="28">
        <v>600</v>
      </c>
      <c r="C11" s="20">
        <v>47.83731092436976</v>
      </c>
      <c r="D11" s="20">
        <v>7.9728851540616263</v>
      </c>
    </row>
    <row r="12" spans="1:9">
      <c r="A12" s="27" t="s">
        <v>55</v>
      </c>
      <c r="B12" s="28">
        <v>206</v>
      </c>
      <c r="C12" s="20">
        <v>19.810702521008402</v>
      </c>
      <c r="D12" s="20">
        <v>9.6168458839846611</v>
      </c>
    </row>
    <row r="13" spans="1:9">
      <c r="A13" s="27" t="s">
        <v>58</v>
      </c>
      <c r="B13" s="28">
        <v>128</v>
      </c>
      <c r="C13" s="20">
        <v>8.6502453781512614</v>
      </c>
      <c r="D13" s="20">
        <v>6.7580042016806727</v>
      </c>
    </row>
    <row r="14" spans="1:9">
      <c r="A14" s="27" t="s">
        <v>60</v>
      </c>
      <c r="B14" s="28">
        <v>627</v>
      </c>
      <c r="C14" s="20">
        <v>54.428159663865557</v>
      </c>
      <c r="D14" s="20">
        <v>8.6807272191173137</v>
      </c>
    </row>
    <row r="15" spans="1:9">
      <c r="A15" s="27" t="s">
        <v>62</v>
      </c>
      <c r="B15" s="28">
        <v>550</v>
      </c>
      <c r="C15" s="20">
        <v>46.227605042016819</v>
      </c>
      <c r="D15" s="20">
        <v>8.4050190985485127</v>
      </c>
    </row>
    <row r="16" spans="1:9">
      <c r="A16" s="27" t="s">
        <v>64</v>
      </c>
      <c r="B16" s="28">
        <v>128</v>
      </c>
      <c r="C16" s="20">
        <v>9.7426016806722728</v>
      </c>
      <c r="D16" s="20">
        <v>7.6114075630252129</v>
      </c>
    </row>
    <row r="17" spans="1:4">
      <c r="A17" s="27" t="s">
        <v>66</v>
      </c>
      <c r="B17" s="28">
        <v>441</v>
      </c>
      <c r="C17" s="20">
        <v>32.663392436974803</v>
      </c>
      <c r="D17" s="20">
        <v>7.4066649516949665</v>
      </c>
    </row>
    <row r="18" spans="1:4">
      <c r="A18" s="27" t="s">
        <v>68</v>
      </c>
      <c r="B18" s="28">
        <v>444</v>
      </c>
      <c r="C18" s="20">
        <v>50.070974789915979</v>
      </c>
      <c r="D18" s="20">
        <v>11.277246574305401</v>
      </c>
    </row>
    <row r="19" spans="1:4">
      <c r="A19" s="27" t="s">
        <v>70</v>
      </c>
      <c r="B19" s="28">
        <v>278</v>
      </c>
      <c r="C19" s="20">
        <v>25.138442016806721</v>
      </c>
      <c r="D19" s="20">
        <v>9.042605042016806</v>
      </c>
    </row>
    <row r="20" spans="1:4">
      <c r="A20" s="27" t="s">
        <v>72</v>
      </c>
      <c r="B20" s="28">
        <v>332</v>
      </c>
      <c r="C20" s="20">
        <v>33.222581512605046</v>
      </c>
      <c r="D20" s="20">
        <v>10.006801660423207</v>
      </c>
    </row>
    <row r="21" spans="1:4">
      <c r="A21" s="27" t="s">
        <v>74</v>
      </c>
      <c r="B21" s="28">
        <v>277</v>
      </c>
      <c r="C21" s="20">
        <v>31.141543697478994</v>
      </c>
      <c r="D21" s="20">
        <v>11.242434547826353</v>
      </c>
    </row>
    <row r="22" spans="1:4">
      <c r="A22" s="27" t="s">
        <v>76</v>
      </c>
      <c r="B22" s="28">
        <v>130</v>
      </c>
      <c r="C22" s="20">
        <v>8.9446302521008434</v>
      </c>
      <c r="D22" s="20">
        <v>6.8804848093083404</v>
      </c>
    </row>
    <row r="23" spans="1:4">
      <c r="A23" s="27" t="s">
        <v>78</v>
      </c>
      <c r="B23" s="28">
        <v>144</v>
      </c>
      <c r="C23" s="20">
        <v>5.6876907563025227</v>
      </c>
      <c r="D23" s="20">
        <v>3.9497852474323074</v>
      </c>
    </row>
    <row r="24" spans="1:4">
      <c r="A24" s="27" t="s">
        <v>80</v>
      </c>
      <c r="B24" s="28">
        <v>488</v>
      </c>
      <c r="C24" s="20">
        <v>44.182097478991608</v>
      </c>
      <c r="D24" s="20">
        <v>9.0537084997933626</v>
      </c>
    </row>
    <row r="25" spans="1:4">
      <c r="A25" s="27" t="s">
        <v>82</v>
      </c>
      <c r="B25" s="28">
        <v>88</v>
      </c>
      <c r="C25" s="20">
        <v>9.250184873949582</v>
      </c>
      <c r="D25" s="20">
        <v>10.511573720397251</v>
      </c>
    </row>
    <row r="26" spans="1:4">
      <c r="A26" s="27" t="s">
        <v>84</v>
      </c>
      <c r="B26" s="28">
        <v>130</v>
      </c>
      <c r="C26" s="20">
        <v>9.1676386554621914</v>
      </c>
      <c r="D26" s="20">
        <v>7.0520297349709162</v>
      </c>
    </row>
    <row r="27" spans="1:4">
      <c r="A27" s="27" t="s">
        <v>86</v>
      </c>
      <c r="B27" s="28">
        <v>326</v>
      </c>
      <c r="C27" s="20">
        <v>32.061216806722712</v>
      </c>
      <c r="D27" s="20">
        <v>9.8347290818167821</v>
      </c>
    </row>
    <row r="28" spans="1:4">
      <c r="A28" s="27" t="s">
        <v>87</v>
      </c>
      <c r="B28" s="28">
        <v>196</v>
      </c>
      <c r="C28" s="20">
        <v>21.695643697479007</v>
      </c>
      <c r="D28" s="20">
        <v>11.069205968101533</v>
      </c>
    </row>
    <row r="29" spans="1:4">
      <c r="A29" s="27" t="s">
        <v>89</v>
      </c>
      <c r="B29" s="28">
        <v>564</v>
      </c>
      <c r="C29" s="20">
        <v>45.278974789915992</v>
      </c>
      <c r="D29" s="20">
        <v>8.0281870194886515</v>
      </c>
    </row>
    <row r="30" spans="1:4">
      <c r="A30" s="27" t="s">
        <v>90</v>
      </c>
      <c r="B30" s="28">
        <v>100</v>
      </c>
      <c r="C30" s="20">
        <v>8.9543697478991575</v>
      </c>
      <c r="D30" s="20">
        <v>8.9543697478991575</v>
      </c>
    </row>
    <row r="31" spans="1:4">
      <c r="A31" s="27" t="s">
        <v>92</v>
      </c>
      <c r="B31" s="28">
        <v>128</v>
      </c>
      <c r="C31" s="20">
        <v>7.4516436974789926</v>
      </c>
      <c r="D31" s="20">
        <v>5.8215966386554632</v>
      </c>
    </row>
    <row r="32" spans="1:4">
      <c r="A32" s="27" t="s">
        <v>94</v>
      </c>
      <c r="B32" s="28">
        <v>183</v>
      </c>
      <c r="C32" s="20">
        <v>21.668878991596635</v>
      </c>
      <c r="D32" s="20">
        <v>11.840917481746795</v>
      </c>
    </row>
    <row r="33" spans="1:4">
      <c r="A33" s="27" t="s">
        <v>96</v>
      </c>
      <c r="B33" s="28">
        <v>242</v>
      </c>
      <c r="C33" s="20">
        <v>21.303678991596641</v>
      </c>
      <c r="D33" s="20">
        <v>8.8031731370234052</v>
      </c>
    </row>
    <row r="34" spans="1:4">
      <c r="A34" s="27" t="s">
        <v>97</v>
      </c>
      <c r="B34" s="28">
        <v>146</v>
      </c>
      <c r="C34" s="20">
        <v>11.234460504201685</v>
      </c>
      <c r="D34" s="20">
        <v>7.6948359617819762</v>
      </c>
    </row>
    <row r="35" spans="1:4">
      <c r="A35" s="27" t="s">
        <v>99</v>
      </c>
      <c r="B35" s="28">
        <v>225</v>
      </c>
      <c r="C35" s="20">
        <v>17.360231092436976</v>
      </c>
      <c r="D35" s="20">
        <v>7.7156582633053219</v>
      </c>
    </row>
    <row r="36" spans="1:4">
      <c r="A36" s="27" t="s">
        <v>101</v>
      </c>
      <c r="B36" s="28">
        <v>139</v>
      </c>
      <c r="C36" s="20">
        <v>9.5245226890756314</v>
      </c>
      <c r="D36" s="20">
        <v>6.8521745964572887</v>
      </c>
    </row>
    <row r="37" spans="1:4">
      <c r="A37" s="27" t="s">
        <v>103</v>
      </c>
      <c r="B37" s="28">
        <v>150</v>
      </c>
      <c r="C37" s="20">
        <v>12.680210084033618</v>
      </c>
      <c r="D37" s="20">
        <v>8.4534733893557448</v>
      </c>
    </row>
    <row r="38" spans="1:4">
      <c r="A38" s="27" t="s">
        <v>105</v>
      </c>
      <c r="B38" s="28">
        <v>321</v>
      </c>
      <c r="C38" s="20">
        <v>22.716937815126073</v>
      </c>
      <c r="D38" s="20">
        <v>7.0769276682635747</v>
      </c>
    </row>
    <row r="39" spans="1:4">
      <c r="A39" s="27" t="s">
        <v>107</v>
      </c>
      <c r="B39" s="28">
        <v>206</v>
      </c>
      <c r="C39" s="20">
        <v>22.827633613445379</v>
      </c>
      <c r="D39" s="20">
        <v>11.081375540507466</v>
      </c>
    </row>
    <row r="40" spans="1:4">
      <c r="A40" s="27" t="s">
        <v>109</v>
      </c>
      <c r="B40" s="28">
        <v>466</v>
      </c>
      <c r="C40" s="20">
        <v>55.429378151260508</v>
      </c>
      <c r="D40" s="20">
        <v>11.894716341472213</v>
      </c>
    </row>
    <row r="41" spans="1:4">
      <c r="A41" s="27" t="s">
        <v>111</v>
      </c>
      <c r="B41" s="28">
        <v>192</v>
      </c>
      <c r="C41" s="20">
        <v>15.572073949579824</v>
      </c>
      <c r="D41" s="20">
        <v>8.1104551820728243</v>
      </c>
    </row>
    <row r="42" spans="1:4">
      <c r="A42" s="27" t="s">
        <v>113</v>
      </c>
      <c r="B42" s="28">
        <v>332</v>
      </c>
      <c r="C42" s="20">
        <v>23.078927731092449</v>
      </c>
      <c r="D42" s="20">
        <v>6.9514842563531483</v>
      </c>
    </row>
    <row r="43" spans="1:4">
      <c r="A43" s="27" t="s">
        <v>115</v>
      </c>
      <c r="B43" s="28">
        <v>321</v>
      </c>
      <c r="C43" s="20">
        <v>21.910775630252104</v>
      </c>
      <c r="D43" s="20">
        <v>6.8257868007015903</v>
      </c>
    </row>
    <row r="44" spans="1:4">
      <c r="A44" s="27" t="s">
        <v>117</v>
      </c>
      <c r="B44" s="28">
        <v>128</v>
      </c>
      <c r="C44" s="20">
        <v>13.144443697478998</v>
      </c>
      <c r="D44" s="20">
        <v>10.269096638655467</v>
      </c>
    </row>
    <row r="45" spans="1:4">
      <c r="A45" s="27" t="s">
        <v>119</v>
      </c>
      <c r="B45" s="28">
        <v>307</v>
      </c>
      <c r="C45" s="20">
        <v>22.961112605042018</v>
      </c>
      <c r="D45" s="20">
        <v>7.4791897736293214</v>
      </c>
    </row>
    <row r="46" spans="1:4">
      <c r="A46" s="27" t="s">
        <v>121</v>
      </c>
      <c r="B46" s="28">
        <v>127</v>
      </c>
      <c r="C46" s="20">
        <v>8.3858756302521016</v>
      </c>
      <c r="D46" s="20">
        <v>6.6030516773638599</v>
      </c>
    </row>
    <row r="47" spans="1:4">
      <c r="A47" s="27" t="s">
        <v>123</v>
      </c>
      <c r="B47" s="28">
        <v>541</v>
      </c>
      <c r="C47" s="20">
        <v>45.471225210084043</v>
      </c>
      <c r="D47" s="20">
        <v>8.4050323863371617</v>
      </c>
    </row>
    <row r="48" spans="1:4">
      <c r="A48" s="27" t="s">
        <v>125</v>
      </c>
      <c r="B48" s="28">
        <v>90</v>
      </c>
      <c r="C48" s="20">
        <v>7.4474705882352978</v>
      </c>
      <c r="D48" s="20">
        <v>8.2749673202614424</v>
      </c>
    </row>
    <row r="49" spans="1:4">
      <c r="A49" s="27" t="s">
        <v>127</v>
      </c>
      <c r="B49" s="28">
        <v>292</v>
      </c>
      <c r="C49" s="20">
        <v>26.005704201680672</v>
      </c>
      <c r="D49" s="20">
        <v>8.9060630827673535</v>
      </c>
    </row>
    <row r="50" spans="1:4">
      <c r="A50" s="27" t="s">
        <v>129</v>
      </c>
      <c r="B50" s="28">
        <v>94</v>
      </c>
      <c r="C50" s="20">
        <v>10.749579831932774</v>
      </c>
      <c r="D50" s="20">
        <v>11.435723225460398</v>
      </c>
    </row>
    <row r="51" spans="1:4">
      <c r="A51" s="27" t="s">
        <v>131</v>
      </c>
      <c r="B51" s="28">
        <v>609</v>
      </c>
      <c r="C51" s="20">
        <v>55.003213445378179</v>
      </c>
      <c r="D51" s="20">
        <v>9.0317263457107035</v>
      </c>
    </row>
    <row r="52" spans="1:4">
      <c r="A52" s="27" t="s">
        <v>133</v>
      </c>
      <c r="B52" s="28">
        <v>297</v>
      </c>
      <c r="C52" s="20">
        <v>21.593307563025206</v>
      </c>
      <c r="D52" s="20">
        <v>7.270473926944514</v>
      </c>
    </row>
    <row r="53" spans="1:4">
      <c r="A53" s="27" t="s">
        <v>135</v>
      </c>
      <c r="B53" s="28">
        <v>285</v>
      </c>
      <c r="C53" s="20">
        <v>15.669331932773119</v>
      </c>
      <c r="D53" s="20">
        <v>5.4980112044817959</v>
      </c>
    </row>
    <row r="54" spans="1:4">
      <c r="A54" s="27" t="s">
        <v>136</v>
      </c>
      <c r="B54" s="28">
        <v>86</v>
      </c>
      <c r="C54" s="20">
        <v>12.50836806722689</v>
      </c>
      <c r="D54" s="20">
        <v>14.544614031659176</v>
      </c>
    </row>
    <row r="55" spans="1:4">
      <c r="A55" s="27" t="s">
        <v>138</v>
      </c>
      <c r="B55" s="28">
        <v>217</v>
      </c>
      <c r="C55" s="20">
        <v>23.959278991596634</v>
      </c>
      <c r="D55" s="20">
        <v>11.041142392440845</v>
      </c>
    </row>
    <row r="56" spans="1:4">
      <c r="A56" s="27" t="s">
        <v>139</v>
      </c>
      <c r="B56" s="28">
        <v>105</v>
      </c>
      <c r="C56" s="20">
        <v>11.185050420168068</v>
      </c>
      <c r="D56" s="20">
        <v>10.652428971588636</v>
      </c>
    </row>
    <row r="57" spans="1:4">
      <c r="A57" s="27" t="s">
        <v>140</v>
      </c>
      <c r="B57" s="28">
        <v>453</v>
      </c>
      <c r="C57" s="20">
        <v>52.851207563025241</v>
      </c>
      <c r="D57" s="20">
        <v>11.666933236870914</v>
      </c>
    </row>
    <row r="58" spans="1:4">
      <c r="A58" s="27" t="s">
        <v>142</v>
      </c>
      <c r="B58" s="28">
        <v>90</v>
      </c>
      <c r="C58" s="20">
        <v>11.52617647058824</v>
      </c>
      <c r="D58" s="20">
        <v>12.806862745098044</v>
      </c>
    </row>
    <row r="59" spans="1:4">
      <c r="A59" s="27" t="s">
        <v>144</v>
      </c>
      <c r="B59" s="28">
        <v>162</v>
      </c>
      <c r="C59" s="20">
        <v>4.602650420168068</v>
      </c>
      <c r="D59" s="20">
        <v>2.8411422346716471</v>
      </c>
    </row>
    <row r="60" spans="1:4">
      <c r="A60" s="27" t="s">
        <v>146</v>
      </c>
      <c r="B60" s="28">
        <v>130</v>
      </c>
      <c r="C60" s="20">
        <v>8.0242100840336192</v>
      </c>
      <c r="D60" s="20">
        <v>6.1724692954104761</v>
      </c>
    </row>
    <row r="61" spans="1:4">
      <c r="A61" s="27" t="s">
        <v>148</v>
      </c>
      <c r="B61" s="28">
        <v>218</v>
      </c>
      <c r="C61" s="20">
        <v>19.936482352941191</v>
      </c>
      <c r="D61" s="20">
        <v>9.1451753912574265</v>
      </c>
    </row>
    <row r="62" spans="1:4">
      <c r="A62" s="27" t="s">
        <v>150</v>
      </c>
      <c r="B62" s="28">
        <v>233</v>
      </c>
      <c r="C62" s="20">
        <v>24.686942016806732</v>
      </c>
      <c r="D62" s="20">
        <v>10.595254084466408</v>
      </c>
    </row>
    <row r="63" spans="1:4">
      <c r="A63" s="27" t="s">
        <v>152</v>
      </c>
      <c r="B63" s="28">
        <v>121</v>
      </c>
      <c r="C63" s="20">
        <v>10.704166386554625</v>
      </c>
      <c r="D63" s="20">
        <v>8.8464185012848144</v>
      </c>
    </row>
    <row r="64" spans="1:4">
      <c r="A64" s="27" t="s">
        <v>154</v>
      </c>
      <c r="B64" s="28">
        <v>534</v>
      </c>
      <c r="C64" s="20">
        <v>52.367569747899154</v>
      </c>
      <c r="D64" s="20">
        <v>9.8066610014792435</v>
      </c>
    </row>
    <row r="65" spans="1:4">
      <c r="A65" s="27" t="s">
        <v>156</v>
      </c>
      <c r="B65" s="28">
        <v>253</v>
      </c>
      <c r="C65" s="20">
        <v>13.900402521008402</v>
      </c>
      <c r="D65" s="20">
        <v>5.4942302454578664</v>
      </c>
    </row>
    <row r="66" spans="1:4">
      <c r="A66" s="27" t="s">
        <v>158</v>
      </c>
      <c r="B66" s="28">
        <v>320</v>
      </c>
      <c r="C66" s="20">
        <v>26.148369747899153</v>
      </c>
      <c r="D66" s="20">
        <v>8.1713655462184853</v>
      </c>
    </row>
    <row r="67" spans="1:4">
      <c r="A67" s="27" t="s">
        <v>159</v>
      </c>
      <c r="B67" s="28">
        <v>250</v>
      </c>
      <c r="C67" s="20">
        <v>17.177941176470597</v>
      </c>
      <c r="D67" s="20">
        <v>6.8711764705882388</v>
      </c>
    </row>
    <row r="68" spans="1:4">
      <c r="A68" s="27" t="s">
        <v>161</v>
      </c>
      <c r="B68" s="28">
        <v>332</v>
      </c>
      <c r="C68" s="20">
        <v>22.208709243697484</v>
      </c>
      <c r="D68" s="20">
        <v>6.6893702541257483</v>
      </c>
    </row>
    <row r="69" spans="1:4">
      <c r="A69" s="27" t="s">
        <v>163</v>
      </c>
      <c r="B69" s="28">
        <v>308</v>
      </c>
      <c r="C69" s="20">
        <v>24.570877310924359</v>
      </c>
      <c r="D69" s="20">
        <v>7.9775575684819353</v>
      </c>
    </row>
    <row r="70" spans="1:4">
      <c r="A70" s="27" t="s">
        <v>165</v>
      </c>
      <c r="B70" s="28">
        <v>100</v>
      </c>
      <c r="C70" s="20">
        <v>8.0411764705882405</v>
      </c>
      <c r="D70" s="20">
        <v>8.0411764705882405</v>
      </c>
    </row>
    <row r="71" spans="1:4">
      <c r="A71" s="27" t="s">
        <v>167</v>
      </c>
      <c r="B71" s="28">
        <v>161</v>
      </c>
      <c r="C71" s="20">
        <v>9.7757848739495827</v>
      </c>
      <c r="D71" s="20">
        <v>6.0719160707761386</v>
      </c>
    </row>
    <row r="72" spans="1:4">
      <c r="A72" s="27" t="s">
        <v>169</v>
      </c>
      <c r="B72" s="28">
        <v>372</v>
      </c>
      <c r="C72" s="20">
        <v>35.956006722689068</v>
      </c>
      <c r="D72" s="20">
        <v>9.6655932050239421</v>
      </c>
    </row>
    <row r="73" spans="1:4">
      <c r="A73" s="27" t="s">
        <v>171</v>
      </c>
      <c r="B73" s="28">
        <v>606</v>
      </c>
      <c r="C73" s="20">
        <v>57.31486050420169</v>
      </c>
      <c r="D73" s="20">
        <v>9.4578977729705755</v>
      </c>
    </row>
    <row r="74" spans="1:4">
      <c r="A74" s="27" t="s">
        <v>173</v>
      </c>
      <c r="B74" s="28">
        <v>230</v>
      </c>
      <c r="C74" s="20">
        <v>20.992966386554613</v>
      </c>
      <c r="D74" s="20">
        <v>9.1273766898063524</v>
      </c>
    </row>
    <row r="75" spans="1:4">
      <c r="A75" s="27" t="s">
        <v>175</v>
      </c>
      <c r="B75" s="28">
        <v>157</v>
      </c>
      <c r="C75" s="20">
        <v>11.565435294117655</v>
      </c>
      <c r="D75" s="20">
        <v>7.3665192956163414</v>
      </c>
    </row>
    <row r="76" spans="1:4">
      <c r="A76" s="27" t="s">
        <v>176</v>
      </c>
      <c r="B76" s="28">
        <v>311</v>
      </c>
      <c r="C76" s="20">
        <v>19.365209243697478</v>
      </c>
      <c r="D76" s="20">
        <v>6.226755383825556</v>
      </c>
    </row>
    <row r="77" spans="1:4">
      <c r="A77" s="27" t="s">
        <v>178</v>
      </c>
      <c r="B77" s="28">
        <v>301</v>
      </c>
      <c r="C77" s="20">
        <v>22.952045378151269</v>
      </c>
      <c r="D77" s="20">
        <v>7.6252642452329793</v>
      </c>
    </row>
    <row r="78" spans="1:4">
      <c r="A78" s="27" t="s">
        <v>180</v>
      </c>
      <c r="B78" s="28">
        <v>149</v>
      </c>
      <c r="C78" s="20">
        <v>7.3958369747899226</v>
      </c>
      <c r="D78" s="20">
        <v>4.9636489763690754</v>
      </c>
    </row>
    <row r="79" spans="1:4">
      <c r="A79" s="27" t="s">
        <v>182</v>
      </c>
      <c r="B79" s="28">
        <v>109</v>
      </c>
      <c r="C79" s="20">
        <v>8.7510428571428633</v>
      </c>
      <c r="D79" s="20">
        <v>8.0284796854521687</v>
      </c>
    </row>
    <row r="80" spans="1:4">
      <c r="A80" s="27" t="s">
        <v>184</v>
      </c>
      <c r="B80" s="28">
        <v>180</v>
      </c>
      <c r="C80" s="20">
        <v>15.770974789915968</v>
      </c>
      <c r="D80" s="20">
        <v>8.7616526610644279</v>
      </c>
    </row>
    <row r="81" spans="1:4">
      <c r="A81" s="27" t="s">
        <v>186</v>
      </c>
      <c r="B81" s="28">
        <v>234</v>
      </c>
      <c r="C81" s="20">
        <v>18.686282352941191</v>
      </c>
      <c r="D81" s="20">
        <v>7.985590749120167</v>
      </c>
    </row>
    <row r="82" spans="1:4">
      <c r="A82" s="27" t="s">
        <v>188</v>
      </c>
      <c r="B82" s="28">
        <v>98</v>
      </c>
      <c r="C82" s="20">
        <v>10.290213445378161</v>
      </c>
      <c r="D82" s="20">
        <v>10.500217801406286</v>
      </c>
    </row>
    <row r="83" spans="1:4">
      <c r="A83" s="27" t="s">
        <v>190</v>
      </c>
      <c r="B83" s="28">
        <v>141</v>
      </c>
      <c r="C83" s="20">
        <v>5.0874428571428609</v>
      </c>
      <c r="D83" s="20">
        <v>3.6081155015197597</v>
      </c>
    </row>
    <row r="84" spans="1:4">
      <c r="A84" s="27" t="s">
        <v>192</v>
      </c>
      <c r="B84" s="28">
        <v>112</v>
      </c>
      <c r="C84" s="20">
        <v>9.1506151260504183</v>
      </c>
      <c r="D84" s="20">
        <v>8.1701920768307303</v>
      </c>
    </row>
    <row r="85" spans="1:4">
      <c r="A85" s="27" t="s">
        <v>194</v>
      </c>
      <c r="B85" s="28">
        <v>329</v>
      </c>
      <c r="C85" s="20">
        <v>26.235106722689068</v>
      </c>
      <c r="D85" s="20">
        <v>7.9741965722459174</v>
      </c>
    </row>
    <row r="86" spans="1:4">
      <c r="A86" s="27" t="s">
        <v>196</v>
      </c>
      <c r="B86" s="28">
        <v>137</v>
      </c>
      <c r="C86" s="20">
        <v>9.0302302521008428</v>
      </c>
      <c r="D86" s="20">
        <v>6.5914089431393013</v>
      </c>
    </row>
    <row r="87" spans="1:4">
      <c r="A87" s="27" t="s">
        <v>198</v>
      </c>
      <c r="B87" s="28">
        <v>152</v>
      </c>
      <c r="C87" s="20">
        <v>6.7886857142857124</v>
      </c>
      <c r="D87" s="20">
        <v>4.4662406015037588</v>
      </c>
    </row>
    <row r="88" spans="1:4">
      <c r="A88" s="27" t="s">
        <v>200</v>
      </c>
      <c r="B88" s="28">
        <v>377</v>
      </c>
      <c r="C88" s="20">
        <v>32.380647899159683</v>
      </c>
      <c r="D88" s="20">
        <v>8.589031272986654</v>
      </c>
    </row>
    <row r="89" spans="1:4">
      <c r="A89" s="27" t="s">
        <v>201</v>
      </c>
      <c r="B89" s="28">
        <v>155</v>
      </c>
      <c r="C89" s="20">
        <v>11.454327731092434</v>
      </c>
      <c r="D89" s="20">
        <v>7.3898888587693126</v>
      </c>
    </row>
    <row r="90" spans="1:4">
      <c r="A90" s="27" t="s">
        <v>203</v>
      </c>
      <c r="B90" s="28">
        <v>320</v>
      </c>
      <c r="C90" s="20">
        <v>21.715630252100837</v>
      </c>
      <c r="D90" s="20">
        <v>6.7861344537815116</v>
      </c>
    </row>
    <row r="91" spans="1:4">
      <c r="A91" s="27" t="s">
        <v>205</v>
      </c>
      <c r="B91" s="28">
        <v>124</v>
      </c>
      <c r="C91" s="20">
        <v>8.9886756302521036</v>
      </c>
      <c r="D91" s="20">
        <v>7.2489319598807294</v>
      </c>
    </row>
    <row r="92" spans="1:4">
      <c r="A92" s="27" t="s">
        <v>207</v>
      </c>
      <c r="B92" s="28">
        <v>134</v>
      </c>
      <c r="C92" s="20">
        <v>6.651003361344543</v>
      </c>
      <c r="D92" s="20">
        <v>4.9634353442869728</v>
      </c>
    </row>
    <row r="93" spans="1:4">
      <c r="A93" s="27" t="s">
        <v>209</v>
      </c>
      <c r="B93" s="28">
        <v>147</v>
      </c>
      <c r="C93" s="20">
        <v>9.8173672268907595</v>
      </c>
      <c r="D93" s="20">
        <v>6.678481106728408</v>
      </c>
    </row>
    <row r="94" spans="1:4">
      <c r="A94" s="27" t="s">
        <v>211</v>
      </c>
      <c r="B94" s="28">
        <v>196</v>
      </c>
      <c r="C94" s="20">
        <v>21.863405042016801</v>
      </c>
      <c r="D94" s="20">
        <v>11.154798490824898</v>
      </c>
    </row>
    <row r="95" spans="1:4">
      <c r="A95" s="27" t="s">
        <v>212</v>
      </c>
      <c r="B95" s="28">
        <v>501</v>
      </c>
      <c r="C95" s="20">
        <v>33.895721848739498</v>
      </c>
      <c r="D95" s="20">
        <v>6.7656131434609774</v>
      </c>
    </row>
    <row r="96" spans="1:4">
      <c r="A96" s="27" t="s">
        <v>214</v>
      </c>
      <c r="B96" s="28">
        <v>466</v>
      </c>
      <c r="C96" s="20">
        <v>47.728882352941199</v>
      </c>
      <c r="D96" s="20">
        <v>10.24224943196163</v>
      </c>
    </row>
    <row r="97" spans="1:4">
      <c r="A97" s="27" t="s">
        <v>216</v>
      </c>
      <c r="B97" s="28">
        <v>191</v>
      </c>
      <c r="C97" s="20">
        <v>15.964879831932777</v>
      </c>
      <c r="D97" s="20">
        <v>8.3585758282370559</v>
      </c>
    </row>
    <row r="98" spans="1:4">
      <c r="A98" s="27" t="s">
        <v>218</v>
      </c>
      <c r="B98" s="28">
        <v>228</v>
      </c>
      <c r="C98" s="20">
        <v>14.402954621848743</v>
      </c>
      <c r="D98" s="20">
        <v>6.3170853604599744</v>
      </c>
    </row>
    <row r="99" spans="1:4">
      <c r="A99" s="27" t="s">
        <v>220</v>
      </c>
      <c r="B99" s="28">
        <v>89</v>
      </c>
      <c r="C99" s="20">
        <v>9.2346579831932836</v>
      </c>
      <c r="D99" s="20">
        <v>10.37602020583515</v>
      </c>
    </row>
    <row r="100" spans="1:4">
      <c r="A100" s="27" t="s">
        <v>222</v>
      </c>
      <c r="B100" s="28">
        <v>85</v>
      </c>
      <c r="C100" s="20">
        <v>6.4774915966386573</v>
      </c>
      <c r="D100" s="20">
        <v>7.6205783489866548</v>
      </c>
    </row>
    <row r="101" spans="1:4">
      <c r="A101" s="27" t="s">
        <v>224</v>
      </c>
      <c r="B101" s="28">
        <v>378</v>
      </c>
      <c r="C101" s="20">
        <v>31.402492436974782</v>
      </c>
      <c r="D101" s="20">
        <v>8.30753768173936</v>
      </c>
    </row>
    <row r="102" spans="1:4">
      <c r="A102" s="27" t="s">
        <v>226</v>
      </c>
      <c r="B102" s="28">
        <v>164</v>
      </c>
      <c r="C102" s="20">
        <v>3.8694117647058874</v>
      </c>
      <c r="D102" s="20">
        <v>2.3593974175035899</v>
      </c>
    </row>
    <row r="103" spans="1:4">
      <c r="A103" s="27" t="s">
        <v>227</v>
      </c>
      <c r="B103" s="28">
        <v>129</v>
      </c>
      <c r="C103" s="20">
        <v>7.642166386554635</v>
      </c>
      <c r="D103" s="20">
        <v>5.9241599895772366</v>
      </c>
    </row>
    <row r="104" spans="1:4">
      <c r="A104" s="27" t="s">
        <v>228</v>
      </c>
      <c r="B104" s="28">
        <v>164</v>
      </c>
      <c r="C104" s="20">
        <v>8.3100268907562977</v>
      </c>
      <c r="D104" s="20">
        <v>5.0670895675343282</v>
      </c>
    </row>
    <row r="105" spans="1:4">
      <c r="A105" s="27" t="s">
        <v>230</v>
      </c>
      <c r="B105" s="28">
        <v>228</v>
      </c>
      <c r="C105" s="20">
        <v>14.701392436974793</v>
      </c>
      <c r="D105" s="20">
        <v>12.962818627720923</v>
      </c>
    </row>
    <row r="106" spans="1:4">
      <c r="A106" s="27" t="s">
        <v>233</v>
      </c>
      <c r="B106" s="28">
        <v>251</v>
      </c>
      <c r="C106" s="20">
        <v>18.617620168067226</v>
      </c>
      <c r="D106" s="20">
        <v>7.4173785530148306</v>
      </c>
    </row>
    <row r="107" spans="1:4">
      <c r="A107" s="27" t="s">
        <v>235</v>
      </c>
      <c r="B107" s="28">
        <v>240</v>
      </c>
      <c r="C107" s="20">
        <v>23.726655462184873</v>
      </c>
      <c r="D107" s="20">
        <v>9.8861064425770309</v>
      </c>
    </row>
    <row r="108" spans="1:4">
      <c r="A108" s="27" t="s">
        <v>237</v>
      </c>
      <c r="B108" s="28">
        <v>368</v>
      </c>
      <c r="C108" s="20">
        <v>39.050084033613459</v>
      </c>
      <c r="D108" s="20">
        <v>10.611435878699309</v>
      </c>
    </row>
    <row r="109" spans="1:4">
      <c r="A109" s="27" t="s">
        <v>239</v>
      </c>
      <c r="B109" s="28">
        <v>547</v>
      </c>
      <c r="C109" s="20">
        <v>61.310295798319331</v>
      </c>
      <c r="D109" s="20">
        <v>11.208463582873735</v>
      </c>
    </row>
    <row r="110" spans="1:4">
      <c r="A110" s="27" t="s">
        <v>241</v>
      </c>
      <c r="B110" s="28">
        <v>101</v>
      </c>
      <c r="C110" s="20">
        <v>8.7246109243697489</v>
      </c>
      <c r="D110" s="20">
        <v>8.638228637989851</v>
      </c>
    </row>
    <row r="111" spans="1:4">
      <c r="A111" s="27" t="s">
        <v>243</v>
      </c>
      <c r="B111" s="28">
        <v>135</v>
      </c>
      <c r="C111" s="20">
        <v>12.580151260504202</v>
      </c>
      <c r="D111" s="20">
        <v>9.3186305633364448</v>
      </c>
    </row>
    <row r="112" spans="1:4">
      <c r="A112" s="27" t="s">
        <v>244</v>
      </c>
      <c r="B112" s="28">
        <v>275</v>
      </c>
      <c r="C112" s="20">
        <v>22.183319327731098</v>
      </c>
      <c r="D112" s="20">
        <v>8.066661573720399</v>
      </c>
    </row>
    <row r="113" spans="1:4">
      <c r="A113" s="27" t="s">
        <v>245</v>
      </c>
      <c r="B113" s="28">
        <v>192</v>
      </c>
      <c r="C113" s="20">
        <v>17.933889075630255</v>
      </c>
      <c r="D113" s="20">
        <v>9.3405672268907569</v>
      </c>
    </row>
    <row r="114" spans="1:4">
      <c r="A114" s="27" t="s">
        <v>246</v>
      </c>
      <c r="B114" s="28">
        <v>88</v>
      </c>
      <c r="C114" s="20">
        <v>9.2808941176470583</v>
      </c>
      <c r="D114" s="20">
        <v>10.546470588235293</v>
      </c>
    </row>
    <row r="115" spans="1:4">
      <c r="A115" s="27" t="s">
        <v>247</v>
      </c>
      <c r="B115" s="28">
        <v>297</v>
      </c>
      <c r="C115" s="20">
        <v>17.073939495798328</v>
      </c>
      <c r="D115" s="20">
        <v>5.7488011770364746</v>
      </c>
    </row>
    <row r="116" spans="1:4">
      <c r="A116" s="27" t="s">
        <v>249</v>
      </c>
      <c r="B116" s="28">
        <v>243</v>
      </c>
      <c r="C116" s="20">
        <v>16.733150420168073</v>
      </c>
      <c r="D116" s="20">
        <v>6.8860701317564086</v>
      </c>
    </row>
    <row r="117" spans="1:4">
      <c r="A117" s="27" t="s">
        <v>251</v>
      </c>
      <c r="B117" s="28">
        <v>177</v>
      </c>
      <c r="C117" s="20">
        <v>19.066318487394959</v>
      </c>
      <c r="D117" s="20">
        <v>10.77193134881071</v>
      </c>
    </row>
    <row r="118" spans="1:4">
      <c r="A118" s="27" t="s">
        <v>252</v>
      </c>
      <c r="B118" s="28">
        <v>332</v>
      </c>
      <c r="C118" s="20">
        <v>22.884689075630263</v>
      </c>
      <c r="D118" s="20">
        <v>6.8929786372380315</v>
      </c>
    </row>
    <row r="119" spans="1:4">
      <c r="A119" s="27" t="s">
        <v>254</v>
      </c>
      <c r="B119" s="28">
        <v>88</v>
      </c>
      <c r="C119" s="20">
        <v>9.9889344537815177</v>
      </c>
      <c r="D119" s="20">
        <v>11.351061879297179</v>
      </c>
    </row>
    <row r="120" spans="1:4">
      <c r="A120" s="27" t="s">
        <v>255</v>
      </c>
      <c r="B120" s="28">
        <v>565</v>
      </c>
      <c r="C120" s="20">
        <v>50.137432773109254</v>
      </c>
      <c r="D120" s="20">
        <v>8.8738819067449999</v>
      </c>
    </row>
    <row r="121" spans="1:4">
      <c r="A121" s="27" t="s">
        <v>257</v>
      </c>
      <c r="B121" s="28">
        <v>662</v>
      </c>
      <c r="C121" s="20">
        <v>43.418104201680677</v>
      </c>
      <c r="D121" s="20">
        <v>6.558626012338471</v>
      </c>
    </row>
    <row r="122" spans="1:4">
      <c r="A122" s="27" t="s">
        <v>259</v>
      </c>
      <c r="B122" s="28">
        <v>103</v>
      </c>
      <c r="C122" s="20">
        <v>8.4142747899159644</v>
      </c>
      <c r="D122" s="20">
        <v>8.1691988251611303</v>
      </c>
    </row>
    <row r="123" spans="1:4">
      <c r="A123" s="27" t="s">
        <v>261</v>
      </c>
      <c r="B123" s="28">
        <v>380</v>
      </c>
      <c r="C123" s="20">
        <v>37.173714285714297</v>
      </c>
      <c r="D123" s="20">
        <v>9.7825563909774473</v>
      </c>
    </row>
    <row r="124" spans="1:4">
      <c r="A124" s="27" t="s">
        <v>263</v>
      </c>
      <c r="B124" s="28">
        <v>187</v>
      </c>
      <c r="C124" s="20">
        <v>22.775268067226897</v>
      </c>
      <c r="D124" s="20">
        <v>12.179287736484971</v>
      </c>
    </row>
    <row r="125" spans="1:4">
      <c r="A125" s="27" t="s">
        <v>265</v>
      </c>
      <c r="B125" s="28">
        <v>434</v>
      </c>
      <c r="C125" s="20">
        <v>37.641749579831938</v>
      </c>
      <c r="D125" s="20">
        <v>8.673214188901369</v>
      </c>
    </row>
    <row r="126" spans="1:4">
      <c r="A126" s="27" t="s">
        <v>266</v>
      </c>
      <c r="B126" s="28">
        <v>367</v>
      </c>
      <c r="C126" s="20">
        <v>39.989104201680689</v>
      </c>
      <c r="D126" s="20">
        <v>10.896213678932067</v>
      </c>
    </row>
    <row r="127" spans="1:4">
      <c r="A127" s="27" t="s">
        <v>268</v>
      </c>
      <c r="B127" s="28">
        <v>282</v>
      </c>
      <c r="C127" s="20">
        <v>13.106845378151277</v>
      </c>
      <c r="D127" s="20">
        <v>4.6478175099827226</v>
      </c>
    </row>
    <row r="128" spans="1:4">
      <c r="A128" s="27" t="s">
        <v>270</v>
      </c>
      <c r="B128" s="28">
        <v>88</v>
      </c>
      <c r="C128" s="20">
        <v>8.2238050420168065</v>
      </c>
      <c r="D128" s="20">
        <v>9.3452330022918257</v>
      </c>
    </row>
    <row r="129" spans="1:4">
      <c r="A129" s="27" t="s">
        <v>272</v>
      </c>
      <c r="B129" s="28">
        <v>126</v>
      </c>
      <c r="C129" s="20">
        <v>5.8024588235294132</v>
      </c>
      <c r="D129" s="20">
        <v>4.6051260504201688</v>
      </c>
    </row>
    <row r="130" spans="1:4">
      <c r="A130" s="27" t="s">
        <v>274</v>
      </c>
      <c r="B130" s="28">
        <v>332</v>
      </c>
      <c r="C130" s="20">
        <v>28.213650420168065</v>
      </c>
      <c r="D130" s="20">
        <v>8.4980874759542377</v>
      </c>
    </row>
    <row r="131" spans="1:4">
      <c r="A131" s="27" t="s">
        <v>276</v>
      </c>
      <c r="B131" s="28">
        <v>302</v>
      </c>
      <c r="C131" s="20">
        <v>25.591489075630264</v>
      </c>
      <c r="D131" s="20">
        <v>8.4740030051755841</v>
      </c>
    </row>
    <row r="132" spans="1:4">
      <c r="A132" s="27" t="s">
        <v>278</v>
      </c>
      <c r="B132" s="28">
        <v>135</v>
      </c>
      <c r="C132" s="20">
        <v>7.9769579831932802</v>
      </c>
      <c r="D132" s="20">
        <v>5.9088577653283556</v>
      </c>
    </row>
    <row r="133" spans="1:4">
      <c r="A133" s="27" t="s">
        <v>280</v>
      </c>
      <c r="B133" s="28">
        <v>109</v>
      </c>
      <c r="C133" s="20">
        <v>5.6220100840336187</v>
      </c>
      <c r="D133" s="20">
        <v>5.1578074165446042</v>
      </c>
    </row>
    <row r="134" spans="1:4">
      <c r="A134" s="27" t="s">
        <v>282</v>
      </c>
      <c r="B134" s="28">
        <v>541</v>
      </c>
      <c r="C134" s="20">
        <v>36.193311764705882</v>
      </c>
      <c r="D134" s="20">
        <v>6.6900761117755794</v>
      </c>
    </row>
    <row r="135" spans="1:4">
      <c r="A135" s="27" t="s">
        <v>284</v>
      </c>
      <c r="B135" s="28">
        <v>509</v>
      </c>
      <c r="C135" s="20">
        <v>58.369172268907576</v>
      </c>
      <c r="D135" s="20">
        <v>11.467420877977913</v>
      </c>
    </row>
    <row r="136" spans="1:4">
      <c r="A136" s="27" t="s">
        <v>285</v>
      </c>
      <c r="B136" s="28">
        <v>238</v>
      </c>
      <c r="C136" s="20">
        <v>23.069314285714292</v>
      </c>
      <c r="D136" s="20">
        <v>9.6929891956782743</v>
      </c>
    </row>
    <row r="137" spans="1:4">
      <c r="A137" s="27" t="s">
        <v>287</v>
      </c>
      <c r="B137" s="28">
        <v>94</v>
      </c>
      <c r="C137" s="20">
        <v>8.2831798319327739</v>
      </c>
      <c r="D137" s="20">
        <v>8.8118934382263543</v>
      </c>
    </row>
    <row r="138" spans="1:4">
      <c r="A138" s="27" t="s">
        <v>289</v>
      </c>
      <c r="B138" s="28">
        <v>158</v>
      </c>
      <c r="C138" s="20">
        <v>4.6082352941176552</v>
      </c>
      <c r="D138" s="20">
        <v>2.9166046165301616</v>
      </c>
    </row>
    <row r="139" spans="1:4">
      <c r="A139" s="27" t="s">
        <v>291</v>
      </c>
      <c r="B139" s="28">
        <v>519</v>
      </c>
      <c r="C139" s="20">
        <v>42.721399159663868</v>
      </c>
      <c r="D139" s="20">
        <v>16.392131530630444</v>
      </c>
    </row>
    <row r="140" spans="1:4">
      <c r="A140" s="27" t="s">
        <v>294</v>
      </c>
      <c r="B140" s="28">
        <v>114</v>
      </c>
      <c r="C140" s="20">
        <v>10.573887394957993</v>
      </c>
      <c r="D140" s="20">
        <v>9.2753398201385888</v>
      </c>
    </row>
    <row r="141" spans="1:4">
      <c r="A141" s="27" t="s">
        <v>295</v>
      </c>
      <c r="B141" s="28">
        <v>236</v>
      </c>
      <c r="C141" s="20">
        <v>20.720329411764702</v>
      </c>
      <c r="D141" s="20">
        <v>8.7798005982053819</v>
      </c>
    </row>
    <row r="142" spans="1:4">
      <c r="A142" s="27" t="s">
        <v>297</v>
      </c>
      <c r="B142" s="28">
        <v>152</v>
      </c>
      <c r="C142" s="20">
        <v>2.6274554621848623</v>
      </c>
      <c r="D142" s="20">
        <v>1.7285891198584618</v>
      </c>
    </row>
    <row r="143" spans="1:4">
      <c r="A143" s="27" t="s">
        <v>299</v>
      </c>
      <c r="B143" s="28">
        <v>289</v>
      </c>
      <c r="C143" s="20">
        <v>17.135368067226892</v>
      </c>
      <c r="D143" s="20">
        <v>5.9291931028466758</v>
      </c>
    </row>
    <row r="144" spans="1:4">
      <c r="A144" s="27" t="s">
        <v>301</v>
      </c>
      <c r="B144" s="28">
        <v>295</v>
      </c>
      <c r="C144" s="20">
        <v>17.947424369747907</v>
      </c>
      <c r="D144" s="20">
        <v>6.0838726677111552</v>
      </c>
    </row>
    <row r="145" spans="1:4">
      <c r="A145" s="27" t="s">
        <v>303</v>
      </c>
      <c r="B145" s="28">
        <v>337</v>
      </c>
      <c r="C145" s="20">
        <v>42.094131092436974</v>
      </c>
      <c r="D145" s="20">
        <v>12.490840086776551</v>
      </c>
    </row>
    <row r="146" spans="1:4">
      <c r="A146" s="27" t="s">
        <v>305</v>
      </c>
      <c r="B146" s="28">
        <v>118</v>
      </c>
      <c r="C146" s="20">
        <v>12.196991596638661</v>
      </c>
      <c r="D146" s="20">
        <v>10.336433556473441</v>
      </c>
    </row>
    <row r="147" spans="1:4">
      <c r="A147" s="27" t="s">
        <v>307</v>
      </c>
      <c r="B147" s="28">
        <v>123</v>
      </c>
      <c r="C147" s="20">
        <v>8.2841857142857194</v>
      </c>
      <c r="D147" s="20">
        <v>6.7351103368176579</v>
      </c>
    </row>
    <row r="148" spans="1:4">
      <c r="A148" s="27" t="s">
        <v>309</v>
      </c>
      <c r="B148" s="28">
        <v>85</v>
      </c>
      <c r="C148" s="20">
        <v>8.0189747899159691</v>
      </c>
      <c r="D148" s="20">
        <v>9.4340879881364348</v>
      </c>
    </row>
    <row r="149" spans="1:4">
      <c r="A149" s="27" t="s">
        <v>311</v>
      </c>
      <c r="B149" s="28">
        <v>420</v>
      </c>
      <c r="C149" s="20">
        <v>45.357159663865559</v>
      </c>
      <c r="D149" s="20">
        <v>10.7993237294918</v>
      </c>
    </row>
    <row r="150" spans="1:4">
      <c r="A150" s="27" t="s">
        <v>312</v>
      </c>
      <c r="B150" s="28">
        <v>587</v>
      </c>
      <c r="C150" s="20">
        <v>61.794646218487401</v>
      </c>
      <c r="D150" s="20">
        <v>10.5271969707815</v>
      </c>
    </row>
    <row r="151" spans="1:4">
      <c r="A151" s="27" t="s">
        <v>314</v>
      </c>
      <c r="B151" s="28">
        <v>190</v>
      </c>
      <c r="C151" s="20">
        <v>22.474647058823535</v>
      </c>
      <c r="D151" s="20">
        <v>11.828761609907124</v>
      </c>
    </row>
    <row r="152" spans="1:4">
      <c r="A152" s="27" t="s">
        <v>316</v>
      </c>
      <c r="B152" s="28">
        <v>256</v>
      </c>
      <c r="C152" s="20">
        <v>21.04982857142857</v>
      </c>
      <c r="D152" s="20">
        <v>8.2225892857142853</v>
      </c>
    </row>
    <row r="153" spans="1:4">
      <c r="A153" s="27" t="s">
        <v>317</v>
      </c>
      <c r="B153" s="28">
        <v>203</v>
      </c>
      <c r="C153" s="20">
        <v>13.813369747899166</v>
      </c>
      <c r="D153" s="20">
        <v>6.804615639359195</v>
      </c>
    </row>
    <row r="154" spans="1:4">
      <c r="A154" s="27" t="s">
        <v>319</v>
      </c>
      <c r="B154" s="28">
        <v>84</v>
      </c>
      <c r="C154" s="20">
        <v>8.3551697478991613</v>
      </c>
      <c r="D154" s="20">
        <v>9.9466306522609056</v>
      </c>
    </row>
    <row r="155" spans="1:4">
      <c r="A155" s="27" t="s">
        <v>321</v>
      </c>
      <c r="B155" s="28">
        <v>414</v>
      </c>
      <c r="C155" s="20">
        <v>37.628181512605067</v>
      </c>
      <c r="D155" s="20">
        <v>9.0889327325133014</v>
      </c>
    </row>
    <row r="156" spans="1:4">
      <c r="A156" s="27" t="s">
        <v>322</v>
      </c>
      <c r="B156" s="28">
        <v>329</v>
      </c>
      <c r="C156" s="20">
        <v>26.286953781512608</v>
      </c>
      <c r="D156" s="20">
        <v>7.989955556690763</v>
      </c>
    </row>
    <row r="157" spans="1:4">
      <c r="A157" s="27" t="s">
        <v>324</v>
      </c>
      <c r="B157" s="28">
        <v>300</v>
      </c>
      <c r="C157" s="20">
        <v>23.717058823529413</v>
      </c>
      <c r="D157" s="20">
        <v>7.9056862745098044</v>
      </c>
    </row>
    <row r="158" spans="1:4">
      <c r="A158" s="27" t="s">
        <v>326</v>
      </c>
      <c r="B158" s="28">
        <v>326</v>
      </c>
      <c r="C158" s="20">
        <v>22.032326050420153</v>
      </c>
      <c r="D158" s="20">
        <v>6.7583822240552625</v>
      </c>
    </row>
    <row r="159" spans="1:4">
      <c r="A159" s="27" t="s">
        <v>328</v>
      </c>
      <c r="B159" s="28">
        <v>124</v>
      </c>
      <c r="C159" s="20">
        <v>11.802968067226885</v>
      </c>
      <c r="D159" s="20">
        <v>9.5185226348603909</v>
      </c>
    </row>
    <row r="160" spans="1:4">
      <c r="A160" s="27" t="s">
        <v>330</v>
      </c>
      <c r="B160" s="28">
        <v>92</v>
      </c>
      <c r="C160" s="20">
        <v>8.4232840336134487</v>
      </c>
      <c r="D160" s="20">
        <v>9.1557435147972264</v>
      </c>
    </row>
    <row r="161" spans="1:4">
      <c r="A161" s="27" t="s">
        <v>332</v>
      </c>
      <c r="B161" s="28">
        <v>258</v>
      </c>
      <c r="C161" s="20">
        <v>21.470816806722702</v>
      </c>
      <c r="D161" s="20">
        <v>8.3220220181095748</v>
      </c>
    </row>
    <row r="162" spans="1:4">
      <c r="A162" s="27" t="s">
        <v>334</v>
      </c>
      <c r="B162" s="28">
        <v>121</v>
      </c>
      <c r="C162" s="20">
        <v>8.2553932773109295</v>
      </c>
      <c r="D162" s="20">
        <v>6.8226390721577932</v>
      </c>
    </row>
    <row r="163" spans="1:4">
      <c r="A163" s="27" t="s">
        <v>336</v>
      </c>
      <c r="B163" s="28">
        <v>307</v>
      </c>
      <c r="C163" s="20">
        <v>21.676725210084044</v>
      </c>
      <c r="D163" s="20">
        <v>7.0608225440013177</v>
      </c>
    </row>
    <row r="164" spans="1:4">
      <c r="A164" s="27" t="s">
        <v>337</v>
      </c>
      <c r="B164" s="28">
        <v>91</v>
      </c>
      <c r="C164" s="20">
        <v>8.2093840336134463</v>
      </c>
      <c r="D164" s="20">
        <v>9.0213011358389519</v>
      </c>
    </row>
    <row r="165" spans="1:4">
      <c r="A165" s="27" t="s">
        <v>339</v>
      </c>
      <c r="B165" s="28">
        <v>248</v>
      </c>
      <c r="C165" s="20">
        <v>22.349015126050432</v>
      </c>
      <c r="D165" s="20">
        <v>9.011699647600981</v>
      </c>
    </row>
    <row r="166" spans="1:4">
      <c r="A166" s="27" t="s">
        <v>341</v>
      </c>
      <c r="B166" s="28">
        <v>96</v>
      </c>
      <c r="C166" s="20">
        <v>7.9473747899159726</v>
      </c>
      <c r="D166" s="20">
        <v>8.2785154061624713</v>
      </c>
    </row>
    <row r="167" spans="1:4">
      <c r="A167" s="27" t="s">
        <v>343</v>
      </c>
      <c r="B167" s="28">
        <v>221</v>
      </c>
      <c r="C167" s="20">
        <v>16.82853361344538</v>
      </c>
      <c r="D167" s="20">
        <v>7.6147210920567323</v>
      </c>
    </row>
    <row r="168" spans="1:4">
      <c r="A168" s="27" t="s">
        <v>344</v>
      </c>
      <c r="B168" s="28">
        <v>289</v>
      </c>
      <c r="C168" s="20">
        <v>23.310058823529417</v>
      </c>
      <c r="D168" s="20">
        <v>8.0657642987991061</v>
      </c>
    </row>
    <row r="169" spans="1:4">
      <c r="A169" s="27" t="s">
        <v>346</v>
      </c>
      <c r="B169" s="28">
        <v>123</v>
      </c>
      <c r="C169" s="20">
        <v>9.8786588235294133</v>
      </c>
      <c r="D169" s="20">
        <v>8.0314299378287899</v>
      </c>
    </row>
    <row r="170" spans="1:4">
      <c r="A170" s="27" t="s">
        <v>348</v>
      </c>
      <c r="B170" s="28">
        <v>461</v>
      </c>
      <c r="C170" s="20">
        <v>38.331176470588233</v>
      </c>
      <c r="D170" s="20">
        <v>16.650020233360621</v>
      </c>
    </row>
    <row r="171" spans="1:4">
      <c r="A171" s="27" t="s">
        <v>350</v>
      </c>
      <c r="B171" s="28">
        <v>243</v>
      </c>
      <c r="C171" s="20">
        <v>21.308252941176463</v>
      </c>
      <c r="D171" s="20">
        <v>8.7688283708545125</v>
      </c>
    </row>
    <row r="172" spans="1:4">
      <c r="A172" s="27" t="s">
        <v>352</v>
      </c>
      <c r="B172" s="28">
        <v>595</v>
      </c>
      <c r="C172" s="20">
        <v>59.127613445378159</v>
      </c>
      <c r="D172" s="20">
        <v>9.9374140244333038</v>
      </c>
    </row>
    <row r="173" spans="1:4">
      <c r="A173" s="27" t="s">
        <v>353</v>
      </c>
      <c r="B173" s="28">
        <v>315</v>
      </c>
      <c r="C173" s="20">
        <v>25.150915966386563</v>
      </c>
      <c r="D173" s="20">
        <v>7.9844177671068453</v>
      </c>
    </row>
    <row r="174" spans="1:4">
      <c r="A174" s="27" t="s">
        <v>355</v>
      </c>
      <c r="B174" s="28">
        <v>163</v>
      </c>
      <c r="C174" s="20">
        <v>9.1749537815126132</v>
      </c>
      <c r="D174" s="20">
        <v>5.6288060009279839</v>
      </c>
    </row>
    <row r="175" spans="1:4">
      <c r="A175" s="27" t="s">
        <v>356</v>
      </c>
      <c r="B175" s="28">
        <v>149</v>
      </c>
      <c r="C175" s="20">
        <v>8.0864655462184913</v>
      </c>
      <c r="D175" s="20">
        <v>5.4271580847103973</v>
      </c>
    </row>
    <row r="176" spans="1:4">
      <c r="A176" s="27" t="s">
        <v>358</v>
      </c>
      <c r="B176" s="28">
        <v>110</v>
      </c>
      <c r="C176" s="20">
        <v>9.5016890756302601</v>
      </c>
      <c r="D176" s="20">
        <v>8.6378991596638723</v>
      </c>
    </row>
    <row r="177" spans="1:4">
      <c r="A177" s="27" t="s">
        <v>360</v>
      </c>
      <c r="B177" s="28">
        <v>281</v>
      </c>
      <c r="C177" s="20">
        <v>18.973734453781518</v>
      </c>
      <c r="D177" s="20">
        <v>6.7522186668261623</v>
      </c>
    </row>
    <row r="178" spans="1:4">
      <c r="A178" s="27" t="s">
        <v>362</v>
      </c>
      <c r="B178" s="28">
        <v>120</v>
      </c>
      <c r="C178" s="20">
        <v>8.3857142857142861</v>
      </c>
      <c r="D178" s="20">
        <v>6.988095238095239</v>
      </c>
    </row>
    <row r="179" spans="1:4">
      <c r="A179" s="27" t="s">
        <v>364</v>
      </c>
      <c r="B179" s="28">
        <v>209</v>
      </c>
      <c r="C179" s="20">
        <v>19.851525210084027</v>
      </c>
      <c r="D179" s="20">
        <v>9.4983374210928346</v>
      </c>
    </row>
    <row r="180" spans="1:4">
      <c r="A180" s="27" t="s">
        <v>366</v>
      </c>
      <c r="B180" s="28">
        <v>307</v>
      </c>
      <c r="C180" s="20">
        <v>16.090890756302514</v>
      </c>
      <c r="D180" s="20">
        <v>5.2413324939096135</v>
      </c>
    </row>
    <row r="181" spans="1:4">
      <c r="A181" s="27" t="s">
        <v>368</v>
      </c>
      <c r="B181" s="28">
        <v>86</v>
      </c>
      <c r="C181" s="20">
        <v>11.748236974789918</v>
      </c>
      <c r="D181" s="20">
        <v>13.660740668360372</v>
      </c>
    </row>
    <row r="182" spans="1:4">
      <c r="A182" s="27" t="s">
        <v>370</v>
      </c>
      <c r="B182" s="28">
        <v>634</v>
      </c>
      <c r="C182" s="20">
        <v>58.855263865546206</v>
      </c>
      <c r="D182" s="20">
        <v>9.2831646475624936</v>
      </c>
    </row>
    <row r="183" spans="1:4">
      <c r="A183" s="27" t="s">
        <v>372</v>
      </c>
      <c r="B183" s="28">
        <v>122</v>
      </c>
      <c r="C183" s="20">
        <v>12.94570084033613</v>
      </c>
      <c r="D183" s="20">
        <v>10.611230196996829</v>
      </c>
    </row>
    <row r="184" spans="1:4">
      <c r="A184" s="27" t="s">
        <v>373</v>
      </c>
      <c r="B184" s="28">
        <v>136</v>
      </c>
      <c r="C184" s="20">
        <v>11.379549579831938</v>
      </c>
      <c r="D184" s="20">
        <v>8.3673158675234838</v>
      </c>
    </row>
    <row r="185" spans="1:4">
      <c r="A185" s="27" t="s">
        <v>375</v>
      </c>
      <c r="B185" s="28">
        <v>276</v>
      </c>
      <c r="C185" s="20">
        <v>23.501031932773117</v>
      </c>
      <c r="D185" s="20">
        <v>8.5148666423090997</v>
      </c>
    </row>
    <row r="186" spans="1:4">
      <c r="A186" s="27" t="s">
        <v>377</v>
      </c>
      <c r="B186" s="28">
        <v>316</v>
      </c>
      <c r="C186" s="20">
        <v>19.171926050420183</v>
      </c>
      <c r="D186" s="20">
        <v>6.0670652058291719</v>
      </c>
    </row>
    <row r="187" spans="1:4">
      <c r="A187" s="27" t="s">
        <v>379</v>
      </c>
      <c r="B187" s="28">
        <v>273</v>
      </c>
      <c r="C187" s="20">
        <v>22.863328571428575</v>
      </c>
      <c r="D187" s="20">
        <v>8.3748456305599177</v>
      </c>
    </row>
    <row r="188" spans="1:4">
      <c r="A188" s="27" t="s">
        <v>380</v>
      </c>
      <c r="B188" s="28">
        <v>269</v>
      </c>
      <c r="C188" s="20">
        <v>22.501972268907579</v>
      </c>
      <c r="D188" s="20">
        <v>8.3650454531254947</v>
      </c>
    </row>
    <row r="189" spans="1:4">
      <c r="A189" s="27" t="s">
        <v>382</v>
      </c>
      <c r="B189" s="28">
        <v>89</v>
      </c>
      <c r="C189" s="20">
        <v>12.517431932773107</v>
      </c>
      <c r="D189" s="20">
        <v>14.064530261542817</v>
      </c>
    </row>
    <row r="190" spans="1:4">
      <c r="A190" s="27" t="s">
        <v>384</v>
      </c>
      <c r="B190" s="28">
        <v>506</v>
      </c>
      <c r="C190" s="20">
        <v>45.366082352941163</v>
      </c>
      <c r="D190" s="20">
        <v>8.9656289235061575</v>
      </c>
    </row>
    <row r="191" spans="1:4">
      <c r="A191" s="27" t="s">
        <v>386</v>
      </c>
      <c r="B191" s="28">
        <v>383</v>
      </c>
      <c r="C191" s="20">
        <v>45.045778151260507</v>
      </c>
      <c r="D191" s="20">
        <v>11.761299778396999</v>
      </c>
    </row>
    <row r="192" spans="1:4">
      <c r="A192" s="27" t="s">
        <v>388</v>
      </c>
      <c r="B192" s="28">
        <v>289</v>
      </c>
      <c r="C192" s="20">
        <v>22.053303361344547</v>
      </c>
      <c r="D192" s="20">
        <v>7.6309008170742381</v>
      </c>
    </row>
    <row r="193" spans="1:4">
      <c r="A193" s="27" t="s">
        <v>390</v>
      </c>
      <c r="B193" s="28">
        <v>126</v>
      </c>
      <c r="C193" s="20">
        <v>6.7848151260504252</v>
      </c>
      <c r="D193" s="20">
        <v>5.3847739095638296</v>
      </c>
    </row>
    <row r="194" spans="1:4">
      <c r="A194" s="27" t="s">
        <v>392</v>
      </c>
      <c r="B194" s="28">
        <v>280</v>
      </c>
      <c r="C194" s="20">
        <v>27.054117647058831</v>
      </c>
      <c r="D194" s="20">
        <v>9.6621848739495828</v>
      </c>
    </row>
    <row r="195" spans="1:4">
      <c r="A195" s="27" t="s">
        <v>394</v>
      </c>
      <c r="B195" s="28">
        <v>174</v>
      </c>
      <c r="C195" s="20">
        <v>13.044235294117648</v>
      </c>
      <c r="D195" s="20">
        <v>7.496686950642327</v>
      </c>
    </row>
    <row r="196" spans="1:4">
      <c r="A196" s="27" t="s">
        <v>396</v>
      </c>
      <c r="B196" s="28">
        <v>90</v>
      </c>
      <c r="C196" s="20">
        <v>8.5373277310924394</v>
      </c>
      <c r="D196" s="20">
        <v>9.4859197012138221</v>
      </c>
    </row>
    <row r="197" spans="1:4">
      <c r="A197" s="27" t="s">
        <v>398</v>
      </c>
      <c r="B197" s="28">
        <v>572</v>
      </c>
      <c r="C197" s="20">
        <v>34.013206722689105</v>
      </c>
      <c r="D197" s="20">
        <v>5.9463648116589347</v>
      </c>
    </row>
    <row r="198" spans="1:4">
      <c r="A198" s="27" t="s">
        <v>400</v>
      </c>
      <c r="B198" s="28">
        <v>89</v>
      </c>
      <c r="C198" s="20">
        <v>7.0886067226890788</v>
      </c>
      <c r="D198" s="20">
        <v>7.9647266547068298</v>
      </c>
    </row>
    <row r="199" spans="1:4">
      <c r="A199" s="27" t="s">
        <v>402</v>
      </c>
      <c r="B199" s="28">
        <v>357</v>
      </c>
      <c r="C199" s="20">
        <v>41.834180672268907</v>
      </c>
      <c r="D199" s="20">
        <v>11.71825789139185</v>
      </c>
    </row>
    <row r="200" spans="1:4">
      <c r="A200" s="27" t="s">
        <v>404</v>
      </c>
      <c r="B200" s="28">
        <v>169</v>
      </c>
      <c r="C200" s="20">
        <v>18.058957142857146</v>
      </c>
      <c r="D200" s="20">
        <v>10.685773457311921</v>
      </c>
    </row>
    <row r="201" spans="1:4">
      <c r="A201" s="27" t="s">
        <v>405</v>
      </c>
      <c r="B201" s="28">
        <v>163</v>
      </c>
      <c r="C201" s="20">
        <v>13.382084873949587</v>
      </c>
      <c r="D201" s="20">
        <v>8.2098680208279671</v>
      </c>
    </row>
    <row r="202" spans="1:4">
      <c r="A202" s="27" t="s">
        <v>406</v>
      </c>
      <c r="B202" s="28">
        <v>289</v>
      </c>
      <c r="C202" s="20">
        <v>23.607514285714288</v>
      </c>
      <c r="D202" s="20">
        <v>8.1686900642609981</v>
      </c>
    </row>
    <row r="203" spans="1:4">
      <c r="A203" s="27" t="s">
        <v>407</v>
      </c>
      <c r="B203" s="28">
        <v>451</v>
      </c>
      <c r="C203" s="20">
        <v>26.710352100840353</v>
      </c>
      <c r="D203" s="20">
        <v>5.9224727496320071</v>
      </c>
    </row>
    <row r="204" spans="1:4">
      <c r="A204" s="27" t="s">
        <v>409</v>
      </c>
      <c r="B204" s="28">
        <v>216</v>
      </c>
      <c r="C204" s="20">
        <v>23.633593277310929</v>
      </c>
      <c r="D204" s="20">
        <v>10.941478369125431</v>
      </c>
    </row>
    <row r="205" spans="1:4">
      <c r="A205" s="27" t="s">
        <v>410</v>
      </c>
      <c r="B205" s="28">
        <v>450</v>
      </c>
      <c r="C205" s="20">
        <v>34.289747899159664</v>
      </c>
      <c r="D205" s="20">
        <v>7.6199439775910367</v>
      </c>
    </row>
    <row r="206" spans="1:4">
      <c r="A206" s="27" t="s">
        <v>412</v>
      </c>
      <c r="B206" s="28">
        <v>296</v>
      </c>
      <c r="C206" s="20">
        <v>16.260376470588227</v>
      </c>
      <c r="D206" s="20">
        <v>5.4933704292527796</v>
      </c>
    </row>
    <row r="207" spans="1:4">
      <c r="A207" s="27" t="s">
        <v>413</v>
      </c>
      <c r="B207" s="28">
        <v>277</v>
      </c>
      <c r="C207" s="20">
        <v>18.89503445378152</v>
      </c>
      <c r="D207" s="20">
        <v>6.8213120771774438</v>
      </c>
    </row>
    <row r="208" spans="1:4">
      <c r="A208" s="27" t="s">
        <v>415</v>
      </c>
      <c r="B208" s="28">
        <v>395</v>
      </c>
      <c r="C208" s="20">
        <v>31.627105042016822</v>
      </c>
      <c r="D208" s="20">
        <v>8.0068620359536258</v>
      </c>
    </row>
    <row r="209" spans="1:4">
      <c r="A209" s="27" t="s">
        <v>417</v>
      </c>
      <c r="B209" s="28">
        <v>98</v>
      </c>
      <c r="C209" s="20">
        <v>7.9203243697479024</v>
      </c>
      <c r="D209" s="20">
        <v>8.0819636425999004</v>
      </c>
    </row>
    <row r="210" spans="1:4">
      <c r="A210" s="27" t="s">
        <v>419</v>
      </c>
      <c r="B210" s="28">
        <v>183</v>
      </c>
      <c r="C210" s="20">
        <v>18.052242016806716</v>
      </c>
      <c r="D210" s="20">
        <v>9.8646131239380956</v>
      </c>
    </row>
    <row r="211" spans="1:4">
      <c r="A211" s="27" t="s">
        <v>421</v>
      </c>
      <c r="B211" s="28">
        <v>138</v>
      </c>
      <c r="C211" s="20">
        <v>6.9791529411764728</v>
      </c>
      <c r="D211" s="20">
        <v>5.0573572037510672</v>
      </c>
    </row>
    <row r="212" spans="1:4">
      <c r="A212" s="27" t="s">
        <v>422</v>
      </c>
      <c r="B212" s="28">
        <v>588</v>
      </c>
      <c r="C212" s="20">
        <v>67.41850420168069</v>
      </c>
      <c r="D212" s="20">
        <v>11.465732007088553</v>
      </c>
    </row>
    <row r="213" spans="1:4">
      <c r="A213" s="27" t="s">
        <v>424</v>
      </c>
      <c r="B213" s="28">
        <v>422</v>
      </c>
      <c r="C213" s="20">
        <v>52.29235462184873</v>
      </c>
      <c r="D213" s="20">
        <v>12.39155322792624</v>
      </c>
    </row>
    <row r="214" spans="1:4">
      <c r="A214" s="27" t="s">
        <v>426</v>
      </c>
      <c r="B214" s="28">
        <v>85</v>
      </c>
      <c r="C214" s="20">
        <v>9.8499495798319359</v>
      </c>
      <c r="D214" s="20">
        <v>11.588175976272867</v>
      </c>
    </row>
    <row r="215" spans="1:4">
      <c r="A215" s="27" t="s">
        <v>427</v>
      </c>
      <c r="B215" s="28">
        <v>181</v>
      </c>
      <c r="C215" s="20">
        <v>15.514700000000012</v>
      </c>
      <c r="D215" s="20">
        <v>8.5716574585635428</v>
      </c>
    </row>
    <row r="216" spans="1:4">
      <c r="A216" s="27" t="s">
        <v>429</v>
      </c>
      <c r="B216" s="28">
        <v>656</v>
      </c>
      <c r="C216" s="20">
        <v>45.865115966386554</v>
      </c>
      <c r="D216" s="20">
        <v>6.9916335314613649</v>
      </c>
    </row>
    <row r="217" spans="1:4">
      <c r="A217" s="27" t="s">
        <v>431</v>
      </c>
      <c r="B217" s="28">
        <v>108</v>
      </c>
      <c r="C217" s="20">
        <v>6.8973949579831917</v>
      </c>
      <c r="D217" s="20">
        <v>6.3864768129474001</v>
      </c>
    </row>
    <row r="218" spans="1:4">
      <c r="A218" s="27" t="s">
        <v>432</v>
      </c>
      <c r="B218" s="28">
        <v>295</v>
      </c>
      <c r="C218" s="20">
        <v>14.72310084033613</v>
      </c>
      <c r="D218" s="20">
        <v>4.9908816407919083</v>
      </c>
    </row>
    <row r="219" spans="1:4">
      <c r="A219" s="27" t="s">
        <v>433</v>
      </c>
      <c r="B219" s="28">
        <v>542</v>
      </c>
      <c r="C219" s="20">
        <v>50.291539495798332</v>
      </c>
      <c r="D219" s="20">
        <v>9.2788818257930501</v>
      </c>
    </row>
    <row r="220" spans="1:4">
      <c r="A220" s="27" t="s">
        <v>435</v>
      </c>
      <c r="B220" s="28">
        <v>115</v>
      </c>
      <c r="C220" s="20">
        <v>12.260411764705886</v>
      </c>
      <c r="D220" s="20">
        <v>10.661227621483379</v>
      </c>
    </row>
    <row r="221" spans="1:4">
      <c r="A221" s="27" t="s">
        <v>437</v>
      </c>
      <c r="B221" s="28">
        <v>201</v>
      </c>
      <c r="C221" s="20">
        <v>16.44452605042018</v>
      </c>
      <c r="D221" s="20">
        <v>8.1813562439901393</v>
      </c>
    </row>
    <row r="222" spans="1:4">
      <c r="A222" s="27" t="s">
        <v>438</v>
      </c>
      <c r="B222" s="28">
        <v>93</v>
      </c>
      <c r="C222" s="20">
        <v>9.198921848739495</v>
      </c>
      <c r="D222" s="20">
        <v>9.8913138158489193</v>
      </c>
    </row>
    <row r="223" spans="1:4">
      <c r="A223" s="27" t="s">
        <v>439</v>
      </c>
      <c r="B223" s="28">
        <v>538</v>
      </c>
      <c r="C223" s="20">
        <v>38.173880672268922</v>
      </c>
      <c r="D223" s="20">
        <v>7.0955168535815831</v>
      </c>
    </row>
    <row r="224" spans="1:4">
      <c r="A224" s="27" t="s">
        <v>441</v>
      </c>
      <c r="B224" s="28">
        <v>592</v>
      </c>
      <c r="C224" s="20">
        <v>71.422090756302495</v>
      </c>
      <c r="D224" s="20">
        <v>12.064542357483528</v>
      </c>
    </row>
    <row r="225" spans="1:4">
      <c r="A225" s="27" t="s">
        <v>442</v>
      </c>
      <c r="B225" s="28">
        <v>548</v>
      </c>
      <c r="C225" s="20">
        <v>42.215438655462179</v>
      </c>
      <c r="D225" s="20">
        <v>7.7035471999018572</v>
      </c>
    </row>
    <row r="226" spans="1:4">
      <c r="A226" s="27" t="s">
        <v>444</v>
      </c>
      <c r="B226" s="28">
        <v>255</v>
      </c>
      <c r="C226" s="20">
        <v>20.844907563025217</v>
      </c>
      <c r="D226" s="20">
        <v>8.1744735541275357</v>
      </c>
    </row>
    <row r="227" spans="1:4">
      <c r="A227" s="27" t="s">
        <v>446</v>
      </c>
      <c r="B227" s="28">
        <v>-15</v>
      </c>
      <c r="C227" s="20">
        <v>102.69442857142857</v>
      </c>
      <c r="D227" s="20">
        <v>-684.62952380952379</v>
      </c>
    </row>
    <row r="228" spans="1:4">
      <c r="A228" s="27" t="s">
        <v>447</v>
      </c>
      <c r="B228" s="28">
        <v>656</v>
      </c>
      <c r="C228" s="20">
        <v>52.948262184873954</v>
      </c>
      <c r="D228" s="20">
        <v>8.071381430621031</v>
      </c>
    </row>
    <row r="229" spans="1:4">
      <c r="A229" s="27" t="s">
        <v>449</v>
      </c>
      <c r="B229" s="28">
        <v>150</v>
      </c>
      <c r="C229" s="20">
        <v>7.8352100840336192</v>
      </c>
      <c r="D229" s="20">
        <v>5.2234733893557461</v>
      </c>
    </row>
    <row r="230" spans="1:4">
      <c r="A230" s="27" t="s">
        <v>451</v>
      </c>
      <c r="B230" s="28">
        <v>431</v>
      </c>
      <c r="C230" s="20">
        <v>34.903758823529415</v>
      </c>
      <c r="D230" s="20">
        <v>8.0983199126518368</v>
      </c>
    </row>
    <row r="231" spans="1:4">
      <c r="A231" s="27" t="s">
        <v>452</v>
      </c>
      <c r="B231" s="28">
        <v>165</v>
      </c>
      <c r="C231" s="20">
        <v>5.6551932773109215</v>
      </c>
      <c r="D231" s="20">
        <v>3.4273898650369219</v>
      </c>
    </row>
    <row r="232" spans="1:4">
      <c r="A232" s="27" t="s">
        <v>454</v>
      </c>
      <c r="B232" s="28">
        <v>267</v>
      </c>
      <c r="C232" s="20">
        <v>10.666127731092431</v>
      </c>
      <c r="D232" s="20">
        <v>3.9948043936675766</v>
      </c>
    </row>
    <row r="233" spans="1:4">
      <c r="A233" s="27" t="s">
        <v>456</v>
      </c>
      <c r="B233" s="28">
        <v>132</v>
      </c>
      <c r="C233" s="20">
        <v>7.6538453781512601</v>
      </c>
      <c r="D233" s="20">
        <v>5.7983677107206519</v>
      </c>
    </row>
    <row r="234" spans="1:4">
      <c r="A234" s="27" t="s">
        <v>457</v>
      </c>
      <c r="B234" s="28">
        <v>146</v>
      </c>
      <c r="C234" s="20">
        <v>11.737480672268909</v>
      </c>
      <c r="D234" s="20">
        <v>8.0393703234718554</v>
      </c>
    </row>
    <row r="235" spans="1:4">
      <c r="A235" s="27" t="s">
        <v>459</v>
      </c>
      <c r="B235" s="28">
        <v>151</v>
      </c>
      <c r="C235" s="20">
        <v>4.5475403361344604</v>
      </c>
      <c r="D235" s="20">
        <v>3.0116161166453379</v>
      </c>
    </row>
    <row r="236" spans="1:4">
      <c r="A236" s="27" t="s">
        <v>461</v>
      </c>
      <c r="B236" s="28">
        <v>276</v>
      </c>
      <c r="C236" s="20">
        <v>21.638265546218491</v>
      </c>
      <c r="D236" s="20">
        <v>7.8399512848617725</v>
      </c>
    </row>
    <row r="237" spans="1:4">
      <c r="A237" s="27" t="s">
        <v>462</v>
      </c>
      <c r="B237" s="28">
        <v>94</v>
      </c>
      <c r="C237" s="20">
        <v>9.7059563025210132</v>
      </c>
      <c r="D237" s="20">
        <v>10.325485428213845</v>
      </c>
    </row>
    <row r="238" spans="1:4">
      <c r="A238" s="27" t="s">
        <v>463</v>
      </c>
      <c r="B238" s="28">
        <v>223</v>
      </c>
      <c r="C238" s="20">
        <v>21.769963865546217</v>
      </c>
      <c r="D238" s="20">
        <v>9.7623156347740885</v>
      </c>
    </row>
    <row r="239" spans="1:4">
      <c r="A239" s="27" t="s">
        <v>465</v>
      </c>
      <c r="B239" s="28">
        <v>161</v>
      </c>
      <c r="C239" s="20">
        <v>8.3334546218487446</v>
      </c>
      <c r="D239" s="20">
        <v>5.176058771334624</v>
      </c>
    </row>
    <row r="240" spans="1:4">
      <c r="A240" s="27" t="s">
        <v>467</v>
      </c>
      <c r="B240" s="28">
        <v>102</v>
      </c>
      <c r="C240" s="20">
        <v>8.8724907563025255</v>
      </c>
      <c r="D240" s="20">
        <v>8.6985203493162011</v>
      </c>
    </row>
    <row r="241" spans="1:4">
      <c r="A241" s="27" t="s">
        <v>468</v>
      </c>
      <c r="B241" s="28">
        <v>229</v>
      </c>
      <c r="C241" s="20">
        <v>19.373288235294112</v>
      </c>
      <c r="D241" s="20">
        <v>8.4599511944515768</v>
      </c>
    </row>
    <row r="242" spans="1:4">
      <c r="A242" s="27" t="s">
        <v>470</v>
      </c>
      <c r="B242" s="28">
        <v>477</v>
      </c>
      <c r="C242" s="20">
        <v>34.54035126050421</v>
      </c>
      <c r="D242" s="20">
        <v>7.2411637862692269</v>
      </c>
    </row>
    <row r="243" spans="1:4">
      <c r="A243" s="27" t="s">
        <v>472</v>
      </c>
      <c r="B243" s="28">
        <v>120</v>
      </c>
      <c r="C243" s="20">
        <v>10.447226890756312</v>
      </c>
      <c r="D243" s="20">
        <v>8.7060224089635927</v>
      </c>
    </row>
    <row r="244" spans="1:4">
      <c r="A244" s="27" t="s">
        <v>473</v>
      </c>
      <c r="B244" s="28">
        <v>269</v>
      </c>
      <c r="C244" s="20">
        <v>10.263211764705886</v>
      </c>
      <c r="D244" s="20">
        <v>3.8153203586267233</v>
      </c>
    </row>
    <row r="245" spans="1:4">
      <c r="A245" s="27" t="s">
        <v>474</v>
      </c>
      <c r="B245" s="28">
        <v>648</v>
      </c>
      <c r="C245" s="20">
        <v>38.548914285714289</v>
      </c>
      <c r="D245" s="20">
        <v>5.948906525573193</v>
      </c>
    </row>
    <row r="246" spans="1:4">
      <c r="A246" s="27" t="s">
        <v>475</v>
      </c>
      <c r="B246" s="28">
        <v>207</v>
      </c>
      <c r="C246" s="20">
        <v>21.170436974789915</v>
      </c>
      <c r="D246" s="20">
        <v>10.227264239028946</v>
      </c>
    </row>
    <row r="247" spans="1:4">
      <c r="A247" s="27" t="s">
        <v>477</v>
      </c>
      <c r="B247" s="28">
        <v>93</v>
      </c>
      <c r="C247" s="20">
        <v>7.7217025210084067</v>
      </c>
      <c r="D247" s="20">
        <v>8.3029059365681785</v>
      </c>
    </row>
    <row r="248" spans="1:4">
      <c r="A248" s="27" t="s">
        <v>479</v>
      </c>
      <c r="B248" s="28">
        <v>100</v>
      </c>
      <c r="C248" s="20">
        <v>7.4929411764705875</v>
      </c>
      <c r="D248" s="20">
        <v>7.4929411764705867</v>
      </c>
    </row>
    <row r="249" spans="1:4">
      <c r="A249" s="27" t="s">
        <v>481</v>
      </c>
      <c r="B249" s="28">
        <v>629</v>
      </c>
      <c r="C249" s="20">
        <v>55.18075882352943</v>
      </c>
      <c r="D249" s="20">
        <v>8.772775647619941</v>
      </c>
    </row>
    <row r="250" spans="1:4">
      <c r="A250" s="27" t="s">
        <v>482</v>
      </c>
      <c r="B250" s="28">
        <v>137</v>
      </c>
      <c r="C250" s="20">
        <v>13.839694957983198</v>
      </c>
      <c r="D250" s="20">
        <v>10.101967122615472</v>
      </c>
    </row>
    <row r="251" spans="1:4">
      <c r="A251" s="27" t="s">
        <v>483</v>
      </c>
      <c r="B251" s="28">
        <v>428</v>
      </c>
      <c r="C251" s="20">
        <v>38.27784537815127</v>
      </c>
      <c r="D251" s="20">
        <v>8.9434218173250635</v>
      </c>
    </row>
    <row r="252" spans="1:4">
      <c r="A252" s="27" t="s">
        <v>485</v>
      </c>
      <c r="B252" s="28">
        <v>302</v>
      </c>
      <c r="C252" s="20">
        <v>17.338773109243718</v>
      </c>
      <c r="D252" s="20">
        <v>5.7413155990873239</v>
      </c>
    </row>
    <row r="253" spans="1:4">
      <c r="A253" s="27" t="s">
        <v>487</v>
      </c>
      <c r="B253" s="28">
        <v>621</v>
      </c>
      <c r="C253" s="20">
        <v>46.7267974789916</v>
      </c>
      <c r="D253" s="20">
        <v>7.5244440384849591</v>
      </c>
    </row>
    <row r="254" spans="1:4">
      <c r="A254" s="27" t="s">
        <v>489</v>
      </c>
      <c r="B254" s="28">
        <v>616</v>
      </c>
      <c r="C254" s="20">
        <v>55.387018487394954</v>
      </c>
      <c r="D254" s="20">
        <v>8.9913991050965834</v>
      </c>
    </row>
    <row r="255" spans="1:4">
      <c r="A255" s="27" t="s">
        <v>490</v>
      </c>
      <c r="B255" s="28">
        <v>640</v>
      </c>
      <c r="C255" s="20">
        <v>33.903058823529392</v>
      </c>
      <c r="D255" s="20">
        <v>5.2973529411764675</v>
      </c>
    </row>
    <row r="256" spans="1:4">
      <c r="A256" s="27" t="s">
        <v>492</v>
      </c>
      <c r="B256" s="28">
        <v>209</v>
      </c>
      <c r="C256" s="20">
        <v>23.770960504201682</v>
      </c>
      <c r="D256" s="20">
        <v>11.373665313015159</v>
      </c>
    </row>
    <row r="257" spans="1:4">
      <c r="A257" s="27" t="s">
        <v>494</v>
      </c>
      <c r="B257" s="28">
        <v>585</v>
      </c>
      <c r="C257" s="20">
        <v>62.396218487394975</v>
      </c>
      <c r="D257" s="20">
        <v>10.666020254255551</v>
      </c>
    </row>
    <row r="258" spans="1:4">
      <c r="A258" s="27" t="s">
        <v>495</v>
      </c>
      <c r="B258" s="28">
        <v>243</v>
      </c>
      <c r="C258" s="20">
        <v>17.967653781512617</v>
      </c>
      <c r="D258" s="20">
        <v>7.3940962063837929</v>
      </c>
    </row>
    <row r="259" spans="1:4">
      <c r="A259" s="27" t="s">
        <v>497</v>
      </c>
      <c r="B259" s="28">
        <v>307</v>
      </c>
      <c r="C259" s="20">
        <v>20.214027731092443</v>
      </c>
      <c r="D259" s="20">
        <v>6.5843738537760403</v>
      </c>
    </row>
    <row r="260" spans="1:4">
      <c r="A260" s="27" t="s">
        <v>498</v>
      </c>
      <c r="B260" s="28">
        <v>288</v>
      </c>
      <c r="C260" s="20">
        <v>18.31525378151261</v>
      </c>
      <c r="D260" s="20">
        <v>6.3594631185807673</v>
      </c>
    </row>
    <row r="261" spans="1:4">
      <c r="A261" s="27" t="s">
        <v>500</v>
      </c>
      <c r="B261" s="28">
        <v>592</v>
      </c>
      <c r="C261" s="20">
        <v>56.024349579831934</v>
      </c>
      <c r="D261" s="20">
        <v>9.4635725641607991</v>
      </c>
    </row>
    <row r="262" spans="1:4">
      <c r="A262" s="27" t="s">
        <v>502</v>
      </c>
      <c r="B262" s="28">
        <v>552</v>
      </c>
      <c r="C262" s="20">
        <v>68.984147899159666</v>
      </c>
      <c r="D262" s="20">
        <v>12.49712824260139</v>
      </c>
    </row>
    <row r="263" spans="1:4">
      <c r="A263" s="27" t="s">
        <v>503</v>
      </c>
      <c r="B263" s="28">
        <v>392</v>
      </c>
      <c r="C263" s="20">
        <v>33.845996638655478</v>
      </c>
      <c r="D263" s="20">
        <v>8.6341828159835412</v>
      </c>
    </row>
    <row r="264" spans="1:4">
      <c r="A264" s="27" t="s">
        <v>505</v>
      </c>
      <c r="B264" s="28">
        <v>258</v>
      </c>
      <c r="C264" s="20">
        <v>17.585815126050434</v>
      </c>
      <c r="D264" s="20">
        <v>6.8162074131978434</v>
      </c>
    </row>
    <row r="265" spans="1:4">
      <c r="A265" s="27" t="s">
        <v>506</v>
      </c>
      <c r="B265" s="28">
        <v>330</v>
      </c>
      <c r="C265" s="20">
        <v>31.755092436974806</v>
      </c>
      <c r="D265" s="20">
        <v>9.6227552839317596</v>
      </c>
    </row>
    <row r="266" spans="1:4">
      <c r="A266" s="27" t="s">
        <v>507</v>
      </c>
      <c r="B266" s="28">
        <v>323</v>
      </c>
      <c r="C266" s="20">
        <v>19.377618487394955</v>
      </c>
      <c r="D266" s="20">
        <v>5.9992626895959615</v>
      </c>
    </row>
    <row r="267" spans="1:4">
      <c r="A267" s="27" t="s">
        <v>509</v>
      </c>
      <c r="B267" s="28">
        <v>87</v>
      </c>
      <c r="C267" s="20">
        <v>9.8885327731092438</v>
      </c>
      <c r="D267" s="20">
        <v>11.366129624263499</v>
      </c>
    </row>
    <row r="268" spans="1:4">
      <c r="A268" s="27" t="s">
        <v>511</v>
      </c>
      <c r="B268" s="28">
        <v>97</v>
      </c>
      <c r="C268" s="20">
        <v>6.8803521008403337</v>
      </c>
      <c r="D268" s="20">
        <v>7.0931464957116841</v>
      </c>
    </row>
    <row r="269" spans="1:4">
      <c r="A269" s="27" t="s">
        <v>513</v>
      </c>
      <c r="B269" s="28">
        <v>189</v>
      </c>
      <c r="C269" s="20">
        <v>18.433037815126056</v>
      </c>
      <c r="D269" s="20">
        <v>9.7529300609132576</v>
      </c>
    </row>
    <row r="270" spans="1:4">
      <c r="A270" s="27" t="s">
        <v>514</v>
      </c>
      <c r="B270" s="28">
        <v>144</v>
      </c>
      <c r="C270" s="20">
        <v>11.129371428571432</v>
      </c>
      <c r="D270" s="20">
        <v>7.7287301587301611</v>
      </c>
    </row>
    <row r="271" spans="1:4">
      <c r="A271" s="27" t="s">
        <v>516</v>
      </c>
      <c r="B271" s="28">
        <v>152</v>
      </c>
      <c r="C271" s="20">
        <v>12.965458823529417</v>
      </c>
      <c r="D271" s="20">
        <v>8.5299071207430366</v>
      </c>
    </row>
    <row r="272" spans="1:4">
      <c r="A272" s="27" t="s">
        <v>518</v>
      </c>
      <c r="B272" s="28">
        <v>101</v>
      </c>
      <c r="C272" s="20">
        <v>10.669640336134453</v>
      </c>
      <c r="D272" s="20">
        <v>10.564000332806389</v>
      </c>
    </row>
    <row r="273" spans="1:4">
      <c r="A273" s="27" t="s">
        <v>519</v>
      </c>
      <c r="B273" s="28">
        <v>126</v>
      </c>
      <c r="C273" s="20">
        <v>7.2926588235294147</v>
      </c>
      <c r="D273" s="20">
        <v>5.7878244631185831</v>
      </c>
    </row>
    <row r="274" spans="1:4">
      <c r="A274" s="27" t="s">
        <v>521</v>
      </c>
      <c r="B274" s="28">
        <v>154</v>
      </c>
      <c r="C274" s="20">
        <v>6.1142184873949645</v>
      </c>
      <c r="D274" s="20">
        <v>3.9702717450616651</v>
      </c>
    </row>
    <row r="275" spans="1:4">
      <c r="A275" s="27" t="s">
        <v>523</v>
      </c>
      <c r="B275" s="28">
        <v>578</v>
      </c>
      <c r="C275" s="20">
        <v>44.31936302521008</v>
      </c>
      <c r="D275" s="20">
        <v>7.6677098659533014</v>
      </c>
    </row>
    <row r="276" spans="1:4">
      <c r="A276" s="27" t="s">
        <v>524</v>
      </c>
      <c r="B276" s="28">
        <v>257</v>
      </c>
      <c r="C276" s="20">
        <v>17.882568907563027</v>
      </c>
      <c r="D276" s="20">
        <v>6.958198018507014</v>
      </c>
    </row>
    <row r="277" spans="1:4">
      <c r="A277" s="27" t="s">
        <v>526</v>
      </c>
      <c r="B277" s="28">
        <v>265</v>
      </c>
      <c r="C277" s="20">
        <v>16.717277310924374</v>
      </c>
      <c r="D277" s="20">
        <v>6.3084065324242919</v>
      </c>
    </row>
    <row r="278" spans="1:4">
      <c r="A278" s="27" t="s">
        <v>527</v>
      </c>
      <c r="B278" s="28">
        <v>251</v>
      </c>
      <c r="C278" s="20">
        <v>18.778347899159677</v>
      </c>
      <c r="D278" s="20">
        <v>7.4814135056413056</v>
      </c>
    </row>
    <row r="279" spans="1:4">
      <c r="A279" s="27" t="s">
        <v>528</v>
      </c>
      <c r="B279" s="28">
        <v>108</v>
      </c>
      <c r="C279" s="20">
        <v>8.2338319327731142</v>
      </c>
      <c r="D279" s="20">
        <v>7.6239184562714017</v>
      </c>
    </row>
    <row r="280" spans="1:4">
      <c r="A280" s="27" t="s">
        <v>530</v>
      </c>
      <c r="B280" s="28">
        <v>522</v>
      </c>
      <c r="C280" s="20">
        <v>49.680321008403368</v>
      </c>
      <c r="D280" s="20">
        <v>9.5173028751730584</v>
      </c>
    </row>
    <row r="281" spans="1:4">
      <c r="A281" s="27" t="s">
        <v>531</v>
      </c>
      <c r="B281" s="28">
        <v>563</v>
      </c>
      <c r="C281" s="20">
        <v>54.601832773109251</v>
      </c>
      <c r="D281" s="20">
        <v>9.6983717181366345</v>
      </c>
    </row>
    <row r="282" spans="1:4">
      <c r="A282" s="27" t="s">
        <v>532</v>
      </c>
      <c r="B282" s="28">
        <v>156</v>
      </c>
      <c r="C282" s="20">
        <v>8.4030621848739599</v>
      </c>
      <c r="D282" s="20">
        <v>5.3865783236371545</v>
      </c>
    </row>
    <row r="283" spans="1:4">
      <c r="A283" s="27" t="s">
        <v>534</v>
      </c>
      <c r="B283" s="28">
        <v>273</v>
      </c>
      <c r="C283" s="20">
        <v>22.212221008403375</v>
      </c>
      <c r="D283" s="20">
        <v>8.1363446917228472</v>
      </c>
    </row>
    <row r="284" spans="1:4">
      <c r="A284" s="27" t="s">
        <v>536</v>
      </c>
      <c r="B284" s="28">
        <v>587</v>
      </c>
      <c r="C284" s="20">
        <v>18.226652941176496</v>
      </c>
      <c r="D284" s="20">
        <v>3.1050516083775972</v>
      </c>
    </row>
    <row r="285" spans="1:4">
      <c r="A285" s="27" t="s">
        <v>538</v>
      </c>
      <c r="B285" s="28">
        <v>386</v>
      </c>
      <c r="C285" s="20">
        <v>36.862329411764705</v>
      </c>
      <c r="D285" s="20">
        <v>9.5498262724779028</v>
      </c>
    </row>
    <row r="286" spans="1:4">
      <c r="A286" s="27" t="s">
        <v>540</v>
      </c>
      <c r="B286" s="28">
        <v>244</v>
      </c>
      <c r="C286" s="20">
        <v>19.469973109243703</v>
      </c>
      <c r="D286" s="20">
        <v>7.9794971759195503</v>
      </c>
    </row>
    <row r="287" spans="1:4">
      <c r="A287" s="27" t="s">
        <v>542</v>
      </c>
      <c r="B287" s="28">
        <v>168</v>
      </c>
      <c r="C287" s="20">
        <v>20.788853781512607</v>
      </c>
      <c r="D287" s="20">
        <v>12.374317727090837</v>
      </c>
    </row>
    <row r="288" spans="1:4">
      <c r="A288" s="27" t="s">
        <v>543</v>
      </c>
      <c r="B288" s="28">
        <v>104</v>
      </c>
      <c r="C288" s="20">
        <v>9.7456336134453778</v>
      </c>
      <c r="D288" s="20">
        <v>9.3708015513897855</v>
      </c>
    </row>
    <row r="289" spans="1:4">
      <c r="A289" s="27" t="s">
        <v>545</v>
      </c>
      <c r="B289" s="28">
        <v>576</v>
      </c>
      <c r="C289" s="20">
        <v>61.357727731092439</v>
      </c>
      <c r="D289" s="20">
        <v>10.652383286647993</v>
      </c>
    </row>
    <row r="290" spans="1:4">
      <c r="A290" s="27" t="s">
        <v>547</v>
      </c>
      <c r="B290" s="28">
        <v>166</v>
      </c>
      <c r="C290" s="20">
        <v>9.7650201680672239</v>
      </c>
      <c r="D290" s="20">
        <v>5.8825422699200143</v>
      </c>
    </row>
    <row r="291" spans="1:4">
      <c r="A291" s="27" t="s">
        <v>549</v>
      </c>
      <c r="B291" s="28">
        <v>366</v>
      </c>
      <c r="C291" s="20">
        <v>41.845909243697477</v>
      </c>
      <c r="D291" s="20">
        <v>11.433308536529365</v>
      </c>
    </row>
    <row r="292" spans="1:4">
      <c r="A292" s="27" t="s">
        <v>551</v>
      </c>
      <c r="B292" s="28">
        <v>234</v>
      </c>
      <c r="C292" s="20">
        <v>13.506068907563026</v>
      </c>
      <c r="D292" s="20">
        <v>5.7718243194713788</v>
      </c>
    </row>
    <row r="293" spans="1:4">
      <c r="A293" s="27" t="s">
        <v>552</v>
      </c>
      <c r="B293" s="28">
        <v>300</v>
      </c>
      <c r="C293" s="20">
        <v>20.826554621848743</v>
      </c>
      <c r="D293" s="20">
        <v>6.9421848739495804</v>
      </c>
    </row>
    <row r="294" spans="1:4">
      <c r="A294" s="27" t="s">
        <v>554</v>
      </c>
      <c r="B294" s="28">
        <v>201</v>
      </c>
      <c r="C294" s="20">
        <v>15.861170588235282</v>
      </c>
      <c r="D294" s="20">
        <v>7.891129645888201</v>
      </c>
    </row>
    <row r="295" spans="1:4">
      <c r="A295" s="27" t="s">
        <v>556</v>
      </c>
      <c r="B295" s="28">
        <v>130</v>
      </c>
      <c r="C295" s="20">
        <v>3.5764033613445463</v>
      </c>
      <c r="D295" s="20">
        <v>2.751079508726574</v>
      </c>
    </row>
    <row r="296" spans="1:4">
      <c r="A296" s="27" t="s">
        <v>557</v>
      </c>
      <c r="B296" s="28">
        <v>145</v>
      </c>
      <c r="C296" s="20">
        <v>9.7030084033613448</v>
      </c>
      <c r="D296" s="20">
        <v>6.6917299333526508</v>
      </c>
    </row>
    <row r="297" spans="1:4">
      <c r="A297" s="27" t="s">
        <v>559</v>
      </c>
      <c r="B297" s="28">
        <v>135</v>
      </c>
      <c r="C297" s="20">
        <v>7.2147689075630268</v>
      </c>
      <c r="D297" s="20">
        <v>5.3442732648615019</v>
      </c>
    </row>
    <row r="298" spans="1:4">
      <c r="A298" s="27" t="s">
        <v>561</v>
      </c>
      <c r="B298" s="28">
        <v>99</v>
      </c>
      <c r="C298" s="20">
        <v>5.9350638655462227</v>
      </c>
      <c r="D298" s="20">
        <v>5.9950140056022452</v>
      </c>
    </row>
    <row r="299" spans="1:4">
      <c r="A299" s="27" t="s">
        <v>563</v>
      </c>
      <c r="B299" s="28">
        <v>452</v>
      </c>
      <c r="C299" s="20">
        <v>49.477794957983207</v>
      </c>
      <c r="D299" s="20">
        <v>10.946414813713098</v>
      </c>
    </row>
    <row r="300" spans="1:4">
      <c r="A300" s="27" t="s">
        <v>565</v>
      </c>
      <c r="B300" s="28">
        <v>297</v>
      </c>
      <c r="C300" s="20">
        <v>18.108584033613454</v>
      </c>
      <c r="D300" s="20">
        <v>6.0971663412839909</v>
      </c>
    </row>
    <row r="301" spans="1:4">
      <c r="A301" s="27" t="s">
        <v>567</v>
      </c>
      <c r="B301" s="28">
        <v>130</v>
      </c>
      <c r="C301" s="20">
        <v>8.4999579831932763</v>
      </c>
      <c r="D301" s="20">
        <v>6.5384292178409815</v>
      </c>
    </row>
    <row r="302" spans="1:4">
      <c r="A302" s="27" t="s">
        <v>568</v>
      </c>
      <c r="B302" s="28">
        <v>335</v>
      </c>
      <c r="C302" s="20">
        <v>33.039399159663873</v>
      </c>
      <c r="D302" s="20">
        <v>9.8625072118399615</v>
      </c>
    </row>
    <row r="303" spans="1:4">
      <c r="A303" s="27" t="s">
        <v>569</v>
      </c>
      <c r="B303" s="28">
        <v>587</v>
      </c>
      <c r="C303" s="20">
        <v>29.58428823529411</v>
      </c>
      <c r="D303" s="20">
        <v>5.0399128169155212</v>
      </c>
    </row>
    <row r="304" spans="1:4">
      <c r="A304" s="27" t="s">
        <v>570</v>
      </c>
      <c r="B304" s="28">
        <v>345</v>
      </c>
      <c r="C304" s="20">
        <v>44.154138655462212</v>
      </c>
      <c r="D304" s="20">
        <v>12.798301059554266</v>
      </c>
    </row>
    <row r="305" spans="1:4">
      <c r="A305" s="27" t="s">
        <v>571</v>
      </c>
      <c r="B305" s="28">
        <v>-15</v>
      </c>
      <c r="C305" s="20">
        <v>172.65081092436975</v>
      </c>
      <c r="D305" s="20">
        <v>-1151.0054061624651</v>
      </c>
    </row>
    <row r="306" spans="1:4">
      <c r="A306" s="27" t="s">
        <v>573</v>
      </c>
      <c r="B306" s="28">
        <v>100</v>
      </c>
      <c r="C306" s="20">
        <v>6.1822689075630315</v>
      </c>
      <c r="D306" s="20">
        <v>6.1822689075630315</v>
      </c>
    </row>
    <row r="307" spans="1:4">
      <c r="A307" s="27" t="s">
        <v>575</v>
      </c>
      <c r="B307" s="28">
        <v>326</v>
      </c>
      <c r="C307" s="20">
        <v>16.119608403361354</v>
      </c>
      <c r="D307" s="20">
        <v>4.9446651544053237</v>
      </c>
    </row>
    <row r="308" spans="1:4">
      <c r="A308" s="27" t="s">
        <v>576</v>
      </c>
      <c r="B308" s="28">
        <v>456</v>
      </c>
      <c r="C308" s="20">
        <v>42.84948571428572</v>
      </c>
      <c r="D308" s="20">
        <v>9.3968170426065178</v>
      </c>
    </row>
    <row r="309" spans="1:4">
      <c r="A309" s="27" t="s">
        <v>578</v>
      </c>
      <c r="B309" s="28">
        <v>221</v>
      </c>
      <c r="C309" s="20">
        <v>20.215831092436972</v>
      </c>
      <c r="D309" s="20">
        <v>9.1474348834556434</v>
      </c>
    </row>
    <row r="310" spans="1:4">
      <c r="A310" s="27" t="s">
        <v>580</v>
      </c>
      <c r="B310" s="28">
        <v>96</v>
      </c>
      <c r="C310" s="20">
        <v>13.737142857142853</v>
      </c>
      <c r="D310" s="20">
        <v>14.309523809523805</v>
      </c>
    </row>
    <row r="311" spans="1:4">
      <c r="A311" s="27" t="s">
        <v>582</v>
      </c>
      <c r="B311" s="28">
        <v>435</v>
      </c>
      <c r="C311" s="20">
        <v>43.009436974789921</v>
      </c>
      <c r="D311" s="20">
        <v>9.8872268907563043</v>
      </c>
    </row>
    <row r="312" spans="1:4">
      <c r="A312" s="27" t="s">
        <v>584</v>
      </c>
      <c r="B312" s="28">
        <v>157</v>
      </c>
      <c r="C312" s="20">
        <v>15.338789075630245</v>
      </c>
      <c r="D312" s="20">
        <v>9.7699293475351876</v>
      </c>
    </row>
    <row r="313" spans="1:4">
      <c r="A313" s="27" t="s">
        <v>586</v>
      </c>
      <c r="B313" s="28">
        <v>167</v>
      </c>
      <c r="C313" s="20">
        <v>4.4160756302521023</v>
      </c>
      <c r="D313" s="20">
        <v>2.6443566648216179</v>
      </c>
    </row>
    <row r="314" spans="1:4">
      <c r="A314" s="27" t="s">
        <v>588</v>
      </c>
      <c r="B314" s="28">
        <v>228</v>
      </c>
      <c r="C314" s="20">
        <v>16.210954621848749</v>
      </c>
      <c r="D314" s="20">
        <v>7.1100678166003277</v>
      </c>
    </row>
    <row r="315" spans="1:4">
      <c r="A315" s="27" t="s">
        <v>590</v>
      </c>
      <c r="B315" s="28">
        <v>242</v>
      </c>
      <c r="C315" s="20">
        <v>19.877547899159659</v>
      </c>
      <c r="D315" s="20">
        <v>8.2138627682477932</v>
      </c>
    </row>
    <row r="316" spans="1:4">
      <c r="A316" s="27" t="s">
        <v>592</v>
      </c>
      <c r="B316" s="28">
        <v>287</v>
      </c>
      <c r="C316" s="20">
        <v>15.601701680672278</v>
      </c>
      <c r="D316" s="20">
        <v>5.4361329897812816</v>
      </c>
    </row>
    <row r="317" spans="1:4">
      <c r="A317" s="27" t="s">
        <v>594</v>
      </c>
      <c r="B317" s="28">
        <v>157</v>
      </c>
      <c r="C317" s="20">
        <v>12.817124369747901</v>
      </c>
      <c r="D317" s="20">
        <v>8.1637734839158611</v>
      </c>
    </row>
    <row r="318" spans="1:4">
      <c r="A318" s="27" t="s">
        <v>595</v>
      </c>
      <c r="B318" s="28">
        <v>531</v>
      </c>
      <c r="C318" s="20">
        <v>42.825775630252096</v>
      </c>
      <c r="D318" s="20">
        <v>8.0651178211397543</v>
      </c>
    </row>
    <row r="319" spans="1:4">
      <c r="A319" s="27" t="s">
        <v>596</v>
      </c>
      <c r="B319" s="28">
        <v>116</v>
      </c>
      <c r="C319" s="20">
        <v>12.094359663865546</v>
      </c>
      <c r="D319" s="20">
        <v>10.426172124022024</v>
      </c>
    </row>
    <row r="320" spans="1:4">
      <c r="A320" s="27" t="s">
        <v>597</v>
      </c>
      <c r="B320" s="28">
        <v>118</v>
      </c>
      <c r="C320" s="20">
        <v>7.5163630252100901</v>
      </c>
      <c r="D320" s="20">
        <v>6.3697991739068565</v>
      </c>
    </row>
    <row r="321" spans="1:4">
      <c r="A321" s="27" t="s">
        <v>599</v>
      </c>
      <c r="B321" s="28">
        <v>565</v>
      </c>
      <c r="C321" s="20">
        <v>57.882542016806752</v>
      </c>
      <c r="D321" s="20">
        <v>10.24469770208969</v>
      </c>
    </row>
    <row r="322" spans="1:4">
      <c r="A322" s="27" t="s">
        <v>601</v>
      </c>
      <c r="B322" s="28">
        <v>334</v>
      </c>
      <c r="C322" s="20">
        <v>41.654445378151252</v>
      </c>
      <c r="D322" s="20">
        <v>12.471390831781811</v>
      </c>
    </row>
    <row r="323" spans="1:4">
      <c r="A323" s="27" t="s">
        <v>602</v>
      </c>
      <c r="B323" s="28">
        <v>540</v>
      </c>
      <c r="C323" s="20">
        <v>57.764840336134469</v>
      </c>
      <c r="D323" s="20">
        <v>10.697192654839718</v>
      </c>
    </row>
    <row r="324" spans="1:4">
      <c r="A324" s="27" t="s">
        <v>604</v>
      </c>
      <c r="B324" s="28">
        <v>452</v>
      </c>
      <c r="C324" s="20">
        <v>50.269243697478984</v>
      </c>
      <c r="D324" s="20">
        <v>11.121514092362608</v>
      </c>
    </row>
    <row r="325" spans="1:4">
      <c r="A325" s="27" t="s">
        <v>606</v>
      </c>
      <c r="B325" s="28">
        <v>299</v>
      </c>
      <c r="C325" s="20">
        <v>31.804935294117641</v>
      </c>
      <c r="D325" s="20">
        <v>10.637102105056067</v>
      </c>
    </row>
    <row r="326" spans="1:4">
      <c r="A326" s="27" t="s">
        <v>608</v>
      </c>
      <c r="B326" s="28">
        <v>182</v>
      </c>
      <c r="C326" s="20">
        <v>23.768552941176466</v>
      </c>
      <c r="D326" s="20">
        <v>13.059644473173881</v>
      </c>
    </row>
    <row r="327" spans="1:4">
      <c r="A327" s="27" t="s">
        <v>610</v>
      </c>
      <c r="B327" s="28">
        <v>132</v>
      </c>
      <c r="C327" s="20">
        <v>5.2581411764705877</v>
      </c>
      <c r="D327" s="20">
        <v>3.9834402852049906</v>
      </c>
    </row>
    <row r="328" spans="1:4">
      <c r="A328" s="27" t="s">
        <v>612</v>
      </c>
      <c r="B328" s="28">
        <v>247</v>
      </c>
      <c r="C328" s="20">
        <v>21.067166386554625</v>
      </c>
      <c r="D328" s="20">
        <v>8.5292171605484324</v>
      </c>
    </row>
    <row r="329" spans="1:4">
      <c r="A329" s="27" t="s">
        <v>613</v>
      </c>
      <c r="B329" s="28">
        <v>274</v>
      </c>
      <c r="C329" s="20">
        <v>11.704435294117644</v>
      </c>
      <c r="D329" s="20">
        <v>4.2716917131816219</v>
      </c>
    </row>
    <row r="330" spans="1:4">
      <c r="A330" s="27" t="s">
        <v>614</v>
      </c>
      <c r="B330" s="28">
        <v>88</v>
      </c>
      <c r="C330" s="20">
        <v>12.130527731092442</v>
      </c>
      <c r="D330" s="20">
        <v>13.784690603514138</v>
      </c>
    </row>
    <row r="331" spans="1:4">
      <c r="A331" s="27" t="s">
        <v>616</v>
      </c>
      <c r="B331" s="28">
        <v>263</v>
      </c>
      <c r="C331" s="20">
        <v>21.447590756302517</v>
      </c>
      <c r="D331" s="20">
        <v>8.1549774738792831</v>
      </c>
    </row>
    <row r="332" spans="1:4">
      <c r="A332" s="27" t="s">
        <v>617</v>
      </c>
      <c r="B332" s="28">
        <v>260</v>
      </c>
      <c r="C332" s="20">
        <v>15.858941176470594</v>
      </c>
      <c r="D332" s="20">
        <v>6.0995927601809976</v>
      </c>
    </row>
    <row r="333" spans="1:4">
      <c r="A333" s="27" t="s">
        <v>618</v>
      </c>
      <c r="B333" s="28">
        <v>130</v>
      </c>
      <c r="C333" s="20">
        <v>8.4432184873949652</v>
      </c>
      <c r="D333" s="20">
        <v>6.4947834518422818</v>
      </c>
    </row>
    <row r="334" spans="1:4">
      <c r="A334" s="27" t="s">
        <v>620</v>
      </c>
      <c r="B334" s="28">
        <v>134</v>
      </c>
      <c r="C334" s="20">
        <v>8.9476302521008435</v>
      </c>
      <c r="D334" s="20">
        <v>6.6773360090304807</v>
      </c>
    </row>
    <row r="335" spans="1:4">
      <c r="A335" s="27" t="s">
        <v>621</v>
      </c>
      <c r="B335" s="28">
        <v>279</v>
      </c>
      <c r="C335" s="20">
        <v>25.075720168067228</v>
      </c>
      <c r="D335" s="20">
        <v>8.9877133218878953</v>
      </c>
    </row>
    <row r="336" spans="1:4">
      <c r="A336" s="27" t="s">
        <v>622</v>
      </c>
      <c r="B336" s="28">
        <v>151</v>
      </c>
      <c r="C336" s="20">
        <v>5.8307663865546289</v>
      </c>
      <c r="D336" s="20">
        <v>3.8614346930825354</v>
      </c>
    </row>
    <row r="337" spans="1:4">
      <c r="A337" s="27" t="s">
        <v>623</v>
      </c>
      <c r="B337" s="28">
        <v>0</v>
      </c>
      <c r="C337" s="20">
        <v>123.79831932773109</v>
      </c>
      <c r="D337" s="20">
        <v>0</v>
      </c>
    </row>
    <row r="338" spans="1:4">
      <c r="A338" s="27" t="s">
        <v>624</v>
      </c>
      <c r="B338" s="28">
        <v>304</v>
      </c>
      <c r="C338" s="20">
        <v>21.361855462184863</v>
      </c>
      <c r="D338" s="20">
        <v>7.0269261388765987</v>
      </c>
    </row>
    <row r="339" spans="1:4">
      <c r="A339" s="27" t="s">
        <v>625</v>
      </c>
      <c r="B339" s="28">
        <v>250</v>
      </c>
      <c r="C339" s="20">
        <v>13.02310924369749</v>
      </c>
      <c r="D339" s="20">
        <v>5.2092436974789962</v>
      </c>
    </row>
    <row r="340" spans="1:4">
      <c r="A340" s="27" t="s">
        <v>627</v>
      </c>
      <c r="B340" s="28">
        <v>180</v>
      </c>
      <c r="C340" s="20">
        <v>20.496218487394962</v>
      </c>
      <c r="D340" s="20">
        <v>11.386788048552758</v>
      </c>
    </row>
    <row r="341" spans="1:4">
      <c r="A341" s="27" t="s">
        <v>629</v>
      </c>
      <c r="B341" s="28">
        <v>353</v>
      </c>
      <c r="C341" s="20">
        <v>39.426651260504208</v>
      </c>
      <c r="D341" s="20">
        <v>11.169023019972864</v>
      </c>
    </row>
    <row r="342" spans="1:4">
      <c r="A342" s="27" t="s">
        <v>630</v>
      </c>
      <c r="B342" s="28">
        <v>111</v>
      </c>
      <c r="C342" s="20">
        <v>5.0967092436974752</v>
      </c>
      <c r="D342" s="20">
        <v>4.5916299492770047</v>
      </c>
    </row>
    <row r="343" spans="1:4">
      <c r="A343" s="27" t="s">
        <v>632</v>
      </c>
      <c r="B343" s="28">
        <v>297</v>
      </c>
      <c r="C343" s="20">
        <v>29.336271428571436</v>
      </c>
      <c r="D343" s="20">
        <v>9.8775324675324701</v>
      </c>
    </row>
    <row r="344" spans="1:4">
      <c r="A344" s="27" t="s">
        <v>634</v>
      </c>
      <c r="B344" s="28">
        <v>284</v>
      </c>
      <c r="C344" s="20">
        <v>27.150208403361347</v>
      </c>
      <c r="D344" s="20">
        <v>9.5599325363948413</v>
      </c>
    </row>
    <row r="345" spans="1:4">
      <c r="A345" s="27" t="s">
        <v>636</v>
      </c>
      <c r="B345" s="28">
        <v>149</v>
      </c>
      <c r="C345" s="20">
        <v>7.1582134453781521</v>
      </c>
      <c r="D345" s="20">
        <v>4.8041700975692301</v>
      </c>
    </row>
    <row r="346" spans="1:4">
      <c r="A346" s="27" t="s">
        <v>637</v>
      </c>
      <c r="B346" s="28">
        <v>506</v>
      </c>
      <c r="C346" s="20">
        <v>55.941531092436989</v>
      </c>
      <c r="D346" s="20">
        <v>11.055638555817588</v>
      </c>
    </row>
    <row r="347" spans="1:4">
      <c r="A347" s="27" t="s">
        <v>638</v>
      </c>
      <c r="B347" s="28">
        <v>480</v>
      </c>
      <c r="C347" s="20">
        <v>51.341243697479015</v>
      </c>
      <c r="D347" s="20">
        <v>10.696092436974796</v>
      </c>
    </row>
    <row r="348" spans="1:4">
      <c r="A348" s="27" t="s">
        <v>639</v>
      </c>
      <c r="B348" s="28">
        <v>192</v>
      </c>
      <c r="C348" s="20">
        <v>19.56461176470588</v>
      </c>
      <c r="D348" s="20">
        <v>10.189901960784313</v>
      </c>
    </row>
    <row r="349" spans="1:4">
      <c r="A349" s="27" t="s">
        <v>641</v>
      </c>
      <c r="B349" s="28">
        <v>443</v>
      </c>
      <c r="C349" s="20">
        <v>50.123263025210093</v>
      </c>
      <c r="D349" s="20">
        <v>11.314506326232527</v>
      </c>
    </row>
    <row r="350" spans="1:4">
      <c r="A350" s="27" t="s">
        <v>643</v>
      </c>
      <c r="B350" s="28">
        <v>478</v>
      </c>
      <c r="C350" s="20">
        <v>44.717626890756321</v>
      </c>
      <c r="D350" s="20">
        <v>9.3551520691958832</v>
      </c>
    </row>
    <row r="351" spans="1:4">
      <c r="A351" s="27" t="s">
        <v>645</v>
      </c>
      <c r="B351" s="28">
        <v>182</v>
      </c>
      <c r="C351" s="20">
        <v>15.763465546218491</v>
      </c>
      <c r="D351" s="20">
        <v>8.6612448056145563</v>
      </c>
    </row>
    <row r="352" spans="1:4">
      <c r="A352" s="27" t="s">
        <v>647</v>
      </c>
      <c r="B352" s="28">
        <v>407</v>
      </c>
      <c r="C352" s="20">
        <v>47.843422689075624</v>
      </c>
      <c r="D352" s="20">
        <v>11.755140709846589</v>
      </c>
    </row>
    <row r="353" spans="1:4">
      <c r="A353" s="27" t="s">
        <v>649</v>
      </c>
      <c r="B353" s="28">
        <v>266</v>
      </c>
      <c r="C353" s="20">
        <v>22.149136134453798</v>
      </c>
      <c r="D353" s="20">
        <v>8.3267429076893986</v>
      </c>
    </row>
    <row r="354" spans="1:4">
      <c r="A354" s="27" t="s">
        <v>651</v>
      </c>
      <c r="B354" s="28">
        <v>289</v>
      </c>
      <c r="C354" s="20">
        <v>26.531779831932781</v>
      </c>
      <c r="D354" s="20">
        <v>9.1805466546480208</v>
      </c>
    </row>
    <row r="355" spans="1:4">
      <c r="A355" s="27" t="s">
        <v>653</v>
      </c>
      <c r="B355" s="28">
        <v>333</v>
      </c>
      <c r="C355" s="20">
        <v>29.077507563025222</v>
      </c>
      <c r="D355" s="20">
        <v>8.7319842531607268</v>
      </c>
    </row>
    <row r="356" spans="1:4">
      <c r="A356" s="27" t="s">
        <v>655</v>
      </c>
      <c r="B356" s="28">
        <v>645</v>
      </c>
      <c r="C356" s="20">
        <v>55.560243697478981</v>
      </c>
      <c r="D356" s="20">
        <v>8.6139912709269737</v>
      </c>
    </row>
    <row r="357" spans="1:4">
      <c r="A357" s="27" t="s">
        <v>657</v>
      </c>
      <c r="B357" s="28">
        <v>137</v>
      </c>
      <c r="C357" s="20">
        <v>8.1467000000000027</v>
      </c>
      <c r="D357" s="20">
        <v>5.9464963503649653</v>
      </c>
    </row>
    <row r="358" spans="1:4">
      <c r="A358" s="27" t="s">
        <v>658</v>
      </c>
      <c r="B358" s="28">
        <v>474</v>
      </c>
      <c r="C358" s="20">
        <v>48.585744537815131</v>
      </c>
      <c r="D358" s="20">
        <v>10.250157075488424</v>
      </c>
    </row>
    <row r="359" spans="1:4">
      <c r="A359" s="27" t="s">
        <v>659</v>
      </c>
      <c r="B359" s="28">
        <v>546</v>
      </c>
      <c r="C359" s="20">
        <v>63.276442016806712</v>
      </c>
      <c r="D359" s="20">
        <v>11.589091944470093</v>
      </c>
    </row>
    <row r="360" spans="1:4">
      <c r="A360" s="27" t="s">
        <v>661</v>
      </c>
      <c r="B360" s="28">
        <v>149</v>
      </c>
      <c r="C360" s="20">
        <v>6.9753747899159748</v>
      </c>
      <c r="D360" s="20">
        <v>4.6814595905476342</v>
      </c>
    </row>
    <row r="361" spans="1:4">
      <c r="A361" s="27" t="s">
        <v>663</v>
      </c>
      <c r="B361" s="28">
        <v>372</v>
      </c>
      <c r="C361" s="20">
        <v>35.33176134453781</v>
      </c>
      <c r="D361" s="20">
        <v>9.4977853076714531</v>
      </c>
    </row>
    <row r="362" spans="1:4">
      <c r="A362" s="27" t="s">
        <v>664</v>
      </c>
      <c r="B362" s="28">
        <v>117</v>
      </c>
      <c r="C362" s="20">
        <v>6.550363865546224</v>
      </c>
      <c r="D362" s="20">
        <v>5.5986015944839522</v>
      </c>
    </row>
    <row r="363" spans="1:4">
      <c r="A363" s="27" t="s">
        <v>666</v>
      </c>
      <c r="B363" s="28">
        <v>154</v>
      </c>
      <c r="C363" s="20">
        <v>12.324119327731097</v>
      </c>
      <c r="D363" s="20">
        <v>8.0026748881370757</v>
      </c>
    </row>
    <row r="364" spans="1:4">
      <c r="A364" s="27" t="s">
        <v>667</v>
      </c>
      <c r="B364" s="28">
        <v>231</v>
      </c>
      <c r="C364" s="20">
        <v>19.952552100840336</v>
      </c>
      <c r="D364" s="20">
        <v>8.6374684419222234</v>
      </c>
    </row>
    <row r="365" spans="1:4">
      <c r="A365" s="27" t="s">
        <v>668</v>
      </c>
      <c r="B365" s="28">
        <v>131</v>
      </c>
      <c r="C365" s="20">
        <v>7.0823638655462275</v>
      </c>
      <c r="D365" s="20">
        <v>5.4063846301879597</v>
      </c>
    </row>
    <row r="366" spans="1:4">
      <c r="A366" s="27" t="s">
        <v>669</v>
      </c>
      <c r="B366" s="28">
        <v>529</v>
      </c>
      <c r="C366" s="20">
        <v>45.713980672268917</v>
      </c>
      <c r="D366" s="20">
        <v>8.641584248065957</v>
      </c>
    </row>
    <row r="367" spans="1:4">
      <c r="A367" s="27" t="s">
        <v>671</v>
      </c>
      <c r="B367" s="28">
        <v>395</v>
      </c>
      <c r="C367" s="20">
        <v>31.925474789915953</v>
      </c>
      <c r="D367" s="20">
        <v>8.0823986809913801</v>
      </c>
    </row>
    <row r="368" spans="1:4">
      <c r="A368" s="27" t="s">
        <v>672</v>
      </c>
      <c r="B368" s="28">
        <v>227</v>
      </c>
      <c r="C368" s="20">
        <v>16.85624285714286</v>
      </c>
      <c r="D368" s="20">
        <v>7.4256576463184398</v>
      </c>
    </row>
    <row r="369" spans="1:4">
      <c r="A369" s="27" t="s">
        <v>674</v>
      </c>
      <c r="B369" s="28">
        <v>111</v>
      </c>
      <c r="C369" s="20">
        <v>5.9300848739495819</v>
      </c>
      <c r="D369" s="20">
        <v>5.3424188053599835</v>
      </c>
    </row>
    <row r="370" spans="1:4">
      <c r="A370" s="27" t="s">
        <v>676</v>
      </c>
      <c r="B370" s="28">
        <v>85</v>
      </c>
      <c r="C370" s="20">
        <v>8.6708613445378191</v>
      </c>
      <c r="D370" s="20">
        <v>10.201013346515081</v>
      </c>
    </row>
    <row r="371" spans="1:4">
      <c r="A371" s="27" t="s">
        <v>678</v>
      </c>
      <c r="B371" s="28">
        <v>171</v>
      </c>
      <c r="C371" s="20">
        <v>16.284223529411754</v>
      </c>
      <c r="D371" s="20">
        <v>9.5229377364981023</v>
      </c>
    </row>
    <row r="372" spans="1:4">
      <c r="A372" s="27" t="s">
        <v>679</v>
      </c>
      <c r="B372" s="28">
        <v>611</v>
      </c>
      <c r="C372" s="20">
        <v>49.740696638655464</v>
      </c>
      <c r="D372" s="20">
        <v>8.1408668803036761</v>
      </c>
    </row>
    <row r="373" spans="1:4">
      <c r="A373" s="27" t="s">
        <v>680</v>
      </c>
      <c r="B373" s="28">
        <v>212</v>
      </c>
      <c r="C373" s="20">
        <v>10.892262184873957</v>
      </c>
      <c r="D373" s="20">
        <v>5.1378595211669609</v>
      </c>
    </row>
    <row r="374" spans="1:4">
      <c r="A374" s="27" t="s">
        <v>681</v>
      </c>
      <c r="B374" s="28">
        <v>126</v>
      </c>
      <c r="C374" s="20">
        <v>4.7976268907563124</v>
      </c>
      <c r="D374" s="20">
        <v>3.8076403894891371</v>
      </c>
    </row>
    <row r="375" spans="1:4">
      <c r="A375" s="27" t="s">
        <v>682</v>
      </c>
      <c r="B375" s="28">
        <v>217</v>
      </c>
      <c r="C375" s="20">
        <v>15.047405042016806</v>
      </c>
      <c r="D375" s="20">
        <v>6.9342880377957634</v>
      </c>
    </row>
    <row r="376" spans="1:4">
      <c r="A376" s="27" t="s">
        <v>684</v>
      </c>
      <c r="B376" s="28">
        <v>323</v>
      </c>
      <c r="C376" s="20">
        <v>25.732342016806726</v>
      </c>
      <c r="D376" s="20">
        <v>7.9666693550485226</v>
      </c>
    </row>
    <row r="377" spans="1:4">
      <c r="A377" s="27" t="s">
        <v>685</v>
      </c>
      <c r="B377" s="28">
        <v>420</v>
      </c>
      <c r="C377" s="20">
        <v>47.852907563025227</v>
      </c>
      <c r="D377" s="20">
        <v>11.393549419767911</v>
      </c>
    </row>
    <row r="378" spans="1:4">
      <c r="A378" s="27" t="s">
        <v>687</v>
      </c>
      <c r="B378" s="28">
        <v>119</v>
      </c>
      <c r="C378" s="20">
        <v>9.0450789915966396</v>
      </c>
      <c r="D378" s="20">
        <v>7.6009067156274286</v>
      </c>
    </row>
    <row r="379" spans="1:4">
      <c r="A379" s="27" t="s">
        <v>689</v>
      </c>
      <c r="B379" s="28">
        <v>624</v>
      </c>
      <c r="C379" s="20">
        <v>42.91481008403359</v>
      </c>
      <c r="D379" s="20">
        <v>6.8773734109028188</v>
      </c>
    </row>
    <row r="380" spans="1:4">
      <c r="A380" s="27" t="s">
        <v>690</v>
      </c>
      <c r="B380" s="28">
        <v>307</v>
      </c>
      <c r="C380" s="20">
        <v>24.025545378151264</v>
      </c>
      <c r="D380" s="20">
        <v>7.8259105466290766</v>
      </c>
    </row>
    <row r="381" spans="1:4">
      <c r="A381" s="27" t="s">
        <v>692</v>
      </c>
      <c r="B381" s="28">
        <v>395</v>
      </c>
      <c r="C381" s="20">
        <v>32.392050420168061</v>
      </c>
      <c r="D381" s="20">
        <v>8.2005190937134333</v>
      </c>
    </row>
    <row r="382" spans="1:4">
      <c r="A382" s="27" t="s">
        <v>694</v>
      </c>
      <c r="B382" s="28">
        <v>150</v>
      </c>
      <c r="C382" s="20">
        <v>-44.024999999999999</v>
      </c>
      <c r="D382" s="20">
        <v>-29.349999999999998</v>
      </c>
    </row>
    <row r="383" spans="1:4">
      <c r="A383" s="27" t="s">
        <v>695</v>
      </c>
      <c r="B383" s="28">
        <v>243</v>
      </c>
      <c r="C383" s="20">
        <v>21.361037815126068</v>
      </c>
      <c r="D383" s="20">
        <v>8.7905505412041425</v>
      </c>
    </row>
    <row r="384" spans="1:4">
      <c r="A384" s="27" t="s">
        <v>696</v>
      </c>
      <c r="B384" s="28">
        <v>494</v>
      </c>
      <c r="C384" s="20">
        <v>40.962285714285713</v>
      </c>
      <c r="D384" s="20">
        <v>8.291960670908038</v>
      </c>
    </row>
    <row r="385" spans="1:4">
      <c r="A385" s="27" t="s">
        <v>697</v>
      </c>
      <c r="B385" s="28">
        <v>94</v>
      </c>
      <c r="C385" s="20">
        <v>12.013346218487399</v>
      </c>
      <c r="D385" s="20">
        <v>12.78015555158234</v>
      </c>
    </row>
    <row r="386" spans="1:4">
      <c r="A386" s="27" t="s">
        <v>699</v>
      </c>
      <c r="B386" s="28">
        <v>360</v>
      </c>
      <c r="C386" s="20">
        <v>42.452302521008392</v>
      </c>
      <c r="D386" s="20">
        <v>11.792306255835665</v>
      </c>
    </row>
    <row r="387" spans="1:4">
      <c r="A387" s="27" t="s">
        <v>700</v>
      </c>
      <c r="B387" s="28">
        <v>288</v>
      </c>
      <c r="C387" s="20">
        <v>26.667307563025219</v>
      </c>
      <c r="D387" s="20">
        <v>9.2594817927170894</v>
      </c>
    </row>
    <row r="388" spans="1:4">
      <c r="A388" s="27" t="s">
        <v>702</v>
      </c>
      <c r="B388" s="28">
        <v>125</v>
      </c>
      <c r="C388" s="20">
        <v>5.7421218487395009</v>
      </c>
      <c r="D388" s="20">
        <v>4.5936974789916007</v>
      </c>
    </row>
    <row r="389" spans="1:4">
      <c r="A389" s="27" t="s">
        <v>704</v>
      </c>
      <c r="B389" s="28">
        <v>120</v>
      </c>
      <c r="C389" s="20">
        <v>11.413445378151259</v>
      </c>
      <c r="D389" s="20">
        <v>9.511204481792717</v>
      </c>
    </row>
    <row r="390" spans="1:4">
      <c r="A390" s="27" t="s">
        <v>706</v>
      </c>
      <c r="B390" s="28">
        <v>288</v>
      </c>
      <c r="C390" s="20">
        <v>21.625304201680677</v>
      </c>
      <c r="D390" s="20">
        <v>7.5087861811391239</v>
      </c>
    </row>
    <row r="391" spans="1:4">
      <c r="A391" s="27" t="s">
        <v>708</v>
      </c>
      <c r="B391" s="28">
        <v>147</v>
      </c>
      <c r="C391" s="20">
        <v>4.6342579831932795</v>
      </c>
      <c r="D391" s="20">
        <v>3.1525564511518911</v>
      </c>
    </row>
    <row r="392" spans="1:4">
      <c r="A392" s="27" t="s">
        <v>710</v>
      </c>
      <c r="B392" s="28">
        <v>193</v>
      </c>
      <c r="C392" s="20">
        <v>21.373873949579831</v>
      </c>
      <c r="D392" s="20">
        <v>11.074546087865198</v>
      </c>
    </row>
    <row r="393" spans="1:4">
      <c r="A393" s="27" t="s">
        <v>711</v>
      </c>
      <c r="B393" s="28">
        <v>134</v>
      </c>
      <c r="C393" s="20">
        <v>10.707107563025211</v>
      </c>
      <c r="D393" s="20">
        <v>7.990378778377023</v>
      </c>
    </row>
    <row r="394" spans="1:4">
      <c r="A394" s="27" t="s">
        <v>712</v>
      </c>
      <c r="B394" s="28">
        <v>190</v>
      </c>
      <c r="C394" s="20">
        <v>16.943260504201689</v>
      </c>
      <c r="D394" s="20">
        <v>8.9175055285272045</v>
      </c>
    </row>
    <row r="395" spans="1:4">
      <c r="A395" s="27" t="s">
        <v>713</v>
      </c>
      <c r="B395" s="28">
        <v>146</v>
      </c>
      <c r="C395" s="20">
        <v>10.132349579831939</v>
      </c>
      <c r="D395" s="20">
        <v>6.9399654656383145</v>
      </c>
    </row>
    <row r="396" spans="1:4">
      <c r="A396" s="27" t="s">
        <v>714</v>
      </c>
      <c r="B396" s="28">
        <v>552</v>
      </c>
      <c r="C396" s="20">
        <v>54.414507563025225</v>
      </c>
      <c r="D396" s="20">
        <v>9.8577006454755836</v>
      </c>
    </row>
    <row r="397" spans="1:4">
      <c r="A397" s="27" t="s">
        <v>716</v>
      </c>
      <c r="B397" s="28">
        <v>652</v>
      </c>
      <c r="C397" s="20">
        <v>64.804352941176504</v>
      </c>
      <c r="D397" s="20">
        <v>9.9393179357632668</v>
      </c>
    </row>
    <row r="398" spans="1:4">
      <c r="A398" s="27" t="s">
        <v>717</v>
      </c>
      <c r="B398" s="28">
        <v>356</v>
      </c>
      <c r="C398" s="20">
        <v>27.736921008403357</v>
      </c>
      <c r="D398" s="20">
        <v>7.7912699461807176</v>
      </c>
    </row>
    <row r="399" spans="1:4">
      <c r="A399" s="27" t="s">
        <v>718</v>
      </c>
      <c r="B399" s="28">
        <v>176</v>
      </c>
      <c r="C399" s="20">
        <v>16.766843697479004</v>
      </c>
      <c r="D399" s="20">
        <v>9.5266157372039793</v>
      </c>
    </row>
    <row r="400" spans="1:4">
      <c r="A400" s="27" t="s">
        <v>720</v>
      </c>
      <c r="B400" s="28">
        <v>107</v>
      </c>
      <c r="C400" s="20">
        <v>6.616264705882358</v>
      </c>
      <c r="D400" s="20">
        <v>6.1834249587685592</v>
      </c>
    </row>
    <row r="401" spans="1:4">
      <c r="A401" s="27" t="s">
        <v>722</v>
      </c>
      <c r="B401" s="28">
        <v>420</v>
      </c>
      <c r="C401" s="20">
        <v>41.491109243697466</v>
      </c>
      <c r="D401" s="20">
        <v>9.8788355342136835</v>
      </c>
    </row>
    <row r="402" spans="1:4">
      <c r="A402" s="27" t="s">
        <v>724</v>
      </c>
      <c r="B402" s="28">
        <v>104</v>
      </c>
      <c r="C402" s="20">
        <v>11.088631932773112</v>
      </c>
      <c r="D402" s="20">
        <v>10.662146089204914</v>
      </c>
    </row>
    <row r="403" spans="1:4">
      <c r="A403" s="27" t="s">
        <v>725</v>
      </c>
      <c r="B403" s="28">
        <v>159</v>
      </c>
      <c r="C403" s="20">
        <v>10.597517647058822</v>
      </c>
      <c r="D403" s="20">
        <v>6.6651054384017749</v>
      </c>
    </row>
    <row r="404" spans="1:4">
      <c r="A404" s="27" t="s">
        <v>727</v>
      </c>
      <c r="B404" s="28">
        <v>104</v>
      </c>
      <c r="C404" s="20">
        <v>10.826440336134453</v>
      </c>
      <c r="D404" s="20">
        <v>10.410038784744668</v>
      </c>
    </row>
    <row r="405" spans="1:4">
      <c r="A405" s="27" t="s">
        <v>728</v>
      </c>
      <c r="B405" s="28">
        <v>212</v>
      </c>
      <c r="C405" s="20">
        <v>25.92736470588234</v>
      </c>
      <c r="D405" s="20">
        <v>12.229889012208652</v>
      </c>
    </row>
    <row r="406" spans="1:4">
      <c r="A406" s="27" t="s">
        <v>729</v>
      </c>
      <c r="B406" s="28">
        <v>587</v>
      </c>
      <c r="C406" s="20">
        <v>65.988173949579831</v>
      </c>
      <c r="D406" s="20">
        <v>11.241596924971011</v>
      </c>
    </row>
    <row r="407" spans="1:4">
      <c r="A407" s="27" t="s">
        <v>731</v>
      </c>
      <c r="B407" s="28">
        <v>242</v>
      </c>
      <c r="C407" s="20">
        <v>20.925260504201681</v>
      </c>
      <c r="D407" s="20">
        <v>8.6468018612403643</v>
      </c>
    </row>
    <row r="408" spans="1:4">
      <c r="A408" s="27" t="s">
        <v>732</v>
      </c>
      <c r="B408" s="28">
        <v>296</v>
      </c>
      <c r="C408" s="20">
        <v>15.01417142857143</v>
      </c>
      <c r="D408" s="20">
        <v>5.0723552123552134</v>
      </c>
    </row>
    <row r="409" spans="1:4">
      <c r="A409" s="27" t="s">
        <v>734</v>
      </c>
      <c r="B409" s="28">
        <v>88</v>
      </c>
      <c r="C409" s="20">
        <v>9.3725109243697489</v>
      </c>
      <c r="D409" s="20">
        <v>10.650580595874715</v>
      </c>
    </row>
    <row r="410" spans="1:4">
      <c r="A410" s="27" t="s">
        <v>736</v>
      </c>
      <c r="B410" s="28">
        <v>496</v>
      </c>
      <c r="C410" s="20">
        <v>32.524168067226881</v>
      </c>
      <c r="D410" s="20">
        <v>6.5572919490376771</v>
      </c>
    </row>
    <row r="411" spans="1:4">
      <c r="A411" s="27" t="s">
        <v>738</v>
      </c>
      <c r="B411" s="28">
        <v>173</v>
      </c>
      <c r="C411" s="20">
        <v>15.902669747899168</v>
      </c>
      <c r="D411" s="20">
        <v>9.1922946519648363</v>
      </c>
    </row>
    <row r="412" spans="1:4">
      <c r="A412" s="27" t="s">
        <v>739</v>
      </c>
      <c r="B412" s="28">
        <v>177</v>
      </c>
      <c r="C412" s="20">
        <v>16.849419327731098</v>
      </c>
      <c r="D412" s="20">
        <v>9.5194459478706772</v>
      </c>
    </row>
    <row r="413" spans="1:4">
      <c r="A413" s="27" t="s">
        <v>741</v>
      </c>
      <c r="B413" s="28">
        <v>159</v>
      </c>
      <c r="C413" s="20">
        <v>10.137016806722684</v>
      </c>
      <c r="D413" s="20">
        <v>6.3754822683790469</v>
      </c>
    </row>
    <row r="414" spans="1:4">
      <c r="A414" s="27" t="s">
        <v>743</v>
      </c>
      <c r="B414" s="28">
        <v>380</v>
      </c>
      <c r="C414" s="20">
        <v>35.356487394957981</v>
      </c>
      <c r="D414" s="20">
        <v>9.304338788146838</v>
      </c>
    </row>
    <row r="415" spans="1:4">
      <c r="A415" s="27" t="s">
        <v>744</v>
      </c>
      <c r="B415" s="28">
        <v>255</v>
      </c>
      <c r="C415" s="20">
        <v>21.832172268907577</v>
      </c>
      <c r="D415" s="20">
        <v>8.561636183885323</v>
      </c>
    </row>
    <row r="416" spans="1:4">
      <c r="A416" s="27" t="s">
        <v>745</v>
      </c>
      <c r="B416" s="28">
        <v>118</v>
      </c>
      <c r="C416" s="20">
        <v>11.605823529411765</v>
      </c>
      <c r="D416" s="20">
        <v>9.8354436689930207</v>
      </c>
    </row>
    <row r="417" spans="1:4">
      <c r="A417" s="27" t="s">
        <v>747</v>
      </c>
      <c r="B417" s="28">
        <v>112</v>
      </c>
      <c r="C417" s="20">
        <v>8.7390386554621813</v>
      </c>
      <c r="D417" s="20">
        <v>7.8027130852340907</v>
      </c>
    </row>
    <row r="418" spans="1:4">
      <c r="A418" s="27" t="s">
        <v>749</v>
      </c>
      <c r="B418" s="28">
        <v>316</v>
      </c>
      <c r="C418" s="20">
        <v>14.832813445378164</v>
      </c>
      <c r="D418" s="20">
        <v>4.6939283054994192</v>
      </c>
    </row>
    <row r="419" spans="1:4">
      <c r="A419" s="27" t="s">
        <v>750</v>
      </c>
      <c r="B419" s="28">
        <v>171</v>
      </c>
      <c r="C419" s="20">
        <v>13.639678991596639</v>
      </c>
      <c r="D419" s="20">
        <v>7.976420462922011</v>
      </c>
    </row>
    <row r="420" spans="1:4">
      <c r="A420" s="27" t="s">
        <v>751</v>
      </c>
      <c r="B420" s="28">
        <v>139</v>
      </c>
      <c r="C420" s="20">
        <v>7.9389327731092436</v>
      </c>
      <c r="D420" s="20">
        <v>5.7114624266972971</v>
      </c>
    </row>
    <row r="421" spans="1:4">
      <c r="A421" s="27" t="s">
        <v>752</v>
      </c>
      <c r="B421" s="28">
        <v>655</v>
      </c>
      <c r="C421" s="20">
        <v>44.782546218487397</v>
      </c>
      <c r="D421" s="20">
        <v>6.8370299570209765</v>
      </c>
    </row>
    <row r="422" spans="1:4">
      <c r="A422" s="27" t="s">
        <v>754</v>
      </c>
      <c r="B422" s="28">
        <v>130</v>
      </c>
      <c r="C422" s="20">
        <v>12.514823529411764</v>
      </c>
      <c r="D422" s="20">
        <v>9.6267873303167413</v>
      </c>
    </row>
    <row r="423" spans="1:4">
      <c r="A423" s="27" t="s">
        <v>755</v>
      </c>
      <c r="B423" s="28">
        <v>322</v>
      </c>
      <c r="C423" s="20">
        <v>-73.641400000000004</v>
      </c>
      <c r="D423" s="20">
        <v>-22.87</v>
      </c>
    </row>
    <row r="424" spans="1:4">
      <c r="A424" s="27" t="s">
        <v>757</v>
      </c>
      <c r="B424" s="28">
        <v>350</v>
      </c>
      <c r="C424" s="20">
        <v>29.921386554621847</v>
      </c>
      <c r="D424" s="20">
        <v>8.548967587034813</v>
      </c>
    </row>
    <row r="425" spans="1:4">
      <c r="A425" s="27" t="s">
        <v>759</v>
      </c>
      <c r="B425" s="28">
        <v>236</v>
      </c>
      <c r="C425" s="20">
        <v>20.241008403361349</v>
      </c>
      <c r="D425" s="20">
        <v>8.5766984760005709</v>
      </c>
    </row>
    <row r="426" spans="1:4">
      <c r="A426" s="27" t="s">
        <v>761</v>
      </c>
      <c r="B426" s="28">
        <v>210</v>
      </c>
      <c r="C426" s="20">
        <v>18.006764705882361</v>
      </c>
      <c r="D426" s="20">
        <v>8.57464985994398</v>
      </c>
    </row>
    <row r="427" spans="1:4">
      <c r="A427" s="27" t="s">
        <v>763</v>
      </c>
      <c r="B427" s="28">
        <v>0</v>
      </c>
      <c r="C427" s="20">
        <v>88.77310924369749</v>
      </c>
      <c r="D427" s="20">
        <v>0</v>
      </c>
    </row>
    <row r="428" spans="1:4">
      <c r="A428" s="27" t="s">
        <v>765</v>
      </c>
      <c r="B428" s="28">
        <v>165</v>
      </c>
      <c r="C428" s="20">
        <v>6.385731092436977</v>
      </c>
      <c r="D428" s="20">
        <v>3.87014005602241</v>
      </c>
    </row>
    <row r="429" spans="1:4">
      <c r="A429" s="27" t="s">
        <v>766</v>
      </c>
      <c r="B429" s="28">
        <v>419</v>
      </c>
      <c r="C429" s="20">
        <v>27.72638151260503</v>
      </c>
      <c r="D429" s="20">
        <v>6.6172748240107468</v>
      </c>
    </row>
    <row r="430" spans="1:4">
      <c r="A430" s="27" t="s">
        <v>767</v>
      </c>
      <c r="B430" s="28">
        <v>276</v>
      </c>
      <c r="C430" s="20">
        <v>22.360803361344551</v>
      </c>
      <c r="D430" s="20">
        <v>8.1017403483132444</v>
      </c>
    </row>
    <row r="431" spans="1:4">
      <c r="A431" s="27" t="s">
        <v>769</v>
      </c>
      <c r="B431" s="28">
        <v>399</v>
      </c>
      <c r="C431" s="20">
        <v>35.77392857142857</v>
      </c>
      <c r="D431" s="20">
        <v>8.9658968850698173</v>
      </c>
    </row>
    <row r="432" spans="1:4">
      <c r="A432" s="27" t="s">
        <v>770</v>
      </c>
      <c r="B432" s="28">
        <v>130</v>
      </c>
      <c r="C432" s="20">
        <v>11.16834453781513</v>
      </c>
      <c r="D432" s="20">
        <v>8.5910342598577927</v>
      </c>
    </row>
    <row r="433" spans="1:4">
      <c r="A433" s="27" t="s">
        <v>771</v>
      </c>
      <c r="B433" s="28">
        <v>122</v>
      </c>
      <c r="C433" s="20">
        <v>10.313282352941179</v>
      </c>
      <c r="D433" s="20">
        <v>8.4535101253616229</v>
      </c>
    </row>
    <row r="434" spans="1:4">
      <c r="A434" s="27" t="s">
        <v>773</v>
      </c>
      <c r="B434" s="28">
        <v>165</v>
      </c>
      <c r="C434" s="20">
        <v>11.775714285714287</v>
      </c>
      <c r="D434" s="20">
        <v>7.1367965367965374</v>
      </c>
    </row>
    <row r="435" spans="1:4">
      <c r="A435" s="27" t="s">
        <v>774</v>
      </c>
      <c r="B435" s="28">
        <v>268</v>
      </c>
      <c r="C435" s="20">
        <v>21.651852100840337</v>
      </c>
      <c r="D435" s="20">
        <v>8.079049291358336</v>
      </c>
    </row>
    <row r="436" spans="1:4">
      <c r="A436" s="27" t="s">
        <v>776</v>
      </c>
      <c r="B436" s="28">
        <v>225</v>
      </c>
      <c r="C436" s="20">
        <v>16.807268907563021</v>
      </c>
      <c r="D436" s="20">
        <v>7.4698972922502316</v>
      </c>
    </row>
    <row r="437" spans="1:4">
      <c r="A437" s="27" t="s">
        <v>777</v>
      </c>
      <c r="B437" s="28">
        <v>371</v>
      </c>
      <c r="C437" s="20">
        <v>19.887235294117644</v>
      </c>
      <c r="D437" s="20">
        <v>5.3604407800856189</v>
      </c>
    </row>
    <row r="438" spans="1:4">
      <c r="A438" s="27" t="s">
        <v>778</v>
      </c>
      <c r="B438" s="28">
        <v>192</v>
      </c>
      <c r="C438" s="20">
        <v>24.486413445378147</v>
      </c>
      <c r="D438" s="20">
        <v>12.753340336134453</v>
      </c>
    </row>
    <row r="439" spans="1:4">
      <c r="A439" s="27" t="s">
        <v>780</v>
      </c>
      <c r="B439" s="28">
        <v>408</v>
      </c>
      <c r="C439" s="20">
        <v>49.118157983193285</v>
      </c>
      <c r="D439" s="20">
        <v>12.038764211566981</v>
      </c>
    </row>
    <row r="440" spans="1:4">
      <c r="A440" s="27" t="s">
        <v>782</v>
      </c>
      <c r="B440" s="28">
        <v>104</v>
      </c>
      <c r="C440" s="20">
        <v>9.3865478991596731</v>
      </c>
      <c r="D440" s="20">
        <v>9.025526826115069</v>
      </c>
    </row>
    <row r="441" spans="1:4">
      <c r="A441" s="27" t="s">
        <v>784</v>
      </c>
      <c r="B441" s="28">
        <v>617</v>
      </c>
      <c r="C441" s="20">
        <v>70.130010924369756</v>
      </c>
      <c r="D441" s="20">
        <v>11.366290263269004</v>
      </c>
    </row>
    <row r="442" spans="1:4">
      <c r="A442" s="27" t="s">
        <v>786</v>
      </c>
      <c r="B442" s="28">
        <v>520</v>
      </c>
      <c r="C442" s="20">
        <v>43.331495798319338</v>
      </c>
      <c r="D442" s="20">
        <v>8.3329799612152566</v>
      </c>
    </row>
    <row r="443" spans="1:4">
      <c r="A443" s="27" t="s">
        <v>788</v>
      </c>
      <c r="B443" s="28">
        <v>508</v>
      </c>
      <c r="C443" s="20">
        <v>31.956329411764699</v>
      </c>
      <c r="D443" s="20">
        <v>6.2906160259379327</v>
      </c>
    </row>
    <row r="444" spans="1:4">
      <c r="A444" s="27" t="s">
        <v>790</v>
      </c>
      <c r="B444" s="28">
        <v>371</v>
      </c>
      <c r="C444" s="20">
        <v>37.207926890756312</v>
      </c>
      <c r="D444" s="20">
        <v>10.029090806133777</v>
      </c>
    </row>
    <row r="445" spans="1:4">
      <c r="A445" s="27" t="s">
        <v>791</v>
      </c>
      <c r="B445" s="28">
        <v>620</v>
      </c>
      <c r="C445" s="20">
        <v>47.711428571428584</v>
      </c>
      <c r="D445" s="20">
        <v>7.6953917050691265</v>
      </c>
    </row>
    <row r="446" spans="1:4">
      <c r="A446" s="27" t="s">
        <v>793</v>
      </c>
      <c r="B446" s="28">
        <v>287</v>
      </c>
      <c r="C446" s="20">
        <v>31.307490756302514</v>
      </c>
      <c r="D446" s="20">
        <v>10.908533364565336</v>
      </c>
    </row>
    <row r="447" spans="1:4">
      <c r="A447" s="27" t="s">
        <v>794</v>
      </c>
      <c r="B447" s="28">
        <v>89</v>
      </c>
      <c r="C447" s="20">
        <v>9.8487016806722707</v>
      </c>
      <c r="D447" s="20">
        <v>11.065956944575586</v>
      </c>
    </row>
    <row r="448" spans="1:4">
      <c r="A448" s="27" t="s">
        <v>796</v>
      </c>
      <c r="B448" s="28">
        <v>142</v>
      </c>
      <c r="C448" s="20">
        <v>12.57911260504202</v>
      </c>
      <c r="D448" s="20">
        <v>8.8585300035507188</v>
      </c>
    </row>
    <row r="449" spans="1:4">
      <c r="A449" s="27" t="s">
        <v>797</v>
      </c>
      <c r="B449" s="28">
        <v>514</v>
      </c>
      <c r="C449" s="20">
        <v>40.898010084033615</v>
      </c>
      <c r="D449" s="20">
        <v>7.9568113003956453</v>
      </c>
    </row>
    <row r="450" spans="1:4">
      <c r="A450" s="27" t="s">
        <v>799</v>
      </c>
      <c r="B450" s="28">
        <v>181</v>
      </c>
      <c r="C450" s="20">
        <v>14.654285714285713</v>
      </c>
      <c r="D450" s="20">
        <v>8.0962904498816091</v>
      </c>
    </row>
    <row r="451" spans="1:4">
      <c r="A451" s="27" t="s">
        <v>800</v>
      </c>
      <c r="B451" s="28">
        <v>486</v>
      </c>
      <c r="C451" s="20">
        <v>28.572277310924363</v>
      </c>
      <c r="D451" s="20">
        <v>5.8790694055399921</v>
      </c>
    </row>
    <row r="452" spans="1:4">
      <c r="A452" s="27" t="s">
        <v>802</v>
      </c>
      <c r="B452" s="28">
        <v>248</v>
      </c>
      <c r="C452" s="20">
        <v>24.4968</v>
      </c>
      <c r="D452" s="20">
        <v>9.8777419354838703</v>
      </c>
    </row>
    <row r="453" spans="1:4">
      <c r="A453" s="27" t="s">
        <v>804</v>
      </c>
      <c r="B453" s="28">
        <v>97</v>
      </c>
      <c r="C453" s="20">
        <v>9.9738378151260569</v>
      </c>
      <c r="D453" s="20">
        <v>10.282307025903153</v>
      </c>
    </row>
    <row r="454" spans="1:4">
      <c r="A454" s="27" t="s">
        <v>806</v>
      </c>
      <c r="B454" s="28">
        <v>162</v>
      </c>
      <c r="C454" s="20">
        <v>11.252685714285725</v>
      </c>
      <c r="D454" s="20">
        <v>6.9461022927689662</v>
      </c>
    </row>
    <row r="455" spans="1:4">
      <c r="A455" s="27" t="s">
        <v>807</v>
      </c>
      <c r="B455" s="28">
        <v>308</v>
      </c>
      <c r="C455" s="20">
        <v>32.979643697478991</v>
      </c>
      <c r="D455" s="20">
        <v>10.707676525155517</v>
      </c>
    </row>
    <row r="456" spans="1:4">
      <c r="A456" s="27" t="s">
        <v>808</v>
      </c>
      <c r="B456" s="28">
        <v>278</v>
      </c>
      <c r="C456" s="20">
        <v>20.678047058823523</v>
      </c>
      <c r="D456" s="20">
        <v>7.4381464240372379</v>
      </c>
    </row>
    <row r="457" spans="1:4">
      <c r="A457" s="27" t="s">
        <v>810</v>
      </c>
      <c r="B457" s="28">
        <v>122</v>
      </c>
      <c r="C457" s="20">
        <v>9.0967663865546271</v>
      </c>
      <c r="D457" s="20">
        <v>7.4563658906185468</v>
      </c>
    </row>
    <row r="458" spans="1:4">
      <c r="A458" s="27" t="s">
        <v>812</v>
      </c>
      <c r="B458" s="28">
        <v>235</v>
      </c>
      <c r="C458" s="20">
        <v>17.07742857142857</v>
      </c>
      <c r="D458" s="20">
        <v>7.2669908814589661</v>
      </c>
    </row>
    <row r="459" spans="1:4">
      <c r="A459" s="27" t="s">
        <v>814</v>
      </c>
      <c r="B459" s="28">
        <v>138</v>
      </c>
      <c r="C459" s="20">
        <v>7.9147798319327691</v>
      </c>
      <c r="D459" s="20">
        <v>5.7353477042991079</v>
      </c>
    </row>
    <row r="460" spans="1:4">
      <c r="A460" s="27" t="s">
        <v>815</v>
      </c>
      <c r="B460" s="28">
        <v>258</v>
      </c>
      <c r="C460" s="20">
        <v>-66.151200000000003</v>
      </c>
      <c r="D460" s="20">
        <v>-25.64</v>
      </c>
    </row>
    <row r="461" spans="1:4">
      <c r="A461" s="27" t="s">
        <v>816</v>
      </c>
      <c r="B461" s="28">
        <v>88</v>
      </c>
      <c r="C461" s="20">
        <v>8.1446319327731125</v>
      </c>
      <c r="D461" s="20">
        <v>9.2552635599694462</v>
      </c>
    </row>
    <row r="462" spans="1:4">
      <c r="A462" s="27" t="s">
        <v>818</v>
      </c>
      <c r="B462" s="28">
        <v>504</v>
      </c>
      <c r="C462" s="20">
        <v>49.416490756302494</v>
      </c>
      <c r="D462" s="20">
        <v>9.8048592770441445</v>
      </c>
    </row>
    <row r="463" spans="1:4">
      <c r="A463" s="27" t="s">
        <v>819</v>
      </c>
      <c r="B463" s="28">
        <v>151</v>
      </c>
      <c r="C463" s="20">
        <v>11.330773109243701</v>
      </c>
      <c r="D463" s="20">
        <v>7.5038232511547687</v>
      </c>
    </row>
    <row r="464" spans="1:4">
      <c r="A464" s="27" t="s">
        <v>821</v>
      </c>
      <c r="B464" s="28">
        <v>243</v>
      </c>
      <c r="C464" s="20">
        <v>21.082152941176474</v>
      </c>
      <c r="D464" s="20">
        <v>8.6757831033648038</v>
      </c>
    </row>
    <row r="465" spans="1:4">
      <c r="A465" s="27" t="s">
        <v>823</v>
      </c>
      <c r="B465" s="28">
        <v>87</v>
      </c>
      <c r="C465" s="20">
        <v>11.860453781512611</v>
      </c>
      <c r="D465" s="20">
        <v>13.632705495991507</v>
      </c>
    </row>
    <row r="466" spans="1:4">
      <c r="A466" s="27" t="s">
        <v>825</v>
      </c>
      <c r="B466" s="28">
        <v>149</v>
      </c>
      <c r="C466" s="20">
        <v>6.2387184873949622</v>
      </c>
      <c r="D466" s="20">
        <v>4.1870593875133979</v>
      </c>
    </row>
    <row r="467" spans="1:4">
      <c r="A467" s="27" t="s">
        <v>827</v>
      </c>
      <c r="B467" s="28">
        <v>200</v>
      </c>
      <c r="C467" s="20">
        <v>8.3472268907563034</v>
      </c>
      <c r="D467" s="20">
        <v>4.1736134453781517</v>
      </c>
    </row>
    <row r="468" spans="1:4">
      <c r="A468" s="27" t="s">
        <v>828</v>
      </c>
      <c r="B468" s="28">
        <v>210</v>
      </c>
      <c r="C468" s="20">
        <v>20.019025210084031</v>
      </c>
      <c r="D468" s="20">
        <v>9.5328691476590617</v>
      </c>
    </row>
    <row r="469" spans="1:4">
      <c r="A469" s="27" t="s">
        <v>830</v>
      </c>
      <c r="B469" s="28">
        <v>194</v>
      </c>
      <c r="C469" s="20">
        <v>25.579781512605031</v>
      </c>
      <c r="D469" s="20">
        <v>13.185454387940737</v>
      </c>
    </row>
    <row r="470" spans="1:4">
      <c r="A470" s="27" t="s">
        <v>832</v>
      </c>
      <c r="B470" s="28">
        <v>111</v>
      </c>
      <c r="C470" s="20">
        <v>10.056453781512602</v>
      </c>
      <c r="D470" s="20">
        <v>9.0598682716329737</v>
      </c>
    </row>
    <row r="471" spans="1:4">
      <c r="A471" s="27" t="s">
        <v>834</v>
      </c>
      <c r="B471" s="28">
        <v>293</v>
      </c>
      <c r="C471" s="20">
        <v>27.025407563025226</v>
      </c>
      <c r="D471" s="20">
        <v>9.2236885880632169</v>
      </c>
    </row>
    <row r="472" spans="1:4">
      <c r="A472" s="27" t="s">
        <v>835</v>
      </c>
      <c r="B472" s="28">
        <v>506</v>
      </c>
      <c r="C472" s="20">
        <v>65.429873949579843</v>
      </c>
      <c r="D472" s="20">
        <v>12.930805128375464</v>
      </c>
    </row>
    <row r="473" spans="1:4">
      <c r="A473" s="27" t="s">
        <v>837</v>
      </c>
      <c r="B473" s="28">
        <v>401</v>
      </c>
      <c r="C473" s="20">
        <v>21.324010084033617</v>
      </c>
      <c r="D473" s="20">
        <v>5.3177082503824487</v>
      </c>
    </row>
    <row r="474" spans="1:4">
      <c r="A474" s="27" t="s">
        <v>839</v>
      </c>
      <c r="B474" s="28">
        <v>157</v>
      </c>
      <c r="C474" s="20">
        <v>12.005768907563024</v>
      </c>
      <c r="D474" s="20">
        <v>7.6469865653267659</v>
      </c>
    </row>
    <row r="475" spans="1:4">
      <c r="A475" s="27" t="s">
        <v>840</v>
      </c>
      <c r="B475" s="28">
        <v>313</v>
      </c>
      <c r="C475" s="20">
        <v>22.660150420168065</v>
      </c>
      <c r="D475" s="20">
        <v>7.239664670980213</v>
      </c>
    </row>
    <row r="476" spans="1:4">
      <c r="A476" s="27" t="s">
        <v>841</v>
      </c>
      <c r="B476" s="28">
        <v>156</v>
      </c>
      <c r="C476" s="20">
        <v>9.455152941176479</v>
      </c>
      <c r="D476" s="20">
        <v>6.0609954751131276</v>
      </c>
    </row>
    <row r="477" spans="1:4">
      <c r="A477" s="27" t="s">
        <v>843</v>
      </c>
      <c r="B477" s="28">
        <v>103</v>
      </c>
      <c r="C477" s="20">
        <v>9.2728294117647074</v>
      </c>
      <c r="D477" s="20">
        <v>9.002747001713308</v>
      </c>
    </row>
    <row r="478" spans="1:4">
      <c r="A478" s="27" t="s">
        <v>845</v>
      </c>
      <c r="B478" s="28">
        <v>484</v>
      </c>
      <c r="C478" s="20">
        <v>46.372571428571462</v>
      </c>
      <c r="D478" s="20">
        <v>9.5811097992916245</v>
      </c>
    </row>
    <row r="479" spans="1:4">
      <c r="A479" s="27" t="s">
        <v>846</v>
      </c>
      <c r="B479" s="28">
        <v>166</v>
      </c>
      <c r="C479" s="20">
        <v>9.3006436974789892</v>
      </c>
      <c r="D479" s="20">
        <v>5.6027974081198728</v>
      </c>
    </row>
    <row r="480" spans="1:4">
      <c r="A480" s="27" t="s">
        <v>847</v>
      </c>
      <c r="B480" s="28">
        <v>295</v>
      </c>
      <c r="C480" s="20">
        <v>23.17438235294118</v>
      </c>
      <c r="D480" s="20">
        <v>7.855722831505485</v>
      </c>
    </row>
    <row r="481" spans="1:4">
      <c r="A481" s="27" t="s">
        <v>849</v>
      </c>
      <c r="B481" s="28">
        <v>172</v>
      </c>
      <c r="C481" s="20">
        <v>16.075630252100844</v>
      </c>
      <c r="D481" s="20">
        <v>9.346296658198165</v>
      </c>
    </row>
    <row r="482" spans="1:4">
      <c r="A482" s="27" t="s">
        <v>850</v>
      </c>
      <c r="B482" s="28">
        <v>-15</v>
      </c>
      <c r="C482" s="20">
        <v>63.845588235294116</v>
      </c>
      <c r="D482" s="20">
        <v>-425.63725490196072</v>
      </c>
    </row>
    <row r="483" spans="1:4">
      <c r="A483" s="27" t="s">
        <v>852</v>
      </c>
      <c r="B483" s="28">
        <v>244</v>
      </c>
      <c r="C483" s="20">
        <v>16.208971428571431</v>
      </c>
      <c r="D483" s="20">
        <v>6.6430210772833735</v>
      </c>
    </row>
    <row r="484" spans="1:4">
      <c r="A484" s="27" t="s">
        <v>853</v>
      </c>
      <c r="B484" s="28">
        <v>159</v>
      </c>
      <c r="C484" s="20">
        <v>12.885466386554619</v>
      </c>
      <c r="D484" s="20">
        <v>8.1040669097827784</v>
      </c>
    </row>
    <row r="485" spans="1:4">
      <c r="A485" s="27" t="s">
        <v>854</v>
      </c>
      <c r="B485" s="28">
        <v>128</v>
      </c>
      <c r="C485" s="20">
        <v>4.7026285714285763</v>
      </c>
      <c r="D485" s="20">
        <v>3.6739285714285752</v>
      </c>
    </row>
    <row r="486" spans="1:4">
      <c r="A486" s="27" t="s">
        <v>856</v>
      </c>
      <c r="B486" s="28">
        <v>250</v>
      </c>
      <c r="C486" s="20">
        <v>23.148319327731095</v>
      </c>
      <c r="D486" s="20">
        <v>9.2593277310924389</v>
      </c>
    </row>
    <row r="487" spans="1:4">
      <c r="A487" s="27" t="s">
        <v>858</v>
      </c>
      <c r="B487" s="28">
        <v>92</v>
      </c>
      <c r="C487" s="20">
        <v>8.5570957983193274</v>
      </c>
      <c r="D487" s="20">
        <v>9.3011910851297035</v>
      </c>
    </row>
    <row r="488" spans="1:4">
      <c r="A488" s="27" t="s">
        <v>860</v>
      </c>
      <c r="B488" s="28">
        <v>276</v>
      </c>
      <c r="C488" s="20">
        <v>13.750907563025208</v>
      </c>
      <c r="D488" s="20">
        <v>4.9822128851540608</v>
      </c>
    </row>
    <row r="489" spans="1:4">
      <c r="A489" s="27" t="s">
        <v>861</v>
      </c>
      <c r="B489" s="28">
        <v>152</v>
      </c>
      <c r="C489" s="20">
        <v>11.58261512605042</v>
      </c>
      <c r="D489" s="20">
        <v>7.6201415302963289</v>
      </c>
    </row>
    <row r="490" spans="1:4">
      <c r="A490" s="27" t="s">
        <v>862</v>
      </c>
      <c r="B490" s="28">
        <v>115</v>
      </c>
      <c r="C490" s="20">
        <v>12.733210084033615</v>
      </c>
      <c r="D490" s="20">
        <v>11.07235659481184</v>
      </c>
    </row>
    <row r="491" spans="1:4">
      <c r="A491" s="27" t="s">
        <v>863</v>
      </c>
      <c r="B491" s="28">
        <v>296</v>
      </c>
      <c r="C491" s="20">
        <v>14.905929411764717</v>
      </c>
      <c r="D491" s="20">
        <v>5.0357869634340258</v>
      </c>
    </row>
    <row r="492" spans="1:4">
      <c r="A492" s="27" t="s">
        <v>864</v>
      </c>
      <c r="B492" s="28">
        <v>164</v>
      </c>
      <c r="C492" s="20">
        <v>8.703226890756298</v>
      </c>
      <c r="D492" s="20">
        <v>5.3068456650953033</v>
      </c>
    </row>
    <row r="493" spans="1:4">
      <c r="A493" s="27" t="s">
        <v>866</v>
      </c>
      <c r="B493" s="28">
        <v>201</v>
      </c>
      <c r="C493" s="20">
        <v>14.330512605042024</v>
      </c>
      <c r="D493" s="20">
        <v>7.129608261214937</v>
      </c>
    </row>
    <row r="494" spans="1:4">
      <c r="A494" s="27" t="s">
        <v>867</v>
      </c>
      <c r="B494" s="28">
        <v>254</v>
      </c>
      <c r="C494" s="20">
        <v>23.177778151260512</v>
      </c>
      <c r="D494" s="20">
        <v>9.1251095083702793</v>
      </c>
    </row>
    <row r="495" spans="1:4">
      <c r="A495" s="27" t="s">
        <v>869</v>
      </c>
      <c r="B495" s="28">
        <v>429</v>
      </c>
      <c r="C495" s="20">
        <v>47.448762184873956</v>
      </c>
      <c r="D495" s="20">
        <v>11.060317525611644</v>
      </c>
    </row>
    <row r="496" spans="1:4">
      <c r="A496" s="27" t="s">
        <v>871</v>
      </c>
      <c r="B496" s="28">
        <v>150</v>
      </c>
      <c r="C496" s="20">
        <v>10.988067226890763</v>
      </c>
      <c r="D496" s="20">
        <v>7.3253781512605087</v>
      </c>
    </row>
    <row r="497" spans="1:4">
      <c r="A497" s="27" t="s">
        <v>873</v>
      </c>
      <c r="B497" s="28">
        <v>132</v>
      </c>
      <c r="C497" s="20">
        <v>6.5714453781512603</v>
      </c>
      <c r="D497" s="20">
        <v>4.9783677107206517</v>
      </c>
    </row>
    <row r="498" spans="1:4">
      <c r="A498" s="27" t="s">
        <v>875</v>
      </c>
      <c r="B498" s="28">
        <v>136</v>
      </c>
      <c r="C498" s="20">
        <v>7.4148504201680723</v>
      </c>
      <c r="D498" s="20">
        <v>5.4520958971824056</v>
      </c>
    </row>
    <row r="499" spans="1:4">
      <c r="A499" s="27" t="s">
        <v>876</v>
      </c>
      <c r="B499" s="28">
        <v>300</v>
      </c>
      <c r="C499" s="20">
        <v>15.717563025210097</v>
      </c>
      <c r="D499" s="20">
        <v>5.2391876750700321</v>
      </c>
    </row>
    <row r="500" spans="1:4">
      <c r="A500" s="27" t="s">
        <v>878</v>
      </c>
      <c r="B500" s="28">
        <v>233</v>
      </c>
      <c r="C500" s="20">
        <v>20.144149579831932</v>
      </c>
      <c r="D500" s="20">
        <v>8.6455577595845199</v>
      </c>
    </row>
    <row r="501" spans="1:4">
      <c r="A501" s="27" t="s">
        <v>880</v>
      </c>
      <c r="B501" s="28">
        <v>160</v>
      </c>
      <c r="C501" s="20">
        <v>10.061512605042026</v>
      </c>
      <c r="D501" s="20">
        <v>6.288445378151267</v>
      </c>
    </row>
    <row r="502" spans="1:4">
      <c r="A502" s="27" t="s">
        <v>881</v>
      </c>
      <c r="B502" s="28">
        <v>511</v>
      </c>
      <c r="C502" s="20">
        <v>29.242940336134453</v>
      </c>
      <c r="D502" s="20">
        <v>5.7226889111809109</v>
      </c>
    </row>
    <row r="503" spans="1:4">
      <c r="A503" s="27" t="s">
        <v>882</v>
      </c>
      <c r="B503" s="28">
        <v>96</v>
      </c>
      <c r="C503" s="20">
        <v>10.741136134453786</v>
      </c>
      <c r="D503" s="20">
        <v>11.188683473389361</v>
      </c>
    </row>
    <row r="504" spans="1:4">
      <c r="A504" s="27" t="s">
        <v>883</v>
      </c>
      <c r="B504" s="28">
        <v>282</v>
      </c>
      <c r="C504" s="20">
        <v>16.299359663865545</v>
      </c>
      <c r="D504" s="20">
        <v>5.7799147744204058</v>
      </c>
    </row>
    <row r="505" spans="1:4">
      <c r="A505" s="27" t="s">
        <v>885</v>
      </c>
      <c r="B505" s="28">
        <v>299</v>
      </c>
      <c r="C505" s="20">
        <v>17.719832773109246</v>
      </c>
      <c r="D505" s="20">
        <v>5.9263654759562696</v>
      </c>
    </row>
    <row r="506" spans="1:4">
      <c r="A506" s="27" t="s">
        <v>886</v>
      </c>
      <c r="B506" s="28">
        <v>439</v>
      </c>
      <c r="C506" s="20">
        <v>29.581368067226904</v>
      </c>
      <c r="D506" s="20">
        <v>6.7383526349036229</v>
      </c>
    </row>
    <row r="507" spans="1:4">
      <c r="A507" s="27" t="s">
        <v>887</v>
      </c>
      <c r="B507" s="28">
        <v>309</v>
      </c>
      <c r="C507" s="20">
        <v>23.10049075630252</v>
      </c>
      <c r="D507" s="20">
        <v>7.4758869761496829</v>
      </c>
    </row>
    <row r="508" spans="1:4">
      <c r="A508" s="27" t="s">
        <v>888</v>
      </c>
      <c r="B508" s="28">
        <v>636</v>
      </c>
      <c r="C508" s="20">
        <v>167.72437310924369</v>
      </c>
      <c r="D508" s="20">
        <v>26.37175677818297</v>
      </c>
    </row>
    <row r="509" spans="1:4">
      <c r="A509" s="27" t="s">
        <v>890</v>
      </c>
      <c r="B509" s="28">
        <v>106</v>
      </c>
      <c r="C509" s="20">
        <v>10.178670588235299</v>
      </c>
      <c r="D509" s="20">
        <v>9.6025194228634891</v>
      </c>
    </row>
    <row r="510" spans="1:4">
      <c r="A510" s="27" t="s">
        <v>892</v>
      </c>
      <c r="B510" s="28">
        <v>662</v>
      </c>
      <c r="C510" s="20">
        <v>54.475045378151293</v>
      </c>
      <c r="D510" s="20">
        <v>8.2288588184518563</v>
      </c>
    </row>
    <row r="511" spans="1:4">
      <c r="A511" s="27" t="s">
        <v>893</v>
      </c>
      <c r="B511" s="28">
        <v>95</v>
      </c>
      <c r="C511" s="20">
        <v>9.7401512605042058</v>
      </c>
      <c r="D511" s="20">
        <v>10.252790800530743</v>
      </c>
    </row>
    <row r="512" spans="1:4">
      <c r="A512" s="27" t="s">
        <v>895</v>
      </c>
      <c r="B512" s="28">
        <v>400</v>
      </c>
      <c r="C512" s="20">
        <v>33.906890756302545</v>
      </c>
      <c r="D512" s="20">
        <v>8.4767226890756362</v>
      </c>
    </row>
    <row r="513" spans="1:4">
      <c r="A513" s="27" t="s">
        <v>896</v>
      </c>
      <c r="B513" s="28">
        <v>198</v>
      </c>
      <c r="C513" s="20">
        <v>12.493038655462186</v>
      </c>
      <c r="D513" s="20">
        <v>6.3096154825566604</v>
      </c>
    </row>
    <row r="514" spans="1:4">
      <c r="A514" s="27" t="s">
        <v>897</v>
      </c>
      <c r="B514" s="28">
        <v>632</v>
      </c>
      <c r="C514" s="20">
        <v>57.68664873949578</v>
      </c>
      <c r="D514" s="20">
        <v>9.1276342942240163</v>
      </c>
    </row>
    <row r="515" spans="1:4">
      <c r="A515" s="27" t="s">
        <v>899</v>
      </c>
      <c r="B515" s="28">
        <v>276</v>
      </c>
      <c r="C515" s="20">
        <v>15.972248739495797</v>
      </c>
      <c r="D515" s="20">
        <v>5.7870466447448541</v>
      </c>
    </row>
    <row r="516" spans="1:4">
      <c r="A516" s="27" t="s">
        <v>900</v>
      </c>
      <c r="B516" s="28">
        <v>192</v>
      </c>
      <c r="C516" s="20">
        <v>18.444033613445377</v>
      </c>
      <c r="D516" s="20">
        <v>9.6062675070028014</v>
      </c>
    </row>
    <row r="517" spans="1:4">
      <c r="A517" s="27" t="s">
        <v>901</v>
      </c>
      <c r="B517" s="28">
        <v>240</v>
      </c>
      <c r="C517" s="20">
        <v>20.414991596638671</v>
      </c>
      <c r="D517" s="20">
        <v>8.506246498599447</v>
      </c>
    </row>
    <row r="518" spans="1:4">
      <c r="A518" s="27" t="s">
        <v>903</v>
      </c>
      <c r="B518" s="28">
        <v>269</v>
      </c>
      <c r="C518" s="20">
        <v>26.318695798319339</v>
      </c>
      <c r="D518" s="20">
        <v>9.7839017837618361</v>
      </c>
    </row>
    <row r="519" spans="1:4">
      <c r="A519" s="27" t="s">
        <v>904</v>
      </c>
      <c r="B519" s="28">
        <v>90</v>
      </c>
      <c r="C519" s="20">
        <v>7.5095210084033575</v>
      </c>
      <c r="D519" s="20">
        <v>8.3439122315592869</v>
      </c>
    </row>
    <row r="520" spans="1:4">
      <c r="A520" s="27" t="s">
        <v>905</v>
      </c>
      <c r="B520" s="28">
        <v>157</v>
      </c>
      <c r="C520" s="20">
        <v>8.8273680672268995</v>
      </c>
      <c r="D520" s="20">
        <v>5.6225274313547136</v>
      </c>
    </row>
    <row r="521" spans="1:4">
      <c r="A521" s="27" t="s">
        <v>906</v>
      </c>
      <c r="B521" s="28">
        <v>150</v>
      </c>
      <c r="C521" s="20">
        <v>11.09626050420168</v>
      </c>
      <c r="D521" s="20">
        <v>7.3975070028011212</v>
      </c>
    </row>
    <row r="522" spans="1:4">
      <c r="A522" s="27" t="s">
        <v>907</v>
      </c>
      <c r="B522" s="28">
        <v>125</v>
      </c>
      <c r="C522" s="20">
        <v>7.2283613445378165</v>
      </c>
      <c r="D522" s="20">
        <v>5.7826890756302536</v>
      </c>
    </row>
    <row r="523" spans="1:4">
      <c r="A523" s="27" t="s">
        <v>909</v>
      </c>
      <c r="B523" s="28">
        <v>656</v>
      </c>
      <c r="C523" s="20">
        <v>52.193653781512609</v>
      </c>
      <c r="D523" s="20">
        <v>7.9563496618159464</v>
      </c>
    </row>
    <row r="524" spans="1:4">
      <c r="A524" s="27" t="s">
        <v>910</v>
      </c>
      <c r="B524" s="28">
        <v>118</v>
      </c>
      <c r="C524" s="20">
        <v>13.271673949579835</v>
      </c>
      <c r="D524" s="20">
        <v>11.247181313203249</v>
      </c>
    </row>
    <row r="525" spans="1:4">
      <c r="A525" s="27" t="s">
        <v>912</v>
      </c>
      <c r="B525" s="28">
        <v>662</v>
      </c>
      <c r="C525" s="20">
        <v>68.179489075630258</v>
      </c>
      <c r="D525" s="20">
        <v>10.299016476681308</v>
      </c>
    </row>
    <row r="526" spans="1:4">
      <c r="A526" s="27" t="s">
        <v>913</v>
      </c>
      <c r="B526" s="28">
        <v>139</v>
      </c>
      <c r="C526" s="20">
        <v>6.9735201680672247</v>
      </c>
      <c r="D526" s="20">
        <v>5.0169209842210254</v>
      </c>
    </row>
    <row r="527" spans="1:4">
      <c r="A527" s="27" t="s">
        <v>915</v>
      </c>
      <c r="B527" s="28">
        <v>136</v>
      </c>
      <c r="C527" s="20">
        <v>11.143025210084033</v>
      </c>
      <c r="D527" s="20">
        <v>8.1934008897676716</v>
      </c>
    </row>
    <row r="528" spans="1:4">
      <c r="A528" s="27" t="s">
        <v>917</v>
      </c>
      <c r="B528" s="28">
        <v>388</v>
      </c>
      <c r="C528" s="20">
        <v>48.615368067226896</v>
      </c>
      <c r="D528" s="20">
        <v>12.529734037945076</v>
      </c>
    </row>
    <row r="529" spans="1:4">
      <c r="A529" s="27" t="s">
        <v>919</v>
      </c>
      <c r="B529" s="28">
        <v>313</v>
      </c>
      <c r="C529" s="20">
        <v>27.307180672268913</v>
      </c>
      <c r="D529" s="20">
        <v>8.7243388729293656</v>
      </c>
    </row>
    <row r="530" spans="1:4">
      <c r="A530" s="27" t="s">
        <v>921</v>
      </c>
      <c r="B530" s="28">
        <v>238</v>
      </c>
      <c r="C530" s="20">
        <v>17.563835294117659</v>
      </c>
      <c r="D530" s="20">
        <v>7.3797627286208662</v>
      </c>
    </row>
    <row r="531" spans="1:4">
      <c r="A531" s="27" t="s">
        <v>923</v>
      </c>
      <c r="B531" s="28">
        <v>194</v>
      </c>
      <c r="C531" s="20">
        <v>19.122386554621848</v>
      </c>
      <c r="D531" s="20">
        <v>9.8569002858875496</v>
      </c>
    </row>
    <row r="532" spans="1:4">
      <c r="A532" s="27" t="s">
        <v>924</v>
      </c>
      <c r="B532" s="28">
        <v>169</v>
      </c>
      <c r="C532" s="20">
        <v>55.501776470588233</v>
      </c>
      <c r="D532" s="20">
        <v>32.841287852419072</v>
      </c>
    </row>
    <row r="533" spans="1:4">
      <c r="A533" s="27" t="s">
        <v>926</v>
      </c>
      <c r="B533" s="28">
        <v>130</v>
      </c>
      <c r="C533" s="20">
        <v>6.9872857142857185</v>
      </c>
      <c r="D533" s="20">
        <v>5.3748351648351678</v>
      </c>
    </row>
    <row r="534" spans="1:4">
      <c r="A534" s="27" t="s">
        <v>927</v>
      </c>
      <c r="B534" s="28">
        <v>509</v>
      </c>
      <c r="C534" s="20">
        <v>44.432377310924366</v>
      </c>
      <c r="D534" s="20">
        <v>8.7293472123623506</v>
      </c>
    </row>
    <row r="535" spans="1:4">
      <c r="A535" s="27" t="s">
        <v>928</v>
      </c>
      <c r="B535" s="28">
        <v>573</v>
      </c>
      <c r="C535" s="20">
        <v>63.180209243697476</v>
      </c>
      <c r="D535" s="20">
        <v>11.026214527695895</v>
      </c>
    </row>
    <row r="536" spans="1:4">
      <c r="A536" s="27" t="s">
        <v>929</v>
      </c>
      <c r="B536" s="28">
        <v>315</v>
      </c>
      <c r="C536" s="20">
        <v>27.097327731092449</v>
      </c>
      <c r="D536" s="20">
        <v>8.6023262638388722</v>
      </c>
    </row>
    <row r="537" spans="1:4">
      <c r="A537" s="27" t="s">
        <v>931</v>
      </c>
      <c r="B537" s="28">
        <v>90</v>
      </c>
      <c r="C537" s="20">
        <v>8.0200420168067197</v>
      </c>
      <c r="D537" s="20">
        <v>8.91115779645191</v>
      </c>
    </row>
    <row r="538" spans="1:4">
      <c r="A538" s="27" t="s">
        <v>932</v>
      </c>
      <c r="B538" s="28">
        <v>288</v>
      </c>
      <c r="C538" s="20">
        <v>20.0420168067227</v>
      </c>
      <c r="D538" s="20">
        <v>6.9590336134453814</v>
      </c>
    </row>
    <row r="539" spans="1:4">
      <c r="A539" s="27" t="s">
        <v>933</v>
      </c>
      <c r="B539" s="28">
        <v>99</v>
      </c>
      <c r="C539" s="20">
        <v>8.8028050420168071</v>
      </c>
      <c r="D539" s="20">
        <v>8.8917222646634411</v>
      </c>
    </row>
    <row r="540" spans="1:4">
      <c r="A540" s="27" t="s">
        <v>935</v>
      </c>
      <c r="B540" s="28">
        <v>155</v>
      </c>
      <c r="C540" s="20">
        <v>4.8682394957983277</v>
      </c>
      <c r="D540" s="20">
        <v>3.1407996747085982</v>
      </c>
    </row>
    <row r="541" spans="1:4">
      <c r="A541" s="27" t="s">
        <v>937</v>
      </c>
      <c r="B541" s="28">
        <v>152</v>
      </c>
      <c r="C541" s="20">
        <v>6.4670117647058873</v>
      </c>
      <c r="D541" s="20">
        <v>4.2546130030959786</v>
      </c>
    </row>
    <row r="542" spans="1:4">
      <c r="A542" s="27" t="s">
        <v>938</v>
      </c>
      <c r="B542" s="28">
        <v>257</v>
      </c>
      <c r="C542" s="20">
        <v>20.165343697479003</v>
      </c>
      <c r="D542" s="20">
        <v>7.846437236373152</v>
      </c>
    </row>
    <row r="543" spans="1:4">
      <c r="A543" s="27" t="s">
        <v>939</v>
      </c>
      <c r="B543" s="28">
        <v>570</v>
      </c>
      <c r="C543" s="20">
        <v>36.061285714285731</v>
      </c>
      <c r="D543" s="20">
        <v>6.3265413533834618</v>
      </c>
    </row>
    <row r="544" spans="1:4">
      <c r="A544" s="27" t="s">
        <v>940</v>
      </c>
      <c r="B544" s="28">
        <v>219</v>
      </c>
      <c r="C544" s="20">
        <v>21.035678991596647</v>
      </c>
      <c r="D544" s="20">
        <v>9.6053328728751808</v>
      </c>
    </row>
    <row r="545" spans="1:4">
      <c r="A545" s="27" t="s">
        <v>942</v>
      </c>
      <c r="B545" s="28">
        <v>245</v>
      </c>
      <c r="C545" s="20">
        <v>27.00969327731093</v>
      </c>
      <c r="D545" s="20">
        <v>11.024364602984054</v>
      </c>
    </row>
    <row r="546" spans="1:4">
      <c r="A546" s="27" t="s">
        <v>943</v>
      </c>
      <c r="B546" s="28">
        <v>303</v>
      </c>
      <c r="C546" s="20">
        <v>28.722483193277313</v>
      </c>
      <c r="D546" s="20">
        <v>9.4793673905205651</v>
      </c>
    </row>
    <row r="547" spans="1:4">
      <c r="A547" s="27" t="s">
        <v>945</v>
      </c>
      <c r="B547" s="28">
        <v>122</v>
      </c>
      <c r="C547" s="20">
        <v>4.7666638655462208</v>
      </c>
      <c r="D547" s="20">
        <v>3.9071015291362463</v>
      </c>
    </row>
    <row r="548" spans="1:4">
      <c r="A548" s="27" t="s">
        <v>946</v>
      </c>
      <c r="B548" s="28">
        <v>226</v>
      </c>
      <c r="C548" s="20">
        <v>21.145028571428568</v>
      </c>
      <c r="D548" s="20">
        <v>9.3562073324905164</v>
      </c>
    </row>
    <row r="549" spans="1:4">
      <c r="A549" s="27" t="s">
        <v>948</v>
      </c>
      <c r="B549" s="28">
        <v>498</v>
      </c>
      <c r="C549" s="20">
        <v>49.668939495798313</v>
      </c>
      <c r="D549" s="20">
        <v>9.9736826296783772</v>
      </c>
    </row>
    <row r="550" spans="1:4">
      <c r="A550" s="27" t="s">
        <v>950</v>
      </c>
      <c r="B550" s="28">
        <v>153</v>
      </c>
      <c r="C550" s="20">
        <v>8.9034638655462146</v>
      </c>
      <c r="D550" s="20">
        <v>5.8192574284615777</v>
      </c>
    </row>
    <row r="551" spans="1:4">
      <c r="A551" s="27" t="s">
        <v>951</v>
      </c>
      <c r="B551" s="28">
        <v>445</v>
      </c>
      <c r="C551" s="20">
        <v>39.050764705882344</v>
      </c>
      <c r="D551" s="20">
        <v>8.7754527428949078</v>
      </c>
    </row>
    <row r="552" spans="1:4">
      <c r="A552" s="27" t="s">
        <v>952</v>
      </c>
      <c r="B552" s="28">
        <v>196</v>
      </c>
      <c r="C552" s="20">
        <v>14.711986554621845</v>
      </c>
      <c r="D552" s="20">
        <v>7.5061155890927784</v>
      </c>
    </row>
    <row r="553" spans="1:4">
      <c r="A553" s="27" t="s">
        <v>953</v>
      </c>
      <c r="B553" s="28">
        <v>285</v>
      </c>
      <c r="C553" s="20">
        <v>15.471184873949582</v>
      </c>
      <c r="D553" s="20">
        <v>5.4284859206840643</v>
      </c>
    </row>
    <row r="554" spans="1:4">
      <c r="A554" s="27" t="s">
        <v>954</v>
      </c>
      <c r="B554" s="28">
        <v>304</v>
      </c>
      <c r="C554" s="20">
        <v>25.074137815126036</v>
      </c>
      <c r="D554" s="20">
        <v>8.2480716497125108</v>
      </c>
    </row>
    <row r="555" spans="1:4">
      <c r="A555" s="27" t="s">
        <v>956</v>
      </c>
      <c r="B555" s="28">
        <v>184</v>
      </c>
      <c r="C555" s="20">
        <v>19.77490420168067</v>
      </c>
      <c r="D555" s="20">
        <v>10.747230544391668</v>
      </c>
    </row>
    <row r="556" spans="1:4">
      <c r="A556" s="27" t="s">
        <v>958</v>
      </c>
      <c r="B556" s="28">
        <v>413</v>
      </c>
      <c r="C556" s="20">
        <v>45.738222689075627</v>
      </c>
      <c r="D556" s="20">
        <v>11.074630191059475</v>
      </c>
    </row>
    <row r="557" spans="1:4">
      <c r="A557" s="27" t="s">
        <v>959</v>
      </c>
      <c r="B557" s="28">
        <v>380</v>
      </c>
      <c r="C557" s="20">
        <v>43.249378151260515</v>
      </c>
      <c r="D557" s="20">
        <v>11.381415302963294</v>
      </c>
    </row>
    <row r="558" spans="1:4">
      <c r="A558" s="27" t="s">
        <v>960</v>
      </c>
      <c r="B558" s="28">
        <v>225</v>
      </c>
      <c r="C558" s="20">
        <v>23.484726890756299</v>
      </c>
      <c r="D558" s="20">
        <v>10.437656395891688</v>
      </c>
    </row>
    <row r="559" spans="1:4">
      <c r="A559" s="27" t="s">
        <v>961</v>
      </c>
      <c r="B559" s="28">
        <v>121</v>
      </c>
      <c r="C559" s="20">
        <v>12.652245378151264</v>
      </c>
      <c r="D559" s="20">
        <v>10.456401138967987</v>
      </c>
    </row>
    <row r="560" spans="1:4">
      <c r="A560" s="27" t="s">
        <v>962</v>
      </c>
      <c r="B560" s="28">
        <v>291</v>
      </c>
      <c r="C560" s="20">
        <v>23.67174117647059</v>
      </c>
      <c r="D560" s="20">
        <v>8.1346189609864581</v>
      </c>
    </row>
    <row r="561" spans="1:4">
      <c r="A561" s="27" t="s">
        <v>964</v>
      </c>
      <c r="B561" s="28">
        <v>550</v>
      </c>
      <c r="C561" s="20">
        <v>65.874369747899166</v>
      </c>
      <c r="D561" s="20">
        <v>11.977158135981666</v>
      </c>
    </row>
    <row r="562" spans="1:4">
      <c r="A562" s="27" t="s">
        <v>966</v>
      </c>
      <c r="B562" s="28">
        <v>135</v>
      </c>
      <c r="C562" s="20">
        <v>3.4637731092437036</v>
      </c>
      <c r="D562" s="20">
        <v>2.5657578586990399</v>
      </c>
    </row>
    <row r="563" spans="1:4">
      <c r="A563" s="27" t="s">
        <v>968</v>
      </c>
      <c r="B563" s="28">
        <v>226</v>
      </c>
      <c r="C563" s="20">
        <v>21.356956302521013</v>
      </c>
      <c r="D563" s="20">
        <v>9.4499806648323066</v>
      </c>
    </row>
    <row r="564" spans="1:4">
      <c r="A564" s="27" t="s">
        <v>969</v>
      </c>
      <c r="B564" s="28">
        <v>307</v>
      </c>
      <c r="C564" s="20">
        <v>15.302105042016819</v>
      </c>
      <c r="D564" s="20">
        <v>4.984399036487563</v>
      </c>
    </row>
    <row r="565" spans="1:4">
      <c r="A565" s="27" t="s">
        <v>971</v>
      </c>
      <c r="B565" s="28">
        <v>245</v>
      </c>
      <c r="C565" s="20">
        <v>18.004592436974796</v>
      </c>
      <c r="D565" s="20">
        <v>7.3488132395815491</v>
      </c>
    </row>
    <row r="566" spans="1:4">
      <c r="A566" s="27" t="s">
        <v>973</v>
      </c>
      <c r="B566" s="28">
        <v>165</v>
      </c>
      <c r="C566" s="20">
        <v>14.483865546218482</v>
      </c>
      <c r="D566" s="20">
        <v>8.7781003310415038</v>
      </c>
    </row>
    <row r="567" spans="1:4">
      <c r="A567" s="27" t="s">
        <v>975</v>
      </c>
      <c r="B567" s="28">
        <v>272</v>
      </c>
      <c r="C567" s="20">
        <v>18.39228235294118</v>
      </c>
      <c r="D567" s="20">
        <v>6.7618685121107278</v>
      </c>
    </row>
    <row r="568" spans="1:4">
      <c r="A568" s="27" t="s">
        <v>977</v>
      </c>
      <c r="B568" s="28">
        <v>375</v>
      </c>
      <c r="C568" s="20">
        <v>33.869852941176475</v>
      </c>
      <c r="D568" s="20">
        <v>9.0319607843137266</v>
      </c>
    </row>
    <row r="569" spans="1:4">
      <c r="A569" s="27" t="s">
        <v>978</v>
      </c>
      <c r="B569" s="28">
        <v>140</v>
      </c>
      <c r="C569" s="20">
        <v>10.682722689075632</v>
      </c>
      <c r="D569" s="20">
        <v>7.6305162064825947</v>
      </c>
    </row>
    <row r="570" spans="1:4">
      <c r="A570" s="27" t="s">
        <v>980</v>
      </c>
      <c r="B570" s="28">
        <v>110</v>
      </c>
      <c r="C570" s="20">
        <v>11.094764705882358</v>
      </c>
      <c r="D570" s="20">
        <v>10.086149732620326</v>
      </c>
    </row>
    <row r="571" spans="1:4">
      <c r="A571" s="27" t="s">
        <v>982</v>
      </c>
      <c r="B571" s="28">
        <v>562</v>
      </c>
      <c r="C571" s="20">
        <v>47.641685714285714</v>
      </c>
      <c r="D571" s="20">
        <v>8.4771682765632939</v>
      </c>
    </row>
    <row r="572" spans="1:4">
      <c r="A572" s="27" t="s">
        <v>983</v>
      </c>
      <c r="B572" s="28">
        <v>89</v>
      </c>
      <c r="C572" s="20">
        <v>7.9175201680672274</v>
      </c>
      <c r="D572" s="20">
        <v>8.8960900764800304</v>
      </c>
    </row>
    <row r="573" spans="1:4">
      <c r="A573" s="27" t="s">
        <v>984</v>
      </c>
      <c r="B573" s="28">
        <v>391</v>
      </c>
      <c r="C573" s="20">
        <v>37.196774789915963</v>
      </c>
      <c r="D573" s="20">
        <v>9.5132416342496064</v>
      </c>
    </row>
    <row r="574" spans="1:4">
      <c r="A574" s="27" t="s">
        <v>985</v>
      </c>
      <c r="B574" s="28">
        <v>309</v>
      </c>
      <c r="C574" s="20">
        <v>24.571342016806724</v>
      </c>
      <c r="D574" s="20">
        <v>7.9518906203258011</v>
      </c>
    </row>
    <row r="575" spans="1:4">
      <c r="A575" s="27" t="s">
        <v>986</v>
      </c>
      <c r="B575" s="28">
        <v>102</v>
      </c>
      <c r="C575" s="20">
        <v>9.6145428571428582</v>
      </c>
      <c r="D575" s="20">
        <v>9.4260224089635862</v>
      </c>
    </row>
    <row r="576" spans="1:4">
      <c r="A576" s="27" t="s">
        <v>987</v>
      </c>
      <c r="B576" s="28">
        <v>613</v>
      </c>
      <c r="C576" s="20">
        <v>40.381636974789927</v>
      </c>
      <c r="D576" s="20">
        <v>6.5875427365073289</v>
      </c>
    </row>
    <row r="577" spans="1:4">
      <c r="A577" s="27" t="s">
        <v>988</v>
      </c>
      <c r="B577" s="28">
        <v>213</v>
      </c>
      <c r="C577" s="20">
        <v>15.640994957983196</v>
      </c>
      <c r="D577" s="20">
        <v>7.3431901211188713</v>
      </c>
    </row>
    <row r="578" spans="1:4">
      <c r="A578" s="27" t="s">
        <v>989</v>
      </c>
      <c r="B578" s="28">
        <v>274</v>
      </c>
      <c r="C578" s="20">
        <v>18.491796638655472</v>
      </c>
      <c r="D578" s="20">
        <v>6.7488308900202449</v>
      </c>
    </row>
    <row r="579" spans="1:4">
      <c r="A579" s="27" t="s">
        <v>991</v>
      </c>
      <c r="B579" s="28">
        <v>282</v>
      </c>
      <c r="C579" s="20">
        <v>24.837517647058831</v>
      </c>
      <c r="D579" s="20">
        <v>8.8076303712974582</v>
      </c>
    </row>
    <row r="580" spans="1:4">
      <c r="A580" s="27" t="s">
        <v>992</v>
      </c>
      <c r="B580" s="28">
        <v>252</v>
      </c>
      <c r="C580" s="20">
        <v>16.160258823529418</v>
      </c>
      <c r="D580" s="20">
        <v>6.4128011204481821</v>
      </c>
    </row>
    <row r="581" spans="1:4">
      <c r="A581" s="27" t="s">
        <v>993</v>
      </c>
      <c r="B581" s="28">
        <v>109</v>
      </c>
      <c r="C581" s="20">
        <v>10.088941176470584</v>
      </c>
      <c r="D581" s="20">
        <v>9.2559093362115448</v>
      </c>
    </row>
    <row r="582" spans="1:4">
      <c r="A582" s="27" t="s">
        <v>994</v>
      </c>
      <c r="B582" s="28">
        <v>202</v>
      </c>
      <c r="C582" s="20">
        <v>19.392791596638666</v>
      </c>
      <c r="D582" s="20">
        <v>9.6003918795240928</v>
      </c>
    </row>
    <row r="583" spans="1:4">
      <c r="A583" s="27" t="s">
        <v>995</v>
      </c>
      <c r="B583" s="28">
        <v>344</v>
      </c>
      <c r="C583" s="20">
        <v>-62.091999999999999</v>
      </c>
      <c r="D583" s="20">
        <v>-18.05</v>
      </c>
    </row>
    <row r="584" spans="1:4">
      <c r="A584" s="27" t="s">
        <v>996</v>
      </c>
      <c r="B584" s="28">
        <v>108</v>
      </c>
      <c r="C584" s="20">
        <v>7.101166386554624</v>
      </c>
      <c r="D584" s="20">
        <v>6.5751540616246524</v>
      </c>
    </row>
    <row r="585" spans="1:4">
      <c r="A585" s="27" t="s">
        <v>998</v>
      </c>
      <c r="B585" s="28">
        <v>275</v>
      </c>
      <c r="C585" s="20">
        <v>21.347058823529423</v>
      </c>
      <c r="D585" s="20">
        <v>7.7625668449197898</v>
      </c>
    </row>
    <row r="586" spans="1:4">
      <c r="A586" s="27" t="s">
        <v>1000</v>
      </c>
      <c r="B586" s="28">
        <v>162</v>
      </c>
      <c r="C586" s="20">
        <v>13.993213445378153</v>
      </c>
      <c r="D586" s="20">
        <v>8.6377860773939226</v>
      </c>
    </row>
    <row r="587" spans="1:4">
      <c r="A587" s="27" t="s">
        <v>1001</v>
      </c>
      <c r="B587" s="28">
        <v>624</v>
      </c>
      <c r="C587" s="20">
        <v>36.614010084033652</v>
      </c>
      <c r="D587" s="20">
        <v>5.8676298211592393</v>
      </c>
    </row>
    <row r="588" spans="1:4">
      <c r="A588" s="27" t="s">
        <v>1003</v>
      </c>
      <c r="B588" s="28">
        <v>147</v>
      </c>
      <c r="C588" s="20">
        <v>9.7948756302521076</v>
      </c>
      <c r="D588" s="20">
        <v>6.6631807008517745</v>
      </c>
    </row>
    <row r="589" spans="1:4">
      <c r="A589" s="27" t="s">
        <v>1004</v>
      </c>
      <c r="B589" s="28">
        <v>596</v>
      </c>
      <c r="C589" s="20">
        <v>66.563768067226889</v>
      </c>
      <c r="D589" s="20">
        <v>11.168417460944109</v>
      </c>
    </row>
    <row r="590" spans="1:4">
      <c r="A590" s="27" t="s">
        <v>1006</v>
      </c>
      <c r="B590" s="28">
        <v>277</v>
      </c>
      <c r="C590" s="20">
        <v>19.23521344537815</v>
      </c>
      <c r="D590" s="20">
        <v>6.9441203773928342</v>
      </c>
    </row>
    <row r="591" spans="1:4">
      <c r="A591" s="27" t="s">
        <v>1007</v>
      </c>
      <c r="B591" s="28">
        <v>105</v>
      </c>
      <c r="C591" s="20">
        <v>9.4448991596638692</v>
      </c>
      <c r="D591" s="20">
        <v>8.9951420568227327</v>
      </c>
    </row>
    <row r="592" spans="1:4">
      <c r="A592" s="27" t="s">
        <v>1008</v>
      </c>
      <c r="B592" s="28">
        <v>159</v>
      </c>
      <c r="C592" s="20">
        <v>7.711036134453785</v>
      </c>
      <c r="D592" s="20">
        <v>4.8497082606627577</v>
      </c>
    </row>
    <row r="593" spans="1:4">
      <c r="A593" s="27" t="s">
        <v>1009</v>
      </c>
      <c r="B593" s="28">
        <v>139</v>
      </c>
      <c r="C593" s="20">
        <v>10.351631932773117</v>
      </c>
      <c r="D593" s="20">
        <v>7.4472172178223852</v>
      </c>
    </row>
    <row r="594" spans="1:4">
      <c r="A594" s="27" t="s">
        <v>1010</v>
      </c>
      <c r="B594" s="28">
        <v>260</v>
      </c>
      <c r="C594" s="20">
        <v>11.576268907563019</v>
      </c>
      <c r="D594" s="20">
        <v>4.4524111182934689</v>
      </c>
    </row>
    <row r="595" spans="1:4">
      <c r="A595" s="27" t="s">
        <v>1011</v>
      </c>
      <c r="B595" s="28">
        <v>92</v>
      </c>
      <c r="C595" s="20">
        <v>12.019559663865547</v>
      </c>
      <c r="D595" s="20">
        <v>13.064738765071246</v>
      </c>
    </row>
    <row r="596" spans="1:4">
      <c r="A596" s="27" t="s">
        <v>1013</v>
      </c>
      <c r="B596" s="28">
        <v>482</v>
      </c>
      <c r="C596" s="20">
        <v>41.62060336134455</v>
      </c>
      <c r="D596" s="20">
        <v>8.6349799504864215</v>
      </c>
    </row>
    <row r="597" spans="1:4">
      <c r="A597" s="27" t="s">
        <v>1014</v>
      </c>
      <c r="B597" s="28">
        <v>243</v>
      </c>
      <c r="C597" s="20">
        <v>16.041915126050434</v>
      </c>
      <c r="D597" s="20">
        <v>6.6016111629837173</v>
      </c>
    </row>
    <row r="598" spans="1:4">
      <c r="A598" s="27" t="s">
        <v>1016</v>
      </c>
      <c r="B598" s="28">
        <v>156</v>
      </c>
      <c r="C598" s="20">
        <v>10.167794957983197</v>
      </c>
      <c r="D598" s="20">
        <v>6.51781728075846</v>
      </c>
    </row>
    <row r="599" spans="1:4">
      <c r="A599" s="27" t="s">
        <v>1017</v>
      </c>
      <c r="B599" s="28">
        <v>258</v>
      </c>
      <c r="C599" s="20">
        <v>22.476606722689077</v>
      </c>
      <c r="D599" s="20">
        <v>8.71186307080972</v>
      </c>
    </row>
    <row r="600" spans="1:4">
      <c r="A600" s="27" t="s">
        <v>1018</v>
      </c>
      <c r="B600" s="28">
        <v>230</v>
      </c>
      <c r="C600" s="20">
        <v>18.489924369747911</v>
      </c>
      <c r="D600" s="20">
        <v>8.0390975520643089</v>
      </c>
    </row>
    <row r="601" spans="1:4">
      <c r="A601" s="27" t="s">
        <v>1019</v>
      </c>
      <c r="B601" s="28">
        <v>165</v>
      </c>
      <c r="C601" s="20">
        <v>8.0381806722689007</v>
      </c>
      <c r="D601" s="20">
        <v>4.8716246498599398</v>
      </c>
    </row>
    <row r="602" spans="1:4">
      <c r="A602" s="27" t="s">
        <v>1021</v>
      </c>
      <c r="B602" s="28">
        <v>92</v>
      </c>
      <c r="C602" s="20">
        <v>10.67235294117647</v>
      </c>
      <c r="D602" s="20">
        <v>11.600383631713553</v>
      </c>
    </row>
    <row r="603" spans="1:4">
      <c r="A603" s="27" t="s">
        <v>1023</v>
      </c>
      <c r="B603" s="28">
        <v>118</v>
      </c>
      <c r="C603" s="20">
        <v>11.345097478991597</v>
      </c>
      <c r="D603" s="20">
        <v>9.6144893889759295</v>
      </c>
    </row>
    <row r="604" spans="1:4">
      <c r="A604" s="27" t="s">
        <v>1025</v>
      </c>
      <c r="B604" s="28">
        <v>45363</v>
      </c>
      <c r="C604" s="20">
        <v>-11705.592286554624</v>
      </c>
      <c r="D604" s="20">
        <v>-25.804272835911696</v>
      </c>
    </row>
    <row r="605" spans="1:4">
      <c r="A605" s="27" t="s">
        <v>1027</v>
      </c>
      <c r="B605" s="28">
        <v>290</v>
      </c>
      <c r="C605" s="20">
        <v>25.889882352941186</v>
      </c>
      <c r="D605" s="20">
        <v>8.9275456389452366</v>
      </c>
    </row>
    <row r="606" spans="1:4">
      <c r="A606" s="27" t="s">
        <v>1029</v>
      </c>
      <c r="B606" s="28">
        <v>319</v>
      </c>
      <c r="C606" s="20">
        <v>22.257926050420181</v>
      </c>
      <c r="D606" s="20">
        <v>6.9774062853981755</v>
      </c>
    </row>
    <row r="607" spans="1:4">
      <c r="A607" s="27" t="s">
        <v>1030</v>
      </c>
      <c r="B607" s="28">
        <v>426</v>
      </c>
      <c r="C607" s="20">
        <v>47.701677310924381</v>
      </c>
      <c r="D607" s="20">
        <v>11.197576833550324</v>
      </c>
    </row>
    <row r="608" spans="1:4">
      <c r="A608" s="27" t="s">
        <v>1031</v>
      </c>
      <c r="B608" s="28">
        <v>620</v>
      </c>
      <c r="C608" s="20">
        <v>51.920403361344569</v>
      </c>
      <c r="D608" s="20">
        <v>8.3742586066684783</v>
      </c>
    </row>
    <row r="609" spans="1:4">
      <c r="A609" s="27" t="s">
        <v>1032</v>
      </c>
      <c r="B609" s="28">
        <v>216</v>
      </c>
      <c r="C609" s="20">
        <v>24.619428571428571</v>
      </c>
      <c r="D609" s="20">
        <v>11.397883597883597</v>
      </c>
    </row>
    <row r="610" spans="1:4">
      <c r="A610" s="27" t="s">
        <v>1033</v>
      </c>
      <c r="B610" s="28">
        <v>637</v>
      </c>
      <c r="C610" s="20">
        <v>69.835438655462184</v>
      </c>
      <c r="D610" s="20">
        <v>10.963177182961097</v>
      </c>
    </row>
    <row r="611" spans="1:4">
      <c r="A611" s="27" t="s">
        <v>1034</v>
      </c>
      <c r="B611" s="28">
        <v>146</v>
      </c>
      <c r="C611" s="20">
        <v>5.3658840336134475</v>
      </c>
      <c r="D611" s="20">
        <v>3.6752630367215393</v>
      </c>
    </row>
    <row r="612" spans="1:4">
      <c r="A612" s="27" t="s">
        <v>1035</v>
      </c>
      <c r="B612" s="28">
        <v>151</v>
      </c>
      <c r="C612" s="20">
        <v>6.5029184873949646</v>
      </c>
      <c r="D612" s="20">
        <v>4.306568534698652</v>
      </c>
    </row>
    <row r="613" spans="1:4">
      <c r="A613" s="27" t="s">
        <v>1036</v>
      </c>
      <c r="B613" s="28">
        <v>84</v>
      </c>
      <c r="C613" s="20">
        <v>11.555936134453777</v>
      </c>
      <c r="D613" s="20">
        <v>13.757066826730687</v>
      </c>
    </row>
    <row r="614" spans="1:4">
      <c r="A614" s="27" t="s">
        <v>1037</v>
      </c>
      <c r="B614" s="28">
        <v>164</v>
      </c>
      <c r="C614" s="20">
        <v>1.4126588235294051</v>
      </c>
      <c r="D614" s="20">
        <v>0.86137733142036887</v>
      </c>
    </row>
    <row r="615" spans="1:4">
      <c r="A615" s="27" t="s">
        <v>1039</v>
      </c>
      <c r="B615" s="28">
        <v>288</v>
      </c>
      <c r="C615" s="20">
        <v>21.73960336134455</v>
      </c>
      <c r="D615" s="20">
        <v>7.5484733893557463</v>
      </c>
    </row>
    <row r="616" spans="1:4">
      <c r="A616" s="27" t="s">
        <v>1040</v>
      </c>
      <c r="B616" s="28">
        <v>435</v>
      </c>
      <c r="C616" s="20">
        <v>38.031651260504205</v>
      </c>
      <c r="D616" s="20">
        <v>8.7429083357480923</v>
      </c>
    </row>
    <row r="617" spans="1:4">
      <c r="A617" s="27" t="s">
        <v>1041</v>
      </c>
      <c r="B617" s="28">
        <v>153</v>
      </c>
      <c r="C617" s="20">
        <v>10.830749579831924</v>
      </c>
      <c r="D617" s="20">
        <v>7.0789212940077935</v>
      </c>
    </row>
    <row r="618" spans="1:4">
      <c r="A618" s="27" t="s">
        <v>1043</v>
      </c>
      <c r="B618" s="28">
        <v>107</v>
      </c>
      <c r="C618" s="20">
        <v>8.4272630252100811</v>
      </c>
      <c r="D618" s="20">
        <v>7.8759467525327862</v>
      </c>
    </row>
    <row r="619" spans="1:4">
      <c r="A619" s="27" t="s">
        <v>1044</v>
      </c>
      <c r="B619" s="28">
        <v>312</v>
      </c>
      <c r="C619" s="20">
        <v>18.134803361344524</v>
      </c>
      <c r="D619" s="20">
        <v>5.8124369747899109</v>
      </c>
    </row>
    <row r="620" spans="1:4">
      <c r="A620" s="27" t="s">
        <v>1046</v>
      </c>
      <c r="B620" s="28">
        <v>371</v>
      </c>
      <c r="C620" s="20">
        <v>41.40549495798318</v>
      </c>
      <c r="D620" s="20">
        <v>11.160510770345871</v>
      </c>
    </row>
    <row r="621" spans="1:4">
      <c r="A621" s="27" t="s">
        <v>1048</v>
      </c>
      <c r="B621" s="28">
        <v>142</v>
      </c>
      <c r="C621" s="20">
        <v>10.462084033613444</v>
      </c>
      <c r="D621" s="20">
        <v>7.3676648124038335</v>
      </c>
    </row>
    <row r="622" spans="1:4">
      <c r="A622" s="27" t="s">
        <v>1050</v>
      </c>
      <c r="B622" s="28">
        <v>257</v>
      </c>
      <c r="C622" s="20">
        <v>22.909970588235311</v>
      </c>
      <c r="D622" s="20">
        <v>8.9143854428931171</v>
      </c>
    </row>
    <row r="623" spans="1:4">
      <c r="A623" s="27" t="s">
        <v>1051</v>
      </c>
      <c r="B623" s="28">
        <v>91</v>
      </c>
      <c r="C623" s="20">
        <v>9.3965226890756348</v>
      </c>
      <c r="D623" s="20">
        <v>10.325849108874325</v>
      </c>
    </row>
    <row r="624" spans="1:4">
      <c r="A624" s="27" t="s">
        <v>1053</v>
      </c>
      <c r="B624" s="28">
        <v>103</v>
      </c>
      <c r="C624" s="20">
        <v>10.516582352941175</v>
      </c>
      <c r="D624" s="20">
        <v>10.2102741290691</v>
      </c>
    </row>
    <row r="625" spans="1:4">
      <c r="A625" s="27" t="s">
        <v>1054</v>
      </c>
      <c r="B625" s="28">
        <v>337</v>
      </c>
      <c r="C625" s="20">
        <v>44.486752100840334</v>
      </c>
      <c r="D625" s="20">
        <v>13.200816647133632</v>
      </c>
    </row>
    <row r="626" spans="1:4">
      <c r="A626" s="27" t="s">
        <v>1056</v>
      </c>
      <c r="B626" s="28">
        <v>490</v>
      </c>
      <c r="C626" s="20">
        <v>57.394521008403359</v>
      </c>
      <c r="D626" s="20">
        <v>11.71316755273538</v>
      </c>
    </row>
    <row r="627" spans="1:4">
      <c r="A627" s="27" t="s">
        <v>1057</v>
      </c>
      <c r="B627" s="28">
        <v>108</v>
      </c>
      <c r="C627" s="20">
        <v>8.9081310924369745</v>
      </c>
      <c r="D627" s="20">
        <v>8.2482695300342357</v>
      </c>
    </row>
    <row r="628" spans="1:4">
      <c r="A628" s="27" t="s">
        <v>1058</v>
      </c>
      <c r="B628" s="28">
        <v>533</v>
      </c>
      <c r="C628" s="20">
        <v>49.394573949579836</v>
      </c>
      <c r="D628" s="20">
        <v>9.2672746622101005</v>
      </c>
    </row>
    <row r="629" spans="1:4">
      <c r="A629" s="27" t="s">
        <v>1060</v>
      </c>
      <c r="B629" s="28">
        <v>216</v>
      </c>
      <c r="C629" s="20">
        <v>13.146097478991592</v>
      </c>
      <c r="D629" s="20">
        <v>6.0861562402738851</v>
      </c>
    </row>
    <row r="630" spans="1:4">
      <c r="A630" s="27" t="s">
        <v>1062</v>
      </c>
      <c r="B630" s="28">
        <v>433</v>
      </c>
      <c r="C630" s="20">
        <v>38.71054873949582</v>
      </c>
      <c r="D630" s="20">
        <v>8.9400805402992649</v>
      </c>
    </row>
    <row r="631" spans="1:4">
      <c r="A631" s="27" t="s">
        <v>1064</v>
      </c>
      <c r="B631" s="28">
        <v>290</v>
      </c>
      <c r="C631" s="20">
        <v>21.674352941176465</v>
      </c>
      <c r="D631" s="20">
        <v>7.4739148073022292</v>
      </c>
    </row>
    <row r="632" spans="1:4">
      <c r="A632" s="27" t="s">
        <v>1066</v>
      </c>
      <c r="B632" s="28">
        <v>175</v>
      </c>
      <c r="C632" s="20">
        <v>13.091197478991603</v>
      </c>
      <c r="D632" s="20">
        <v>7.4806842737094872</v>
      </c>
    </row>
    <row r="633" spans="1:4">
      <c r="A633" s="27" t="s">
        <v>1068</v>
      </c>
      <c r="B633" s="28">
        <v>317</v>
      </c>
      <c r="C633" s="20">
        <v>22.158431092436984</v>
      </c>
      <c r="D633" s="20">
        <v>6.9900413540810682</v>
      </c>
    </row>
    <row r="634" spans="1:4">
      <c r="A634" s="27" t="s">
        <v>1069</v>
      </c>
      <c r="B634" s="28">
        <v>308</v>
      </c>
      <c r="C634" s="20">
        <v>25.471589915966405</v>
      </c>
      <c r="D634" s="20">
        <v>8.2699967259631197</v>
      </c>
    </row>
    <row r="635" spans="1:4">
      <c r="A635" s="27" t="s">
        <v>1071</v>
      </c>
      <c r="B635" s="28">
        <v>139</v>
      </c>
      <c r="C635" s="20">
        <v>8.4215596638655512</v>
      </c>
      <c r="D635" s="20">
        <v>6.0586760171694616</v>
      </c>
    </row>
    <row r="636" spans="1:4">
      <c r="A636" s="27" t="s">
        <v>1073</v>
      </c>
      <c r="B636" s="28">
        <v>133</v>
      </c>
      <c r="C636" s="20">
        <v>13.09187647058824</v>
      </c>
      <c r="D636" s="20">
        <v>9.8435161432994285</v>
      </c>
    </row>
    <row r="637" spans="1:4">
      <c r="A637" s="27" t="s">
        <v>1075</v>
      </c>
      <c r="B637" s="28">
        <v>158</v>
      </c>
      <c r="C637" s="20">
        <v>4.5136588235294113</v>
      </c>
      <c r="D637" s="20">
        <v>2.8567460908413995</v>
      </c>
    </row>
    <row r="638" spans="1:4">
      <c r="A638" s="27" t="s">
        <v>1076</v>
      </c>
      <c r="B638" s="28">
        <v>198</v>
      </c>
      <c r="C638" s="20">
        <v>23.232089075630263</v>
      </c>
      <c r="D638" s="20">
        <v>11.733378321025386</v>
      </c>
    </row>
    <row r="639" spans="1:4">
      <c r="A639" s="27" t="s">
        <v>1078</v>
      </c>
      <c r="B639" s="28">
        <v>90</v>
      </c>
      <c r="C639" s="20">
        <v>6.6782941176470594</v>
      </c>
      <c r="D639" s="20">
        <v>7.4203267973856217</v>
      </c>
    </row>
    <row r="640" spans="1:4">
      <c r="A640" s="27" t="s">
        <v>1080</v>
      </c>
      <c r="B640" s="28">
        <v>207</v>
      </c>
      <c r="C640" s="20">
        <v>20.015090756302527</v>
      </c>
      <c r="D640" s="20">
        <v>9.6691259692282738</v>
      </c>
    </row>
    <row r="641" spans="1:4">
      <c r="A641" s="27" t="s">
        <v>1081</v>
      </c>
      <c r="B641" s="28">
        <v>598</v>
      </c>
      <c r="C641" s="20">
        <v>58.868578151260508</v>
      </c>
      <c r="D641" s="20">
        <v>9.8442438380034289</v>
      </c>
    </row>
    <row r="642" spans="1:4">
      <c r="A642" s="27" t="s">
        <v>1082</v>
      </c>
      <c r="B642" s="28">
        <v>86</v>
      </c>
      <c r="C642" s="20">
        <v>9.5392924369747938</v>
      </c>
      <c r="D642" s="20">
        <v>11.092200508110226</v>
      </c>
    </row>
    <row r="643" spans="1:4">
      <c r="A643" s="27" t="s">
        <v>1083</v>
      </c>
      <c r="B643" s="28">
        <v>264</v>
      </c>
      <c r="C643" s="20">
        <v>22.130890756302527</v>
      </c>
      <c r="D643" s="20">
        <v>8.3829131652661086</v>
      </c>
    </row>
    <row r="644" spans="1:4">
      <c r="A644" s="27" t="s">
        <v>1084</v>
      </c>
      <c r="B644" s="28">
        <v>332</v>
      </c>
      <c r="C644" s="20">
        <v>22.716467226890757</v>
      </c>
      <c r="D644" s="20">
        <v>6.8423094056899867</v>
      </c>
    </row>
    <row r="645" spans="1:4">
      <c r="A645" s="27" t="s">
        <v>1085</v>
      </c>
      <c r="B645" s="28">
        <v>619</v>
      </c>
      <c r="C645" s="20">
        <v>65.867906722689071</v>
      </c>
      <c r="D645" s="20">
        <v>10.641018856654131</v>
      </c>
    </row>
    <row r="646" spans="1:4">
      <c r="A646" s="27" t="s">
        <v>1086</v>
      </c>
      <c r="B646" s="28">
        <v>127</v>
      </c>
      <c r="C646" s="20">
        <v>8.2343537815126169</v>
      </c>
      <c r="D646" s="20">
        <v>6.4837431350493056</v>
      </c>
    </row>
    <row r="647" spans="1:4">
      <c r="A647" s="27" t="s">
        <v>1087</v>
      </c>
      <c r="B647" s="28">
        <v>178</v>
      </c>
      <c r="C647" s="20">
        <v>14.883179831932779</v>
      </c>
      <c r="D647" s="20">
        <v>8.3613369842318992</v>
      </c>
    </row>
    <row r="648" spans="1:4">
      <c r="A648" s="27" t="s">
        <v>1089</v>
      </c>
      <c r="B648" s="28">
        <v>611</v>
      </c>
      <c r="C648" s="20">
        <v>49.814219327731095</v>
      </c>
      <c r="D648" s="20">
        <v>8.1529000536384775</v>
      </c>
    </row>
    <row r="649" spans="1:4">
      <c r="A649" s="27" t="s">
        <v>1090</v>
      </c>
      <c r="B649" s="28">
        <v>533</v>
      </c>
      <c r="C649" s="20">
        <v>50.447068067226922</v>
      </c>
      <c r="D649" s="20">
        <v>9.4647407255585225</v>
      </c>
    </row>
    <row r="650" spans="1:4">
      <c r="A650" s="27" t="s">
        <v>1091</v>
      </c>
      <c r="B650" s="28">
        <v>186</v>
      </c>
      <c r="C650" s="20">
        <v>17.342505882352945</v>
      </c>
      <c r="D650" s="20">
        <v>9.3239278937381425</v>
      </c>
    </row>
    <row r="651" spans="1:4">
      <c r="A651" s="27" t="s">
        <v>1092</v>
      </c>
      <c r="B651" s="28">
        <v>183</v>
      </c>
      <c r="C651" s="20">
        <v>14.52423613445378</v>
      </c>
      <c r="D651" s="20">
        <v>7.9367410570785681</v>
      </c>
    </row>
    <row r="652" spans="1:4">
      <c r="A652" s="27" t="s">
        <v>1093</v>
      </c>
      <c r="B652" s="28">
        <v>318</v>
      </c>
      <c r="C652" s="20">
        <v>28.612626890756303</v>
      </c>
      <c r="D652" s="20">
        <v>8.9976814121875162</v>
      </c>
    </row>
    <row r="653" spans="1:4">
      <c r="A653" s="27" t="s">
        <v>1094</v>
      </c>
      <c r="B653" s="28">
        <v>556</v>
      </c>
      <c r="C653" s="20">
        <v>47.179173109243706</v>
      </c>
      <c r="D653" s="20">
        <v>8.4854627894323222</v>
      </c>
    </row>
    <row r="654" spans="1:4">
      <c r="A654" s="27" t="s">
        <v>1095</v>
      </c>
      <c r="B654" s="28">
        <v>305</v>
      </c>
      <c r="C654" s="20">
        <v>21.143172268907577</v>
      </c>
      <c r="D654" s="20">
        <v>6.9321876291500262</v>
      </c>
    </row>
    <row r="655" spans="1:4">
      <c r="A655" s="27" t="s">
        <v>1097</v>
      </c>
      <c r="B655" s="28">
        <v>157</v>
      </c>
      <c r="C655" s="20">
        <v>8.4089117647058842</v>
      </c>
      <c r="D655" s="20">
        <v>5.3559947545897355</v>
      </c>
    </row>
    <row r="656" spans="1:4">
      <c r="A656" s="27" t="s">
        <v>1099</v>
      </c>
      <c r="B656" s="28">
        <v>524</v>
      </c>
      <c r="C656" s="20">
        <v>138.93074957983194</v>
      </c>
      <c r="D656" s="20">
        <v>26.513501828212206</v>
      </c>
    </row>
    <row r="657" spans="1:4">
      <c r="A657" s="27" t="s">
        <v>1100</v>
      </c>
      <c r="B657" s="28">
        <v>253</v>
      </c>
      <c r="C657" s="20">
        <v>23.587736134453777</v>
      </c>
      <c r="D657" s="20">
        <v>9.3232158634204652</v>
      </c>
    </row>
    <row r="658" spans="1:4">
      <c r="A658" s="27" t="s">
        <v>1102</v>
      </c>
      <c r="B658" s="28">
        <v>238</v>
      </c>
      <c r="C658" s="20">
        <v>14.341478991596645</v>
      </c>
      <c r="D658" s="20">
        <v>6.0258315090742203</v>
      </c>
    </row>
    <row r="659" spans="1:4">
      <c r="A659" s="27" t="s">
        <v>1103</v>
      </c>
      <c r="B659" s="28">
        <v>110</v>
      </c>
      <c r="C659" s="20">
        <v>10.655890756302526</v>
      </c>
      <c r="D659" s="20">
        <v>9.687173414820478</v>
      </c>
    </row>
    <row r="660" spans="1:4">
      <c r="A660" s="27" t="s">
        <v>1104</v>
      </c>
      <c r="B660" s="28">
        <v>239</v>
      </c>
      <c r="C660" s="20">
        <v>20.99911512605042</v>
      </c>
      <c r="D660" s="20">
        <v>8.7862406385148191</v>
      </c>
    </row>
    <row r="661" spans="1:4">
      <c r="A661" s="27" t="s">
        <v>1106</v>
      </c>
      <c r="B661" s="28">
        <v>296</v>
      </c>
      <c r="C661" s="20">
        <v>19.25561008403362</v>
      </c>
      <c r="D661" s="20">
        <v>6.5052736770383852</v>
      </c>
    </row>
    <row r="662" spans="1:4">
      <c r="A662" s="27" t="s">
        <v>1108</v>
      </c>
      <c r="B662" s="28">
        <v>267</v>
      </c>
      <c r="C662" s="20">
        <v>85.224746218487411</v>
      </c>
      <c r="D662" s="20">
        <v>31.919380606175064</v>
      </c>
    </row>
    <row r="663" spans="1:4">
      <c r="A663" s="27" t="s">
        <v>1110</v>
      </c>
      <c r="B663" s="28">
        <v>158</v>
      </c>
      <c r="C663" s="20">
        <v>8.0948756302520977</v>
      </c>
      <c r="D663" s="20">
        <v>5.1233390064886697</v>
      </c>
    </row>
    <row r="664" spans="1:4">
      <c r="A664" s="27" t="s">
        <v>1112</v>
      </c>
      <c r="B664" s="28">
        <v>241</v>
      </c>
      <c r="C664" s="20">
        <v>23.538606722689089</v>
      </c>
      <c r="D664" s="20">
        <v>9.7670567314062602</v>
      </c>
    </row>
    <row r="665" spans="1:4">
      <c r="A665" s="27" t="s">
        <v>1113</v>
      </c>
      <c r="B665" s="28">
        <v>536</v>
      </c>
      <c r="C665" s="20">
        <v>62.399872268907558</v>
      </c>
      <c r="D665" s="20">
        <v>11.641767214348425</v>
      </c>
    </row>
    <row r="666" spans="1:4">
      <c r="A666" s="27" t="s">
        <v>1115</v>
      </c>
      <c r="B666" s="28">
        <v>136</v>
      </c>
      <c r="C666" s="20">
        <v>10.988799999999998</v>
      </c>
      <c r="D666" s="20">
        <v>8.0799999999999983</v>
      </c>
    </row>
    <row r="667" spans="1:4">
      <c r="A667" s="27" t="s">
        <v>1117</v>
      </c>
      <c r="B667" s="28">
        <v>531</v>
      </c>
      <c r="C667" s="20">
        <v>44.200022689075624</v>
      </c>
      <c r="D667" s="20">
        <v>8.3239214103720567</v>
      </c>
    </row>
    <row r="668" spans="1:4">
      <c r="A668" s="27" t="s">
        <v>1118</v>
      </c>
      <c r="B668" s="28">
        <v>284</v>
      </c>
      <c r="C668" s="20">
        <v>23.583092436974809</v>
      </c>
      <c r="D668" s="20">
        <v>8.3039057876671851</v>
      </c>
    </row>
    <row r="669" spans="1:4">
      <c r="A669" s="27" t="s">
        <v>1119</v>
      </c>
      <c r="B669" s="28">
        <v>412</v>
      </c>
      <c r="C669" s="20">
        <v>39.145872268907596</v>
      </c>
      <c r="D669" s="20">
        <v>9.5014253079872812</v>
      </c>
    </row>
    <row r="670" spans="1:4">
      <c r="A670" s="27" t="s">
        <v>1121</v>
      </c>
      <c r="B670" s="28">
        <v>504</v>
      </c>
      <c r="C670" s="20">
        <v>58.554991596638658</v>
      </c>
      <c r="D670" s="20">
        <v>11.618053888221956</v>
      </c>
    </row>
    <row r="671" spans="1:4">
      <c r="A671" s="27" t="s">
        <v>1122</v>
      </c>
      <c r="B671" s="28">
        <v>184</v>
      </c>
      <c r="C671" s="20">
        <v>18.209438655462193</v>
      </c>
      <c r="D671" s="20">
        <v>9.8964340518816272</v>
      </c>
    </row>
    <row r="672" spans="1:4">
      <c r="A672" s="27" t="s">
        <v>1124</v>
      </c>
      <c r="B672" s="28">
        <v>231</v>
      </c>
      <c r="C672" s="20">
        <v>25.149162184873951</v>
      </c>
      <c r="D672" s="20">
        <v>10.88708319691513</v>
      </c>
    </row>
    <row r="673" spans="1:4">
      <c r="A673" s="27" t="s">
        <v>1125</v>
      </c>
      <c r="B673" s="28">
        <v>496</v>
      </c>
      <c r="C673" s="20">
        <v>54.837418487394942</v>
      </c>
      <c r="D673" s="20">
        <v>11.055931146652206</v>
      </c>
    </row>
    <row r="674" spans="1:4">
      <c r="A674" s="27" t="s">
        <v>1126</v>
      </c>
      <c r="B674" s="28">
        <v>275</v>
      </c>
      <c r="C674" s="20">
        <v>15.094978991596648</v>
      </c>
      <c r="D674" s="20">
        <v>5.4890832696715082</v>
      </c>
    </row>
    <row r="675" spans="1:4">
      <c r="A675" s="27" t="s">
        <v>1128</v>
      </c>
      <c r="B675" s="28">
        <v>163</v>
      </c>
      <c r="C675" s="20">
        <v>9.6963453781512712</v>
      </c>
      <c r="D675" s="20">
        <v>5.9486781461050739</v>
      </c>
    </row>
    <row r="676" spans="1:4">
      <c r="A676" s="27" t="s">
        <v>1129</v>
      </c>
      <c r="B676" s="28">
        <v>267</v>
      </c>
      <c r="C676" s="20">
        <v>20.173895798319336</v>
      </c>
      <c r="D676" s="20">
        <v>7.555766216599002</v>
      </c>
    </row>
    <row r="677" spans="1:4">
      <c r="A677" s="27" t="s">
        <v>1131</v>
      </c>
      <c r="B677" s="28">
        <v>581</v>
      </c>
      <c r="C677" s="20">
        <v>51.834431932773128</v>
      </c>
      <c r="D677" s="20">
        <v>8.9215889729385758</v>
      </c>
    </row>
    <row r="678" spans="1:4">
      <c r="A678" s="27" t="s">
        <v>1133</v>
      </c>
      <c r="B678" s="28">
        <v>502</v>
      </c>
      <c r="C678" s="20">
        <v>43.325697478991614</v>
      </c>
      <c r="D678" s="20">
        <v>8.630617027687574</v>
      </c>
    </row>
    <row r="679" spans="1:4">
      <c r="A679" s="27" t="s">
        <v>1135</v>
      </c>
      <c r="B679" s="28">
        <v>545</v>
      </c>
      <c r="C679" s="20">
        <v>53.239247899159679</v>
      </c>
      <c r="D679" s="20">
        <v>9.7686693392953536</v>
      </c>
    </row>
    <row r="680" spans="1:4">
      <c r="A680" s="27" t="s">
        <v>1136</v>
      </c>
      <c r="B680" s="28">
        <v>179</v>
      </c>
      <c r="C680" s="20">
        <v>19.829249579831931</v>
      </c>
      <c r="D680" s="20">
        <v>11.077793061358621</v>
      </c>
    </row>
    <row r="681" spans="1:4">
      <c r="A681" s="27" t="s">
        <v>1138</v>
      </c>
      <c r="B681" s="28">
        <v>418</v>
      </c>
      <c r="C681" s="20">
        <v>31.312653781512623</v>
      </c>
      <c r="D681" s="20">
        <v>7.4910654979695277</v>
      </c>
    </row>
    <row r="682" spans="1:4">
      <c r="A682" s="27" t="s">
        <v>1140</v>
      </c>
      <c r="B682" s="28">
        <v>113</v>
      </c>
      <c r="C682" s="20">
        <v>6.8306126050420133</v>
      </c>
      <c r="D682" s="20">
        <v>6.0447899159663834</v>
      </c>
    </row>
    <row r="683" spans="1:4">
      <c r="A683" s="27" t="s">
        <v>1142</v>
      </c>
      <c r="B683" s="28">
        <v>245</v>
      </c>
      <c r="C683" s="20">
        <v>18.481205882352945</v>
      </c>
      <c r="D683" s="20">
        <v>7.5433493397358955</v>
      </c>
    </row>
    <row r="684" spans="1:4">
      <c r="A684" s="27" t="s">
        <v>1143</v>
      </c>
      <c r="B684" s="28">
        <v>87</v>
      </c>
      <c r="C684" s="20">
        <v>10.857593277310926</v>
      </c>
      <c r="D684" s="20">
        <v>12.479992272771179</v>
      </c>
    </row>
    <row r="685" spans="1:4">
      <c r="A685" s="27" t="s">
        <v>1145</v>
      </c>
      <c r="B685" s="28">
        <v>95</v>
      </c>
      <c r="C685" s="20">
        <v>9.5580084033613524</v>
      </c>
      <c r="D685" s="20">
        <v>10.061061477222475</v>
      </c>
    </row>
    <row r="686" spans="1:4">
      <c r="A686" s="27" t="s">
        <v>1146</v>
      </c>
      <c r="B686" s="28">
        <v>213</v>
      </c>
      <c r="C686" s="20">
        <v>17.148589915966397</v>
      </c>
      <c r="D686" s="20">
        <v>8.0509811812048824</v>
      </c>
    </row>
    <row r="687" spans="1:4">
      <c r="A687" s="27" t="s">
        <v>1147</v>
      </c>
      <c r="B687" s="28">
        <v>328</v>
      </c>
      <c r="C687" s="20">
        <v>8.1583663865546185</v>
      </c>
      <c r="D687" s="20">
        <v>2.4873068251690911</v>
      </c>
    </row>
    <row r="688" spans="1:4">
      <c r="A688" s="27" t="s">
        <v>1149</v>
      </c>
      <c r="B688" s="28">
        <v>222</v>
      </c>
      <c r="C688" s="20">
        <v>15.067418487394967</v>
      </c>
      <c r="D688" s="20">
        <v>6.7871254447725073</v>
      </c>
    </row>
    <row r="689" spans="1:4">
      <c r="A689" s="27" t="s">
        <v>1151</v>
      </c>
      <c r="B689" s="28">
        <v>247</v>
      </c>
      <c r="C689" s="20">
        <v>20.595263865546222</v>
      </c>
      <c r="D689" s="20">
        <v>8.3381635083183081</v>
      </c>
    </row>
    <row r="690" spans="1:4">
      <c r="A690" s="27" t="s">
        <v>1153</v>
      </c>
      <c r="B690" s="28">
        <v>200</v>
      </c>
      <c r="C690" s="20">
        <v>23.183361344537815</v>
      </c>
      <c r="D690" s="20">
        <v>11.591680672268907</v>
      </c>
    </row>
    <row r="691" spans="1:4">
      <c r="A691" s="27" t="s">
        <v>1154</v>
      </c>
      <c r="B691" s="28">
        <v>134</v>
      </c>
      <c r="C691" s="20">
        <v>3.4892890756302535</v>
      </c>
      <c r="D691" s="20">
        <v>2.6039470713658606</v>
      </c>
    </row>
    <row r="692" spans="1:4">
      <c r="A692" s="27" t="s">
        <v>1156</v>
      </c>
      <c r="B692" s="28">
        <v>214</v>
      </c>
      <c r="C692" s="20">
        <v>18.260959663865563</v>
      </c>
      <c r="D692" s="20">
        <v>8.5331587214325051</v>
      </c>
    </row>
    <row r="693" spans="1:4">
      <c r="A693" s="27" t="s">
        <v>1157</v>
      </c>
      <c r="B693" s="28">
        <v>100</v>
      </c>
      <c r="C693" s="20">
        <v>8.7101680672268884</v>
      </c>
      <c r="D693" s="20">
        <v>8.7101680672268884</v>
      </c>
    </row>
    <row r="694" spans="1:4">
      <c r="A694" s="27" t="s">
        <v>1159</v>
      </c>
      <c r="B694" s="28">
        <v>126</v>
      </c>
      <c r="C694" s="20">
        <v>6.5075848739495825</v>
      </c>
      <c r="D694" s="20">
        <v>5.1647498999599861</v>
      </c>
    </row>
    <row r="695" spans="1:4">
      <c r="A695" s="27" t="s">
        <v>1161</v>
      </c>
      <c r="B695" s="28">
        <v>168</v>
      </c>
      <c r="C695" s="20">
        <v>11.371045378151273</v>
      </c>
      <c r="D695" s="20">
        <v>6.7684793917567099</v>
      </c>
    </row>
    <row r="696" spans="1:4">
      <c r="A696" s="27" t="s">
        <v>1162</v>
      </c>
      <c r="B696" s="28">
        <v>168</v>
      </c>
      <c r="C696" s="20">
        <v>16.722890756302519</v>
      </c>
      <c r="D696" s="20">
        <v>9.9541016406562619</v>
      </c>
    </row>
    <row r="697" spans="1:4">
      <c r="A697" s="27" t="s">
        <v>1163</v>
      </c>
      <c r="B697" s="28">
        <v>203</v>
      </c>
      <c r="C697" s="20">
        <v>21.4532243697479</v>
      </c>
      <c r="D697" s="20">
        <v>10.568090822535911</v>
      </c>
    </row>
    <row r="698" spans="1:4">
      <c r="A698" s="27" t="s">
        <v>1165</v>
      </c>
      <c r="B698" s="28">
        <v>173</v>
      </c>
      <c r="C698" s="20">
        <v>17.103469747899162</v>
      </c>
      <c r="D698" s="20">
        <v>9.8863986982076071</v>
      </c>
    </row>
    <row r="699" spans="1:4">
      <c r="A699" s="27" t="s">
        <v>1166</v>
      </c>
      <c r="B699" s="28">
        <v>185</v>
      </c>
      <c r="C699" s="20">
        <v>15.362823529411763</v>
      </c>
      <c r="D699" s="20">
        <v>8.3042289348171696</v>
      </c>
    </row>
    <row r="700" spans="1:4">
      <c r="A700" s="27" t="s">
        <v>1168</v>
      </c>
      <c r="B700" s="28">
        <v>446</v>
      </c>
      <c r="C700" s="20">
        <v>40.59720336134454</v>
      </c>
      <c r="D700" s="20">
        <v>9.1025119644270269</v>
      </c>
    </row>
    <row r="701" spans="1:4">
      <c r="A701" s="27" t="s">
        <v>1170</v>
      </c>
      <c r="B701" s="28">
        <v>300</v>
      </c>
      <c r="C701" s="20">
        <v>20.683949579831932</v>
      </c>
      <c r="D701" s="20">
        <v>6.8946498599439767</v>
      </c>
    </row>
    <row r="702" spans="1:4">
      <c r="A702" s="27" t="s">
        <v>1172</v>
      </c>
      <c r="B702" s="28">
        <v>262</v>
      </c>
      <c r="C702" s="20">
        <v>16.587684033613442</v>
      </c>
      <c r="D702" s="20">
        <v>6.3311771120662002</v>
      </c>
    </row>
    <row r="703" spans="1:4">
      <c r="A703" s="27" t="s">
        <v>1173</v>
      </c>
      <c r="B703" s="28">
        <v>126</v>
      </c>
      <c r="C703" s="20">
        <v>6.8562991596638696</v>
      </c>
      <c r="D703" s="20">
        <v>5.4415072695745001</v>
      </c>
    </row>
    <row r="704" spans="1:4">
      <c r="A704" s="27" t="s">
        <v>1174</v>
      </c>
      <c r="B704" s="28">
        <v>108</v>
      </c>
      <c r="C704" s="20">
        <v>10.730420168067226</v>
      </c>
      <c r="D704" s="20">
        <v>9.935574229691877</v>
      </c>
    </row>
    <row r="705" spans="1:4">
      <c r="A705" s="27" t="s">
        <v>1175</v>
      </c>
      <c r="B705" s="28">
        <v>322</v>
      </c>
      <c r="C705" s="20">
        <v>16.789005042016825</v>
      </c>
      <c r="D705" s="20">
        <v>5.2139767211232373</v>
      </c>
    </row>
    <row r="706" spans="1:4">
      <c r="A706" s="27" t="s">
        <v>1176</v>
      </c>
      <c r="B706" s="28">
        <v>233</v>
      </c>
      <c r="C706" s="20">
        <v>18.791228571428562</v>
      </c>
      <c r="D706" s="20">
        <v>8.0649049662783518</v>
      </c>
    </row>
    <row r="707" spans="1:4">
      <c r="A707" s="27" t="s">
        <v>1178</v>
      </c>
      <c r="B707" s="28">
        <v>182</v>
      </c>
      <c r="C707" s="20">
        <v>18.61416134453782</v>
      </c>
      <c r="D707" s="20">
        <v>10.227561178317483</v>
      </c>
    </row>
    <row r="708" spans="1:4">
      <c r="A708" s="27" t="s">
        <v>1180</v>
      </c>
      <c r="B708" s="28">
        <v>269</v>
      </c>
      <c r="C708" s="20">
        <v>21.124745378151268</v>
      </c>
      <c r="D708" s="20">
        <v>7.8530651963387612</v>
      </c>
    </row>
    <row r="709" spans="1:4">
      <c r="A709" s="27" t="s">
        <v>1181</v>
      </c>
      <c r="B709" s="28">
        <v>186</v>
      </c>
      <c r="C709" s="20">
        <v>17.686146218487409</v>
      </c>
      <c r="D709" s="20">
        <v>9.5086807626276393</v>
      </c>
    </row>
    <row r="710" spans="1:4">
      <c r="A710" s="27" t="s">
        <v>1183</v>
      </c>
      <c r="B710" s="28">
        <v>448</v>
      </c>
      <c r="C710" s="20">
        <v>49.458272268907564</v>
      </c>
      <c r="D710" s="20">
        <v>11.039792917166867</v>
      </c>
    </row>
    <row r="711" spans="1:4">
      <c r="A711" s="27" t="s">
        <v>1185</v>
      </c>
      <c r="B711" s="28">
        <v>502</v>
      </c>
      <c r="C711" s="20">
        <v>56.65339495798321</v>
      </c>
      <c r="D711" s="20">
        <v>11.285536844219763</v>
      </c>
    </row>
    <row r="712" spans="1:4">
      <c r="A712" s="27" t="s">
        <v>1187</v>
      </c>
      <c r="B712" s="28">
        <v>312</v>
      </c>
      <c r="C712" s="20">
        <v>28.211300840336136</v>
      </c>
      <c r="D712" s="20">
        <v>9.0420836026718376</v>
      </c>
    </row>
    <row r="713" spans="1:4">
      <c r="A713" s="27" t="s">
        <v>1188</v>
      </c>
      <c r="B713" s="28">
        <v>498</v>
      </c>
      <c r="C713" s="20">
        <v>54.941104201680673</v>
      </c>
      <c r="D713" s="20">
        <v>11.032350241301341</v>
      </c>
    </row>
    <row r="714" spans="1:4">
      <c r="A714" s="27" t="s">
        <v>1190</v>
      </c>
      <c r="B714" s="28">
        <v>142</v>
      </c>
      <c r="C714" s="20">
        <v>8.4861193277310889</v>
      </c>
      <c r="D714" s="20">
        <v>5.9761403716416117</v>
      </c>
    </row>
    <row r="715" spans="1:4">
      <c r="A715" s="27" t="s">
        <v>1191</v>
      </c>
      <c r="B715" s="28">
        <v>166</v>
      </c>
      <c r="C715" s="20">
        <v>1.3638285714285772</v>
      </c>
      <c r="D715" s="20">
        <v>0.82158347676420318</v>
      </c>
    </row>
    <row r="716" spans="1:4">
      <c r="A716" s="27" t="s">
        <v>1193</v>
      </c>
      <c r="B716" s="28">
        <v>94</v>
      </c>
      <c r="C716" s="20">
        <v>10.514127731092444</v>
      </c>
      <c r="D716" s="20">
        <v>11.185242267119619</v>
      </c>
    </row>
    <row r="717" spans="1:4">
      <c r="A717" s="27" t="s">
        <v>1194</v>
      </c>
      <c r="B717" s="28">
        <v>213</v>
      </c>
      <c r="C717" s="20">
        <v>15.118674789915978</v>
      </c>
      <c r="D717" s="20">
        <v>7.0979693849370795</v>
      </c>
    </row>
    <row r="718" spans="1:4">
      <c r="A718" s="27" t="s">
        <v>1196</v>
      </c>
      <c r="B718" s="28">
        <v>465</v>
      </c>
      <c r="C718" s="20">
        <v>56.398567226890762</v>
      </c>
      <c r="D718" s="20">
        <v>12.128724134815219</v>
      </c>
    </row>
    <row r="719" spans="1:4">
      <c r="A719" s="27" t="s">
        <v>1198</v>
      </c>
      <c r="B719" s="28">
        <v>118</v>
      </c>
      <c r="C719" s="20">
        <v>4.5972638655462248</v>
      </c>
      <c r="D719" s="20">
        <v>3.8959863267340888</v>
      </c>
    </row>
    <row r="720" spans="1:4">
      <c r="A720" s="27" t="s">
        <v>1199</v>
      </c>
      <c r="B720" s="28">
        <v>470</v>
      </c>
      <c r="C720" s="20">
        <v>44.643453781512605</v>
      </c>
      <c r="D720" s="20">
        <v>9.4986071875558729</v>
      </c>
    </row>
    <row r="721" spans="1:4">
      <c r="A721" s="27" t="s">
        <v>1200</v>
      </c>
      <c r="B721" s="28">
        <v>159</v>
      </c>
      <c r="C721" s="20">
        <v>7.0253285714285809</v>
      </c>
      <c r="D721" s="20">
        <v>4.4184456424079119</v>
      </c>
    </row>
    <row r="722" spans="1:4">
      <c r="A722" s="27" t="s">
        <v>1202</v>
      </c>
      <c r="B722" s="28">
        <v>572</v>
      </c>
      <c r="C722" s="20">
        <v>45.423697478991613</v>
      </c>
      <c r="D722" s="20">
        <v>7.9412058529705618</v>
      </c>
    </row>
    <row r="723" spans="1:4">
      <c r="A723" s="27" t="s">
        <v>1203</v>
      </c>
      <c r="B723" s="28">
        <v>268</v>
      </c>
      <c r="C723" s="20">
        <v>15.870087394957991</v>
      </c>
      <c r="D723" s="20">
        <v>5.9216744011037283</v>
      </c>
    </row>
    <row r="724" spans="1:4">
      <c r="A724" s="27" t="s">
        <v>1204</v>
      </c>
      <c r="B724" s="28">
        <v>109</v>
      </c>
      <c r="C724" s="20">
        <v>10.04728907563025</v>
      </c>
      <c r="D724" s="20">
        <v>9.2176963996607792</v>
      </c>
    </row>
    <row r="725" spans="1:4">
      <c r="A725" s="27" t="s">
        <v>1206</v>
      </c>
      <c r="B725" s="28">
        <v>304</v>
      </c>
      <c r="C725" s="20">
        <v>15.190843697478982</v>
      </c>
      <c r="D725" s="20">
        <v>4.9969880583812447</v>
      </c>
    </row>
    <row r="726" spans="1:4">
      <c r="A726" s="27" t="s">
        <v>1208</v>
      </c>
      <c r="B726" s="28">
        <v>163</v>
      </c>
      <c r="C726" s="20">
        <v>8.028932773109247</v>
      </c>
      <c r="D726" s="20">
        <v>4.9257256276743853</v>
      </c>
    </row>
    <row r="727" spans="1:4">
      <c r="A727" s="27" t="s">
        <v>1210</v>
      </c>
      <c r="B727" s="28">
        <v>152</v>
      </c>
      <c r="C727" s="20">
        <v>11.079321008403362</v>
      </c>
      <c r="D727" s="20">
        <v>7.2890269792127382</v>
      </c>
    </row>
    <row r="728" spans="1:4">
      <c r="A728" s="27" t="s">
        <v>1212</v>
      </c>
      <c r="B728" s="28">
        <v>83</v>
      </c>
      <c r="C728" s="20">
        <v>8.2662789915966393</v>
      </c>
      <c r="D728" s="20">
        <v>9.9593722790320953</v>
      </c>
    </row>
    <row r="729" spans="1:4">
      <c r="A729" s="27" t="s">
        <v>1214</v>
      </c>
      <c r="B729" s="28">
        <v>546</v>
      </c>
      <c r="C729" s="20">
        <v>46.707431932773105</v>
      </c>
      <c r="D729" s="20">
        <v>8.5544747129621062</v>
      </c>
    </row>
    <row r="730" spans="1:4">
      <c r="A730" s="27" t="s">
        <v>1215</v>
      </c>
      <c r="B730" s="28">
        <v>176</v>
      </c>
      <c r="C730" s="20">
        <v>16.989821848739496</v>
      </c>
      <c r="D730" s="20">
        <v>9.6533078686019866</v>
      </c>
    </row>
    <row r="731" spans="1:4">
      <c r="A731" s="27" t="s">
        <v>1216</v>
      </c>
      <c r="B731" s="28">
        <v>105</v>
      </c>
      <c r="C731" s="20">
        <v>6.5112394957983213</v>
      </c>
      <c r="D731" s="20">
        <v>6.2011804721888772</v>
      </c>
    </row>
    <row r="732" spans="1:4">
      <c r="A732" s="27" t="s">
        <v>1218</v>
      </c>
      <c r="B732" s="28">
        <v>177</v>
      </c>
      <c r="C732" s="20">
        <v>16.432658823529415</v>
      </c>
      <c r="D732" s="20">
        <v>9.2839880358923246</v>
      </c>
    </row>
    <row r="733" spans="1:4">
      <c r="A733" s="27" t="s">
        <v>1219</v>
      </c>
      <c r="B733" s="28">
        <v>267</v>
      </c>
      <c r="C733" s="20">
        <v>23.325985714285707</v>
      </c>
      <c r="D733" s="20">
        <v>8.7363242375601899</v>
      </c>
    </row>
    <row r="734" spans="1:4">
      <c r="A734" s="27" t="s">
        <v>1221</v>
      </c>
      <c r="B734" s="28">
        <v>141</v>
      </c>
      <c r="C734" s="20">
        <v>13.769301680672271</v>
      </c>
      <c r="D734" s="20">
        <v>9.7654621848739502</v>
      </c>
    </row>
    <row r="735" spans="1:4">
      <c r="A735" s="27" t="s">
        <v>1222</v>
      </c>
      <c r="B735" s="28">
        <v>186</v>
      </c>
      <c r="C735" s="20">
        <v>17.128334453781513</v>
      </c>
      <c r="D735" s="20">
        <v>9.2087819643986624</v>
      </c>
    </row>
    <row r="736" spans="1:4">
      <c r="A736" s="27" t="s">
        <v>1224</v>
      </c>
      <c r="B736" s="28">
        <v>115</v>
      </c>
      <c r="C736" s="20">
        <v>6.3739369747899133</v>
      </c>
      <c r="D736" s="20">
        <v>5.5425538911216643</v>
      </c>
    </row>
    <row r="737" spans="1:4">
      <c r="A737" s="27" t="s">
        <v>1226</v>
      </c>
      <c r="B737" s="28">
        <v>121</v>
      </c>
      <c r="C737" s="20">
        <v>6.0910647058823528</v>
      </c>
      <c r="D737" s="20">
        <v>5.0339377734564899</v>
      </c>
    </row>
    <row r="738" spans="1:4">
      <c r="A738" s="27" t="s">
        <v>1227</v>
      </c>
      <c r="B738" s="28">
        <v>228</v>
      </c>
      <c r="C738" s="20">
        <v>23.927018487394967</v>
      </c>
      <c r="D738" s="20">
        <v>10.494306354120599</v>
      </c>
    </row>
    <row r="739" spans="1:4">
      <c r="A739" s="27" t="s">
        <v>1229</v>
      </c>
      <c r="B739" s="28">
        <v>93</v>
      </c>
      <c r="C739" s="20">
        <v>10.579700840336137</v>
      </c>
      <c r="D739" s="20">
        <v>11.376022408963589</v>
      </c>
    </row>
    <row r="740" spans="1:4">
      <c r="A740" s="27" t="s">
        <v>1231</v>
      </c>
      <c r="B740" s="28">
        <v>236</v>
      </c>
      <c r="C740" s="20">
        <v>21.079976470588235</v>
      </c>
      <c r="D740" s="20">
        <v>8.9321934197407771</v>
      </c>
    </row>
    <row r="741" spans="1:4">
      <c r="A741" s="27" t="s">
        <v>1232</v>
      </c>
      <c r="B741" s="28">
        <v>292</v>
      </c>
      <c r="C741" s="20">
        <v>18.946013445378142</v>
      </c>
      <c r="D741" s="20">
        <v>6.4883607689651166</v>
      </c>
    </row>
    <row r="742" spans="1:4">
      <c r="A742" s="27" t="s">
        <v>1234</v>
      </c>
      <c r="B742" s="28">
        <v>46313</v>
      </c>
      <c r="C742" s="20">
        <v>-13668.20157394958</v>
      </c>
      <c r="D742" s="20">
        <v>-29.512667229394729</v>
      </c>
    </row>
    <row r="743" spans="1:4">
      <c r="A743" s="27" t="s">
        <v>1235</v>
      </c>
      <c r="B743" s="28">
        <v>180</v>
      </c>
      <c r="C743" s="20">
        <v>20.140941176470591</v>
      </c>
      <c r="D743" s="20">
        <v>11.189411764705884</v>
      </c>
    </row>
    <row r="744" spans="1:4">
      <c r="A744" s="27" t="s">
        <v>1236</v>
      </c>
      <c r="B744" s="28">
        <v>113</v>
      </c>
      <c r="C744" s="20">
        <v>12.838000840336136</v>
      </c>
      <c r="D744" s="20">
        <v>11.361062690562953</v>
      </c>
    </row>
    <row r="745" spans="1:4">
      <c r="A745" s="27" t="s">
        <v>1237</v>
      </c>
      <c r="B745" s="28">
        <v>648</v>
      </c>
      <c r="C745" s="20">
        <v>63.512268907563026</v>
      </c>
      <c r="D745" s="20">
        <v>9.8012760659819484</v>
      </c>
    </row>
    <row r="746" spans="1:4">
      <c r="A746" s="27" t="s">
        <v>1239</v>
      </c>
      <c r="B746" s="28">
        <v>278</v>
      </c>
      <c r="C746" s="20">
        <v>22.452122689075644</v>
      </c>
      <c r="D746" s="20">
        <v>8.0763031255667777</v>
      </c>
    </row>
    <row r="747" spans="1:4">
      <c r="A747" s="27" t="s">
        <v>1240</v>
      </c>
      <c r="B747" s="28">
        <v>560</v>
      </c>
      <c r="C747" s="20">
        <v>37.828705882352978</v>
      </c>
      <c r="D747" s="20">
        <v>6.7551260504201753</v>
      </c>
    </row>
    <row r="748" spans="1:4">
      <c r="A748" s="27" t="s">
        <v>1241</v>
      </c>
      <c r="B748" s="28">
        <v>227</v>
      </c>
      <c r="C748" s="20">
        <v>13.244762184873956</v>
      </c>
      <c r="D748" s="20">
        <v>5.8346969977418306</v>
      </c>
    </row>
    <row r="749" spans="1:4">
      <c r="A749" s="27" t="s">
        <v>1242</v>
      </c>
      <c r="B749" s="28">
        <v>133</v>
      </c>
      <c r="C749" s="20">
        <v>9.7022226890756329</v>
      </c>
      <c r="D749" s="20">
        <v>7.2949042775004758</v>
      </c>
    </row>
    <row r="750" spans="1:4">
      <c r="A750" s="27" t="s">
        <v>1243</v>
      </c>
      <c r="B750" s="28">
        <v>169</v>
      </c>
      <c r="C750" s="20">
        <v>57.762560504201687</v>
      </c>
      <c r="D750" s="20">
        <v>34.179029884143006</v>
      </c>
    </row>
    <row r="751" spans="1:4">
      <c r="A751" s="27" t="s">
        <v>1244</v>
      </c>
      <c r="B751" s="28">
        <v>546</v>
      </c>
      <c r="C751" s="20">
        <v>46.586900840336142</v>
      </c>
      <c r="D751" s="20">
        <v>8.5323994213069856</v>
      </c>
    </row>
    <row r="752" spans="1:4">
      <c r="A752" s="27" t="s">
        <v>1245</v>
      </c>
      <c r="B752" s="28">
        <v>319</v>
      </c>
      <c r="C752" s="20">
        <v>12.583719327731117</v>
      </c>
      <c r="D752" s="20">
        <v>3.9447396011696294</v>
      </c>
    </row>
    <row r="753" spans="1:4">
      <c r="A753" s="27" t="s">
        <v>1247</v>
      </c>
      <c r="B753" s="28">
        <v>538</v>
      </c>
      <c r="C753" s="20">
        <v>42.11343361344538</v>
      </c>
      <c r="D753" s="20">
        <v>7.8277757645809256</v>
      </c>
    </row>
    <row r="754" spans="1:4">
      <c r="A754" s="27" t="s">
        <v>1248</v>
      </c>
      <c r="B754" s="28">
        <v>625</v>
      </c>
      <c r="C754" s="20">
        <v>65.700630252100865</v>
      </c>
      <c r="D754" s="20">
        <v>10.512100840336139</v>
      </c>
    </row>
    <row r="755" spans="1:4">
      <c r="A755" s="27" t="s">
        <v>1249</v>
      </c>
      <c r="B755" s="28">
        <v>144</v>
      </c>
      <c r="C755" s="20">
        <v>13.651724369747896</v>
      </c>
      <c r="D755" s="20">
        <v>9.4803641456582621</v>
      </c>
    </row>
    <row r="756" spans="1:4">
      <c r="A756" s="27" t="s">
        <v>1250</v>
      </c>
      <c r="B756" s="28">
        <v>93</v>
      </c>
      <c r="C756" s="20">
        <v>10.060631092436978</v>
      </c>
      <c r="D756" s="20">
        <v>10.817882895093526</v>
      </c>
    </row>
    <row r="757" spans="1:4">
      <c r="A757" s="27" t="s">
        <v>1252</v>
      </c>
      <c r="B757" s="28">
        <v>317</v>
      </c>
      <c r="C757" s="20">
        <v>12.583333613445362</v>
      </c>
      <c r="D757" s="20">
        <v>3.9695058717493259</v>
      </c>
    </row>
    <row r="758" spans="1:4">
      <c r="A758" s="27" t="s">
        <v>1253</v>
      </c>
      <c r="B758" s="28">
        <v>178</v>
      </c>
      <c r="C758" s="20">
        <v>20.110104201680677</v>
      </c>
      <c r="D758" s="20">
        <v>11.297811349258808</v>
      </c>
    </row>
    <row r="759" spans="1:4">
      <c r="A759" s="27" t="s">
        <v>1255</v>
      </c>
      <c r="B759" s="28">
        <v>511</v>
      </c>
      <c r="C759" s="20">
        <v>58.39069327731093</v>
      </c>
      <c r="D759" s="20">
        <v>11.426750152115641</v>
      </c>
    </row>
    <row r="760" spans="1:4">
      <c r="A760" s="27" t="s">
        <v>1256</v>
      </c>
      <c r="B760" s="28">
        <v>380</v>
      </c>
      <c r="C760" s="20">
        <v>53.523193277310931</v>
      </c>
      <c r="D760" s="20">
        <v>14.085050862450247</v>
      </c>
    </row>
    <row r="761" spans="1:4">
      <c r="A761" s="27" t="s">
        <v>1257</v>
      </c>
      <c r="B761" s="28">
        <v>169</v>
      </c>
      <c r="C761" s="20">
        <v>15.504428571428569</v>
      </c>
      <c r="D761" s="20">
        <v>9.1742180896027037</v>
      </c>
    </row>
    <row r="762" spans="1:4">
      <c r="A762" s="27" t="s">
        <v>1259</v>
      </c>
      <c r="B762" s="28">
        <v>118</v>
      </c>
      <c r="C762" s="20">
        <v>13.788072268907563</v>
      </c>
      <c r="D762" s="20">
        <v>11.684807007548782</v>
      </c>
    </row>
    <row r="763" spans="1:4">
      <c r="A763" s="27" t="s">
        <v>1260</v>
      </c>
      <c r="B763" s="28">
        <v>432</v>
      </c>
      <c r="C763" s="20">
        <v>52.636208403361351</v>
      </c>
      <c r="D763" s="20">
        <v>12.184307500778091</v>
      </c>
    </row>
    <row r="764" spans="1:4">
      <c r="A764" s="27" t="s">
        <v>1262</v>
      </c>
      <c r="B764" s="28">
        <v>124</v>
      </c>
      <c r="C764" s="20">
        <v>7.1050857142857211</v>
      </c>
      <c r="D764" s="20">
        <v>5.7299078341013878</v>
      </c>
    </row>
    <row r="765" spans="1:4">
      <c r="A765" s="27" t="s">
        <v>1263</v>
      </c>
      <c r="B765" s="28">
        <v>526</v>
      </c>
      <c r="C765" s="20">
        <v>51.433223529411777</v>
      </c>
      <c r="D765" s="20">
        <v>9.7781793782151674</v>
      </c>
    </row>
    <row r="766" spans="1:4">
      <c r="A766" s="27" t="s">
        <v>1265</v>
      </c>
      <c r="B766" s="28">
        <v>174</v>
      </c>
      <c r="C766" s="20">
        <v>16.591941176470591</v>
      </c>
      <c r="D766" s="20">
        <v>9.5355983772819499</v>
      </c>
    </row>
    <row r="767" spans="1:4">
      <c r="A767" s="27" t="s">
        <v>1266</v>
      </c>
      <c r="B767" s="28">
        <v>187</v>
      </c>
      <c r="C767" s="20">
        <v>22.761580672268906</v>
      </c>
      <c r="D767" s="20">
        <v>12.171968273940591</v>
      </c>
    </row>
    <row r="768" spans="1:4">
      <c r="A768" s="27" t="s">
        <v>1268</v>
      </c>
      <c r="B768" s="28">
        <v>130</v>
      </c>
      <c r="C768" s="20">
        <v>11.039058823529409</v>
      </c>
      <c r="D768" s="20">
        <v>8.4915837104072374</v>
      </c>
    </row>
    <row r="769" spans="1:4">
      <c r="A769" s="27" t="s">
        <v>1270</v>
      </c>
      <c r="B769" s="28">
        <v>224</v>
      </c>
      <c r="C769" s="20">
        <v>20.918184873949578</v>
      </c>
      <c r="D769" s="20">
        <v>9.3384753901560611</v>
      </c>
    </row>
    <row r="770" spans="1:4">
      <c r="A770" s="27" t="s">
        <v>1271</v>
      </c>
      <c r="B770" s="28">
        <v>288</v>
      </c>
      <c r="C770" s="20">
        <v>24.716262184873955</v>
      </c>
      <c r="D770" s="20">
        <v>8.5820354808590125</v>
      </c>
    </row>
    <row r="771" spans="1:4">
      <c r="A771" s="27" t="s">
        <v>1273</v>
      </c>
      <c r="B771" s="28">
        <v>275</v>
      </c>
      <c r="C771" s="20">
        <v>13.682563025210101</v>
      </c>
      <c r="D771" s="20">
        <v>4.9754774637127639</v>
      </c>
    </row>
    <row r="772" spans="1:4">
      <c r="A772" s="27" t="s">
        <v>1274</v>
      </c>
      <c r="B772" s="28">
        <v>154</v>
      </c>
      <c r="C772" s="20">
        <v>3.6864974789915976</v>
      </c>
      <c r="D772" s="20">
        <v>2.3938295318127261</v>
      </c>
    </row>
    <row r="773" spans="1:4">
      <c r="A773" s="27" t="s">
        <v>1275</v>
      </c>
      <c r="B773" s="28">
        <v>282</v>
      </c>
      <c r="C773" s="20">
        <v>22.849596638655456</v>
      </c>
      <c r="D773" s="20">
        <v>8.1026938434948423</v>
      </c>
    </row>
    <row r="774" spans="1:4">
      <c r="A774" s="27" t="s">
        <v>1276</v>
      </c>
      <c r="B774" s="28">
        <v>477</v>
      </c>
      <c r="C774" s="20">
        <v>43.445533613445363</v>
      </c>
      <c r="D774" s="20">
        <v>9.1080783256698865</v>
      </c>
    </row>
    <row r="775" spans="1:4">
      <c r="A775" s="27" t="s">
        <v>1277</v>
      </c>
      <c r="B775" s="28">
        <v>140</v>
      </c>
      <c r="C775" s="20">
        <v>10.332823529411769</v>
      </c>
      <c r="D775" s="20">
        <v>7.3805882352941206</v>
      </c>
    </row>
    <row r="776" spans="1:4">
      <c r="A776" s="27" t="s">
        <v>1279</v>
      </c>
      <c r="B776" s="28">
        <v>106</v>
      </c>
      <c r="C776" s="20">
        <v>7.3315394957983173</v>
      </c>
      <c r="D776" s="20">
        <v>6.9165466941493561</v>
      </c>
    </row>
    <row r="777" spans="1:4">
      <c r="A777" s="27" t="s">
        <v>1280</v>
      </c>
      <c r="B777" s="28">
        <v>109</v>
      </c>
      <c r="C777" s="20">
        <v>8.87861344537815</v>
      </c>
      <c r="D777" s="20">
        <v>8.1455169223652764</v>
      </c>
    </row>
    <row r="778" spans="1:4">
      <c r="A778" s="27" t="s">
        <v>1281</v>
      </c>
      <c r="B778" s="28">
        <v>298</v>
      </c>
      <c r="C778" s="20">
        <v>23.018453781512605</v>
      </c>
      <c r="D778" s="20">
        <v>7.7243133495008749</v>
      </c>
    </row>
    <row r="779" spans="1:4">
      <c r="A779" s="27" t="s">
        <v>1283</v>
      </c>
      <c r="B779" s="28">
        <v>241</v>
      </c>
      <c r="C779" s="20">
        <v>24.976991596638669</v>
      </c>
      <c r="D779" s="20">
        <v>10.363896928065838</v>
      </c>
    </row>
    <row r="780" spans="1:4">
      <c r="A780" s="27" t="s">
        <v>1285</v>
      </c>
      <c r="B780" s="28">
        <v>300</v>
      </c>
      <c r="C780" s="20">
        <v>15.622689075630262</v>
      </c>
      <c r="D780" s="20">
        <v>5.2075630252100868</v>
      </c>
    </row>
    <row r="781" spans="1:4">
      <c r="A781" s="27" t="s">
        <v>1287</v>
      </c>
      <c r="B781" s="28">
        <v>152</v>
      </c>
      <c r="C781" s="20">
        <v>3.4288201680672259</v>
      </c>
      <c r="D781" s="20">
        <v>2.2558027421494908</v>
      </c>
    </row>
    <row r="782" spans="1:4">
      <c r="A782" s="27" t="s">
        <v>1289</v>
      </c>
      <c r="B782" s="28">
        <v>309</v>
      </c>
      <c r="C782" s="20">
        <v>15.24667058823529</v>
      </c>
      <c r="D782" s="20">
        <v>4.9341976013706441</v>
      </c>
    </row>
    <row r="783" spans="1:4">
      <c r="A783" s="27" t="s">
        <v>1290</v>
      </c>
      <c r="B783" s="28">
        <v>319</v>
      </c>
      <c r="C783" s="20">
        <v>21.795890756302526</v>
      </c>
      <c r="D783" s="20">
        <v>6.832567635204553</v>
      </c>
    </row>
    <row r="784" spans="1:4">
      <c r="A784" s="27" t="s">
        <v>1292</v>
      </c>
      <c r="B784" s="28">
        <v>238</v>
      </c>
      <c r="C784" s="20">
        <v>21.58203361344539</v>
      </c>
      <c r="D784" s="20">
        <v>9.0680813501871391</v>
      </c>
    </row>
    <row r="785" spans="1:4">
      <c r="A785" s="27" t="s">
        <v>1293</v>
      </c>
      <c r="B785" s="28">
        <v>440</v>
      </c>
      <c r="C785" s="20">
        <v>32.412403361344531</v>
      </c>
      <c r="D785" s="20">
        <v>7.3664553093964846</v>
      </c>
    </row>
    <row r="786" spans="1:4">
      <c r="A786" s="27" t="s">
        <v>1294</v>
      </c>
      <c r="B786" s="28">
        <v>132</v>
      </c>
      <c r="C786" s="20">
        <v>4.7682554621848823</v>
      </c>
      <c r="D786" s="20">
        <v>3.6123147440794563</v>
      </c>
    </row>
    <row r="787" spans="1:4">
      <c r="A787" s="27" t="s">
        <v>1296</v>
      </c>
      <c r="B787" s="28">
        <v>229</v>
      </c>
      <c r="C787" s="20">
        <v>26.195178151260507</v>
      </c>
      <c r="D787" s="20">
        <v>11.438942424131225</v>
      </c>
    </row>
    <row r="788" spans="1:4">
      <c r="A788" s="27" t="s">
        <v>1297</v>
      </c>
      <c r="B788" s="28">
        <v>267</v>
      </c>
      <c r="C788" s="20">
        <v>24.294336134453786</v>
      </c>
      <c r="D788" s="20">
        <v>9.0990022975482354</v>
      </c>
    </row>
    <row r="789" spans="1:4">
      <c r="A789" s="27" t="s">
        <v>1299</v>
      </c>
      <c r="B789" s="28">
        <v>284</v>
      </c>
      <c r="C789" s="20">
        <v>24.8876806722689</v>
      </c>
      <c r="D789" s="20">
        <v>8.7632678423482044</v>
      </c>
    </row>
    <row r="790" spans="1:4">
      <c r="A790" s="27" t="s">
        <v>1301</v>
      </c>
      <c r="B790" s="28">
        <v>281</v>
      </c>
      <c r="C790" s="20">
        <v>17.695317647058829</v>
      </c>
      <c r="D790" s="20">
        <v>6.2972660665689784</v>
      </c>
    </row>
    <row r="791" spans="1:4">
      <c r="A791" s="27" t="s">
        <v>1302</v>
      </c>
      <c r="B791" s="28">
        <v>229</v>
      </c>
      <c r="C791" s="20">
        <v>19.586989075630257</v>
      </c>
      <c r="D791" s="20">
        <v>8.5532703387031681</v>
      </c>
    </row>
    <row r="792" spans="1:4">
      <c r="A792" s="27" t="s">
        <v>1303</v>
      </c>
      <c r="B792" s="28">
        <v>389</v>
      </c>
      <c r="C792" s="20">
        <v>50.086557983193273</v>
      </c>
      <c r="D792" s="20">
        <v>12.875721846579246</v>
      </c>
    </row>
    <row r="793" spans="1:4">
      <c r="A793" s="27" t="s">
        <v>1304</v>
      </c>
      <c r="B793" s="28">
        <v>119</v>
      </c>
      <c r="C793" s="20">
        <v>4.9468394957983222</v>
      </c>
      <c r="D793" s="20">
        <v>4.1570079796624553</v>
      </c>
    </row>
    <row r="794" spans="1:4">
      <c r="A794" s="27" t="s">
        <v>1305</v>
      </c>
      <c r="B794" s="28">
        <v>95</v>
      </c>
      <c r="C794" s="20">
        <v>12.536634453781517</v>
      </c>
      <c r="D794" s="20">
        <v>13.196457319770015</v>
      </c>
    </row>
    <row r="795" spans="1:4">
      <c r="A795" s="27" t="s">
        <v>1306</v>
      </c>
      <c r="B795" s="28">
        <v>315</v>
      </c>
      <c r="C795" s="20">
        <v>20.158365546218491</v>
      </c>
      <c r="D795" s="20">
        <v>6.3994811257836473</v>
      </c>
    </row>
    <row r="796" spans="1:4">
      <c r="A796" s="27" t="s">
        <v>1307</v>
      </c>
      <c r="B796" s="28">
        <v>224</v>
      </c>
      <c r="C796" s="20">
        <v>19.410662184873956</v>
      </c>
      <c r="D796" s="20">
        <v>8.6654741896758729</v>
      </c>
    </row>
    <row r="797" spans="1:4">
      <c r="A797" s="27" t="s">
        <v>1308</v>
      </c>
      <c r="B797" s="28">
        <v>96</v>
      </c>
      <c r="C797" s="20">
        <v>8.6067092436974768</v>
      </c>
      <c r="D797" s="20">
        <v>8.9653221288515379</v>
      </c>
    </row>
    <row r="798" spans="1:4">
      <c r="A798" s="27" t="s">
        <v>1310</v>
      </c>
      <c r="B798" s="28">
        <v>85</v>
      </c>
      <c r="C798" s="20">
        <v>11.411621848739504</v>
      </c>
      <c r="D798" s="20">
        <v>13.425437469105297</v>
      </c>
    </row>
    <row r="799" spans="1:4">
      <c r="A799" s="27" t="s">
        <v>1312</v>
      </c>
      <c r="B799" s="28">
        <v>137</v>
      </c>
      <c r="C799" s="20">
        <v>8.3070285714285745</v>
      </c>
      <c r="D799" s="20">
        <v>6.0635245046923902</v>
      </c>
    </row>
    <row r="800" spans="1:4">
      <c r="A800" s="27" t="s">
        <v>1314</v>
      </c>
      <c r="B800" s="28">
        <v>546</v>
      </c>
      <c r="C800" s="20">
        <v>63.142862184873977</v>
      </c>
      <c r="D800" s="20">
        <v>11.564626773786442</v>
      </c>
    </row>
    <row r="801" spans="1:4">
      <c r="A801" s="27" t="s">
        <v>1328</v>
      </c>
      <c r="B801" s="28">
        <v>303265</v>
      </c>
      <c r="C801" s="20">
        <v>-6972.2578865546202</v>
      </c>
      <c r="D801" s="20">
        <v>4187.8552493504658</v>
      </c>
    </row>
    <row r="802" spans="1:4">
      <c r="B802"/>
      <c r="C802"/>
    </row>
    <row r="803" spans="1:4">
      <c r="B803"/>
      <c r="C803"/>
    </row>
    <row r="804" spans="1:4">
      <c r="B804"/>
      <c r="C804"/>
    </row>
    <row r="805" spans="1:4">
      <c r="B805"/>
      <c r="C805"/>
    </row>
    <row r="806" spans="1:4">
      <c r="B806"/>
      <c r="C806"/>
    </row>
    <row r="807" spans="1:4">
      <c r="B807"/>
      <c r="C807"/>
    </row>
    <row r="808" spans="1:4">
      <c r="B808"/>
      <c r="C808"/>
    </row>
    <row r="809" spans="1:4">
      <c r="B809"/>
      <c r="C809"/>
    </row>
    <row r="810" spans="1:4">
      <c r="B810"/>
      <c r="C810"/>
    </row>
    <row r="811" spans="1:4">
      <c r="B811"/>
      <c r="C811"/>
    </row>
    <row r="812" spans="1:4">
      <c r="B812"/>
      <c r="C812"/>
    </row>
    <row r="813" spans="1:4">
      <c r="B813"/>
      <c r="C813"/>
    </row>
    <row r="814" spans="1:4">
      <c r="B814"/>
      <c r="C814"/>
    </row>
    <row r="815" spans="1:4">
      <c r="B815"/>
      <c r="C815"/>
    </row>
    <row r="816" spans="1:4">
      <c r="B816"/>
      <c r="C816"/>
    </row>
    <row r="817" spans="2:3">
      <c r="B817"/>
      <c r="C817"/>
    </row>
    <row r="818" spans="2:3">
      <c r="B818"/>
      <c r="C818"/>
    </row>
    <row r="819" spans="2:3">
      <c r="B819"/>
      <c r="C819"/>
    </row>
    <row r="820" spans="2:3">
      <c r="B820"/>
      <c r="C820"/>
    </row>
    <row r="821" spans="2:3">
      <c r="B821"/>
      <c r="C821"/>
    </row>
    <row r="822" spans="2:3">
      <c r="B822"/>
      <c r="C822"/>
    </row>
    <row r="823" spans="2:3">
      <c r="B823"/>
      <c r="C823"/>
    </row>
    <row r="824" spans="2:3">
      <c r="B824"/>
      <c r="C824"/>
    </row>
    <row r="825" spans="2:3">
      <c r="B825"/>
      <c r="C825"/>
    </row>
    <row r="826" spans="2:3">
      <c r="B826"/>
      <c r="C826"/>
    </row>
    <row r="827" spans="2:3">
      <c r="B827"/>
      <c r="C827"/>
    </row>
    <row r="828" spans="2:3">
      <c r="B828"/>
      <c r="C828"/>
    </row>
    <row r="829" spans="2:3">
      <c r="B829"/>
      <c r="C829"/>
    </row>
    <row r="830" spans="2:3">
      <c r="B830"/>
      <c r="C830"/>
    </row>
    <row r="831" spans="2:3">
      <c r="B831"/>
      <c r="C831"/>
    </row>
    <row r="832" spans="2:3">
      <c r="B832"/>
      <c r="C832"/>
    </row>
    <row r="833" spans="2:3">
      <c r="B833"/>
      <c r="C833"/>
    </row>
    <row r="834" spans="2:3">
      <c r="B834"/>
      <c r="C834"/>
    </row>
    <row r="835" spans="2:3">
      <c r="B835"/>
      <c r="C835"/>
    </row>
    <row r="836" spans="2:3">
      <c r="B836"/>
      <c r="C836"/>
    </row>
    <row r="837" spans="2:3">
      <c r="B837"/>
      <c r="C837"/>
    </row>
    <row r="838" spans="2:3">
      <c r="B838"/>
      <c r="C838"/>
    </row>
    <row r="839" spans="2:3">
      <c r="B839"/>
      <c r="C839"/>
    </row>
    <row r="840" spans="2:3">
      <c r="B840"/>
      <c r="C840"/>
    </row>
    <row r="841" spans="2:3">
      <c r="B841"/>
      <c r="C841"/>
    </row>
    <row r="842" spans="2:3">
      <c r="B842"/>
      <c r="C842"/>
    </row>
    <row r="843" spans="2:3">
      <c r="B843"/>
      <c r="C843"/>
    </row>
    <row r="844" spans="2:3">
      <c r="B844"/>
      <c r="C844"/>
    </row>
    <row r="845" spans="2:3">
      <c r="B845"/>
      <c r="C845"/>
    </row>
    <row r="846" spans="2:3">
      <c r="B846"/>
      <c r="C846"/>
    </row>
    <row r="847" spans="2:3">
      <c r="B847"/>
      <c r="C847"/>
    </row>
    <row r="848" spans="2:3">
      <c r="B848"/>
      <c r="C848"/>
    </row>
    <row r="849" spans="2:3">
      <c r="B849"/>
      <c r="C849"/>
    </row>
    <row r="850" spans="2:3">
      <c r="B850"/>
      <c r="C850"/>
    </row>
    <row r="851" spans="2:3">
      <c r="B851"/>
      <c r="C851"/>
    </row>
    <row r="852" spans="2:3">
      <c r="B852"/>
      <c r="C852"/>
    </row>
    <row r="853" spans="2:3">
      <c r="B853"/>
      <c r="C853"/>
    </row>
    <row r="854" spans="2:3">
      <c r="B854"/>
      <c r="C854"/>
    </row>
    <row r="855" spans="2:3">
      <c r="B855"/>
      <c r="C855"/>
    </row>
    <row r="856" spans="2:3">
      <c r="B856"/>
      <c r="C856"/>
    </row>
    <row r="857" spans="2:3">
      <c r="B857"/>
      <c r="C857"/>
    </row>
    <row r="858" spans="2:3">
      <c r="B858"/>
      <c r="C858"/>
    </row>
    <row r="859" spans="2:3">
      <c r="B859"/>
      <c r="C859"/>
    </row>
    <row r="860" spans="2:3">
      <c r="B860"/>
      <c r="C860"/>
    </row>
    <row r="861" spans="2:3">
      <c r="B861"/>
      <c r="C861"/>
    </row>
    <row r="862" spans="2:3">
      <c r="B862"/>
      <c r="C862"/>
    </row>
    <row r="863" spans="2:3">
      <c r="B863"/>
      <c r="C863"/>
    </row>
    <row r="864" spans="2:3">
      <c r="B864"/>
      <c r="C864"/>
    </row>
    <row r="865" spans="2:3">
      <c r="B865"/>
      <c r="C865"/>
    </row>
    <row r="866" spans="2:3">
      <c r="B866"/>
      <c r="C866"/>
    </row>
    <row r="867" spans="2:3">
      <c r="B867"/>
      <c r="C867"/>
    </row>
    <row r="868" spans="2:3">
      <c r="B868"/>
      <c r="C868"/>
    </row>
    <row r="869" spans="2:3">
      <c r="B869"/>
      <c r="C869"/>
    </row>
    <row r="870" spans="2:3">
      <c r="B870"/>
      <c r="C870"/>
    </row>
    <row r="871" spans="2:3">
      <c r="B871"/>
      <c r="C871"/>
    </row>
    <row r="872" spans="2:3">
      <c r="B872"/>
      <c r="C872"/>
    </row>
    <row r="873" spans="2:3">
      <c r="B873"/>
      <c r="C873"/>
    </row>
    <row r="874" spans="2:3">
      <c r="B874"/>
      <c r="C874"/>
    </row>
    <row r="875" spans="2:3">
      <c r="B875"/>
      <c r="C875"/>
    </row>
    <row r="876" spans="2:3">
      <c r="B876"/>
      <c r="C876"/>
    </row>
    <row r="877" spans="2:3">
      <c r="B877"/>
      <c r="C877"/>
    </row>
    <row r="878" spans="2:3">
      <c r="B878"/>
      <c r="C878"/>
    </row>
    <row r="879" spans="2:3">
      <c r="B879"/>
      <c r="C879"/>
    </row>
    <row r="880" spans="2:3">
      <c r="B880"/>
      <c r="C880"/>
    </row>
    <row r="881" spans="2:3">
      <c r="B881"/>
      <c r="C881"/>
    </row>
    <row r="882" spans="2:3">
      <c r="B882"/>
      <c r="C882"/>
    </row>
    <row r="883" spans="2:3">
      <c r="B883"/>
      <c r="C883"/>
    </row>
    <row r="884" spans="2:3">
      <c r="B884"/>
      <c r="C884"/>
    </row>
    <row r="885" spans="2:3">
      <c r="B885"/>
      <c r="C885"/>
    </row>
    <row r="886" spans="2:3">
      <c r="B886"/>
      <c r="C886"/>
    </row>
    <row r="887" spans="2:3">
      <c r="B887"/>
      <c r="C887"/>
    </row>
    <row r="888" spans="2:3">
      <c r="B888"/>
      <c r="C888"/>
    </row>
    <row r="889" spans="2:3">
      <c r="B889"/>
      <c r="C889"/>
    </row>
    <row r="890" spans="2:3">
      <c r="B890"/>
      <c r="C890"/>
    </row>
    <row r="891" spans="2:3">
      <c r="B891"/>
      <c r="C891"/>
    </row>
    <row r="892" spans="2:3">
      <c r="B892"/>
      <c r="C892"/>
    </row>
    <row r="893" spans="2:3">
      <c r="B893"/>
      <c r="C893"/>
    </row>
    <row r="894" spans="2:3">
      <c r="B894"/>
      <c r="C894"/>
    </row>
    <row r="895" spans="2:3">
      <c r="B895"/>
      <c r="C895"/>
    </row>
    <row r="896" spans="2:3">
      <c r="B896"/>
      <c r="C896"/>
    </row>
    <row r="897" spans="2:3">
      <c r="B897"/>
      <c r="C897"/>
    </row>
    <row r="898" spans="2:3">
      <c r="B898"/>
      <c r="C898"/>
    </row>
    <row r="899" spans="2:3">
      <c r="B899"/>
      <c r="C899"/>
    </row>
    <row r="900" spans="2:3">
      <c r="B900"/>
      <c r="C900"/>
    </row>
    <row r="901" spans="2:3">
      <c r="B901"/>
      <c r="C901"/>
    </row>
    <row r="902" spans="2:3">
      <c r="B902"/>
      <c r="C902"/>
    </row>
    <row r="903" spans="2:3">
      <c r="B903"/>
      <c r="C903"/>
    </row>
    <row r="904" spans="2:3">
      <c r="B904"/>
      <c r="C904"/>
    </row>
    <row r="905" spans="2:3">
      <c r="B905"/>
      <c r="C905"/>
    </row>
    <row r="906" spans="2:3">
      <c r="B906"/>
      <c r="C906"/>
    </row>
    <row r="907" spans="2:3">
      <c r="B907"/>
      <c r="C907"/>
    </row>
    <row r="908" spans="2:3">
      <c r="B908"/>
      <c r="C908"/>
    </row>
    <row r="909" spans="2:3">
      <c r="B909"/>
      <c r="C909"/>
    </row>
    <row r="910" spans="2:3">
      <c r="B910"/>
      <c r="C910"/>
    </row>
    <row r="911" spans="2:3">
      <c r="B911"/>
      <c r="C911"/>
    </row>
    <row r="912" spans="2:3">
      <c r="B912"/>
      <c r="C912"/>
    </row>
    <row r="913" spans="2:3">
      <c r="B913"/>
      <c r="C913"/>
    </row>
    <row r="914" spans="2:3">
      <c r="B914"/>
      <c r="C914"/>
    </row>
    <row r="915" spans="2:3">
      <c r="B915"/>
      <c r="C915"/>
    </row>
    <row r="916" spans="2:3">
      <c r="B916"/>
      <c r="C916"/>
    </row>
    <row r="917" spans="2:3">
      <c r="B917"/>
      <c r="C917"/>
    </row>
    <row r="918" spans="2:3">
      <c r="B918"/>
      <c r="C918"/>
    </row>
    <row r="919" spans="2:3">
      <c r="B919"/>
      <c r="C919"/>
    </row>
    <row r="920" spans="2:3">
      <c r="B920"/>
      <c r="C920"/>
    </row>
    <row r="921" spans="2:3">
      <c r="B921"/>
      <c r="C921"/>
    </row>
    <row r="922" spans="2:3">
      <c r="B922"/>
      <c r="C922"/>
    </row>
    <row r="923" spans="2:3">
      <c r="B923"/>
      <c r="C923"/>
    </row>
    <row r="924" spans="2:3">
      <c r="B924"/>
      <c r="C924"/>
    </row>
    <row r="925" spans="2:3">
      <c r="B925"/>
      <c r="C925"/>
    </row>
    <row r="926" spans="2:3">
      <c r="B926"/>
      <c r="C926"/>
    </row>
    <row r="927" spans="2:3">
      <c r="B927"/>
      <c r="C927"/>
    </row>
    <row r="928" spans="2:3">
      <c r="B928"/>
      <c r="C928"/>
    </row>
    <row r="929" spans="2:3">
      <c r="B929"/>
      <c r="C929"/>
    </row>
    <row r="930" spans="2:3">
      <c r="B930"/>
      <c r="C930"/>
    </row>
    <row r="931" spans="2:3">
      <c r="B931"/>
      <c r="C931"/>
    </row>
    <row r="932" spans="2:3">
      <c r="B932"/>
      <c r="C932"/>
    </row>
    <row r="933" spans="2:3">
      <c r="B933"/>
      <c r="C933"/>
    </row>
    <row r="934" spans="2:3">
      <c r="B934"/>
      <c r="C934"/>
    </row>
    <row r="935" spans="2:3">
      <c r="B935"/>
      <c r="C935"/>
    </row>
    <row r="936" spans="2:3">
      <c r="B936"/>
      <c r="C936"/>
    </row>
    <row r="937" spans="2:3">
      <c r="B937"/>
      <c r="C937"/>
    </row>
    <row r="938" spans="2:3">
      <c r="B938"/>
      <c r="C938"/>
    </row>
    <row r="939" spans="2:3">
      <c r="B939"/>
      <c r="C939"/>
    </row>
    <row r="940" spans="2:3">
      <c r="B940"/>
      <c r="C940"/>
    </row>
    <row r="941" spans="2:3">
      <c r="B941"/>
      <c r="C941"/>
    </row>
    <row r="942" spans="2:3">
      <c r="B942"/>
      <c r="C942"/>
    </row>
    <row r="943" spans="2:3">
      <c r="B943"/>
      <c r="C943"/>
    </row>
    <row r="944" spans="2:3">
      <c r="B944"/>
      <c r="C944"/>
    </row>
    <row r="945" spans="2:3">
      <c r="B945"/>
      <c r="C945"/>
    </row>
    <row r="946" spans="2:3">
      <c r="B946"/>
      <c r="C946"/>
    </row>
    <row r="947" spans="2:3">
      <c r="B947"/>
      <c r="C947"/>
    </row>
    <row r="948" spans="2:3">
      <c r="B948"/>
      <c r="C948"/>
    </row>
    <row r="949" spans="2:3">
      <c r="B949"/>
      <c r="C949"/>
    </row>
    <row r="950" spans="2:3">
      <c r="B950"/>
      <c r="C950"/>
    </row>
    <row r="951" spans="2:3">
      <c r="B951"/>
      <c r="C951"/>
    </row>
    <row r="952" spans="2:3">
      <c r="B952"/>
      <c r="C952"/>
    </row>
    <row r="953" spans="2:3">
      <c r="B953"/>
      <c r="C953"/>
    </row>
    <row r="954" spans="2:3">
      <c r="B954"/>
      <c r="C954"/>
    </row>
    <row r="955" spans="2:3">
      <c r="B955"/>
      <c r="C955"/>
    </row>
    <row r="956" spans="2:3">
      <c r="B956"/>
      <c r="C956"/>
    </row>
    <row r="957" spans="2:3">
      <c r="B957"/>
      <c r="C957"/>
    </row>
    <row r="958" spans="2:3">
      <c r="B958"/>
      <c r="C958"/>
    </row>
    <row r="959" spans="2:3">
      <c r="B959"/>
      <c r="C959"/>
    </row>
    <row r="960" spans="2:3">
      <c r="B960"/>
      <c r="C960"/>
    </row>
    <row r="961" spans="2:3">
      <c r="B961"/>
      <c r="C961"/>
    </row>
    <row r="962" spans="2:3">
      <c r="B962"/>
      <c r="C962"/>
    </row>
    <row r="963" spans="2:3">
      <c r="B963"/>
      <c r="C963"/>
    </row>
    <row r="964" spans="2:3">
      <c r="B964"/>
      <c r="C964"/>
    </row>
    <row r="965" spans="2:3">
      <c r="B965"/>
      <c r="C965"/>
    </row>
    <row r="966" spans="2:3">
      <c r="B966"/>
      <c r="C966"/>
    </row>
    <row r="967" spans="2:3">
      <c r="B967"/>
      <c r="C967"/>
    </row>
    <row r="968" spans="2:3">
      <c r="B968"/>
      <c r="C968"/>
    </row>
    <row r="969" spans="2:3">
      <c r="B969"/>
      <c r="C969"/>
    </row>
    <row r="970" spans="2:3">
      <c r="B970"/>
      <c r="C970"/>
    </row>
    <row r="971" spans="2:3">
      <c r="B971"/>
      <c r="C971"/>
    </row>
    <row r="972" spans="2:3">
      <c r="B972"/>
      <c r="C972"/>
    </row>
    <row r="973" spans="2:3">
      <c r="B973"/>
      <c r="C973"/>
    </row>
    <row r="974" spans="2:3">
      <c r="B974"/>
      <c r="C974"/>
    </row>
    <row r="975" spans="2:3">
      <c r="B975"/>
      <c r="C975"/>
    </row>
    <row r="976" spans="2:3">
      <c r="B976"/>
      <c r="C976"/>
    </row>
    <row r="977" spans="2:3">
      <c r="B977"/>
      <c r="C977"/>
    </row>
    <row r="978" spans="2:3">
      <c r="B978"/>
      <c r="C978"/>
    </row>
    <row r="979" spans="2:3">
      <c r="B979"/>
      <c r="C979"/>
    </row>
    <row r="980" spans="2:3">
      <c r="B980"/>
      <c r="C980"/>
    </row>
    <row r="981" spans="2:3">
      <c r="B981"/>
      <c r="C981"/>
    </row>
    <row r="982" spans="2:3">
      <c r="B982"/>
      <c r="C982"/>
    </row>
    <row r="983" spans="2:3">
      <c r="B983"/>
      <c r="C983"/>
    </row>
    <row r="984" spans="2:3">
      <c r="B984"/>
      <c r="C984"/>
    </row>
    <row r="985" spans="2:3">
      <c r="B985"/>
      <c r="C985"/>
    </row>
    <row r="986" spans="2:3">
      <c r="B986"/>
      <c r="C986"/>
    </row>
    <row r="987" spans="2:3">
      <c r="B987"/>
      <c r="C987"/>
    </row>
    <row r="988" spans="2:3">
      <c r="B988"/>
      <c r="C988"/>
    </row>
    <row r="989" spans="2:3">
      <c r="B989"/>
      <c r="C989"/>
    </row>
    <row r="990" spans="2:3">
      <c r="B990"/>
      <c r="C990"/>
    </row>
    <row r="991" spans="2:3">
      <c r="B991"/>
      <c r="C991"/>
    </row>
    <row r="992" spans="2:3">
      <c r="B992"/>
      <c r="C992"/>
    </row>
    <row r="993" spans="2:3">
      <c r="B993"/>
      <c r="C993"/>
    </row>
    <row r="994" spans="2:3">
      <c r="B994"/>
      <c r="C994"/>
    </row>
    <row r="995" spans="2:3">
      <c r="B995"/>
      <c r="C995"/>
    </row>
    <row r="996" spans="2:3">
      <c r="B996"/>
      <c r="C996"/>
    </row>
    <row r="997" spans="2:3">
      <c r="B997"/>
      <c r="C997"/>
    </row>
    <row r="998" spans="2:3">
      <c r="B998"/>
      <c r="C998"/>
    </row>
    <row r="999" spans="2:3">
      <c r="B999"/>
      <c r="C999"/>
    </row>
    <row r="1000" spans="2:3">
      <c r="B1000"/>
      <c r="C1000"/>
    </row>
    <row r="1001" spans="2:3">
      <c r="B1001"/>
      <c r="C1001"/>
    </row>
    <row r="1002" spans="2:3">
      <c r="B1002"/>
      <c r="C1002"/>
    </row>
    <row r="1003" spans="2:3">
      <c r="B1003"/>
      <c r="C1003"/>
    </row>
    <row r="1004" spans="2:3">
      <c r="B1004"/>
      <c r="C1004"/>
    </row>
    <row r="1005" spans="2:3">
      <c r="B1005"/>
      <c r="C1005"/>
    </row>
    <row r="1006" spans="2:3">
      <c r="B1006"/>
      <c r="C1006"/>
    </row>
    <row r="1007" spans="2:3">
      <c r="B1007"/>
      <c r="C1007"/>
    </row>
    <row r="1008" spans="2:3">
      <c r="B1008"/>
      <c r="C1008"/>
    </row>
    <row r="1009" spans="2:3">
      <c r="B1009"/>
      <c r="C1009"/>
    </row>
    <row r="1010" spans="2:3">
      <c r="B1010"/>
      <c r="C1010"/>
    </row>
    <row r="1011" spans="2:3">
      <c r="B1011"/>
      <c r="C1011"/>
    </row>
    <row r="1012" spans="2:3">
      <c r="B1012"/>
      <c r="C1012"/>
    </row>
    <row r="1013" spans="2:3">
      <c r="B1013"/>
      <c r="C1013"/>
    </row>
    <row r="1014" spans="2:3">
      <c r="B1014"/>
      <c r="C1014"/>
    </row>
    <row r="1015" spans="2:3">
      <c r="B1015"/>
      <c r="C1015"/>
    </row>
    <row r="1016" spans="2:3">
      <c r="B1016"/>
      <c r="C1016"/>
    </row>
    <row r="1017" spans="2:3">
      <c r="B1017"/>
      <c r="C1017"/>
    </row>
    <row r="1018" spans="2:3">
      <c r="B1018"/>
      <c r="C1018"/>
    </row>
    <row r="1019" spans="2:3">
      <c r="B1019"/>
      <c r="C1019"/>
    </row>
    <row r="1020" spans="2:3">
      <c r="B1020"/>
      <c r="C1020"/>
    </row>
    <row r="1021" spans="2:3">
      <c r="B1021"/>
      <c r="C1021"/>
    </row>
    <row r="1022" spans="2:3">
      <c r="B1022"/>
      <c r="C1022"/>
    </row>
    <row r="1023" spans="2:3">
      <c r="B1023"/>
      <c r="C1023"/>
    </row>
    <row r="1024" spans="2:3">
      <c r="B1024"/>
      <c r="C1024"/>
    </row>
    <row r="1025" spans="2:3">
      <c r="B1025"/>
      <c r="C1025"/>
    </row>
    <row r="1026" spans="2:3">
      <c r="B1026"/>
      <c r="C1026"/>
    </row>
    <row r="1027" spans="2:3">
      <c r="B1027"/>
      <c r="C1027"/>
    </row>
    <row r="1028" spans="2:3">
      <c r="B1028"/>
      <c r="C1028"/>
    </row>
    <row r="1029" spans="2:3">
      <c r="B1029"/>
      <c r="C1029"/>
    </row>
    <row r="1030" spans="2:3">
      <c r="B1030"/>
      <c r="C1030"/>
    </row>
    <row r="1031" spans="2:3">
      <c r="B1031"/>
      <c r="C1031"/>
    </row>
    <row r="1032" spans="2:3">
      <c r="B1032"/>
      <c r="C1032"/>
    </row>
    <row r="1033" spans="2:3">
      <c r="B1033"/>
      <c r="C1033"/>
    </row>
    <row r="1034" spans="2:3">
      <c r="B1034"/>
      <c r="C1034"/>
    </row>
    <row r="1035" spans="2:3">
      <c r="B1035"/>
      <c r="C1035"/>
    </row>
    <row r="1036" spans="2:3">
      <c r="B1036"/>
      <c r="C1036"/>
    </row>
    <row r="1037" spans="2:3">
      <c r="B1037"/>
      <c r="C1037"/>
    </row>
    <row r="1038" spans="2:3">
      <c r="B1038"/>
      <c r="C1038"/>
    </row>
    <row r="1039" spans="2:3">
      <c r="B1039"/>
      <c r="C1039"/>
    </row>
    <row r="1040" spans="2:3">
      <c r="B1040"/>
      <c r="C1040"/>
    </row>
    <row r="1041" spans="2:3">
      <c r="B1041"/>
      <c r="C1041"/>
    </row>
    <row r="1042" spans="2:3">
      <c r="B1042"/>
      <c r="C1042"/>
    </row>
    <row r="1043" spans="2:3">
      <c r="B1043"/>
      <c r="C1043"/>
    </row>
    <row r="1044" spans="2:3">
      <c r="B1044"/>
      <c r="C1044"/>
    </row>
    <row r="1045" spans="2:3">
      <c r="B1045"/>
      <c r="C1045"/>
    </row>
    <row r="1046" spans="2:3">
      <c r="B1046"/>
      <c r="C1046"/>
    </row>
    <row r="1047" spans="2:3">
      <c r="B1047"/>
      <c r="C1047"/>
    </row>
    <row r="1048" spans="2:3">
      <c r="B1048"/>
      <c r="C1048"/>
    </row>
    <row r="1049" spans="2:3">
      <c r="B1049"/>
      <c r="C1049"/>
    </row>
    <row r="1050" spans="2:3">
      <c r="B1050"/>
      <c r="C1050"/>
    </row>
    <row r="1051" spans="2:3">
      <c r="B1051"/>
      <c r="C1051"/>
    </row>
    <row r="1052" spans="2:3">
      <c r="B1052"/>
      <c r="C1052"/>
    </row>
    <row r="1053" spans="2:3">
      <c r="B1053"/>
      <c r="C1053"/>
    </row>
    <row r="1054" spans="2:3">
      <c r="B1054"/>
      <c r="C1054"/>
    </row>
    <row r="1055" spans="2:3">
      <c r="B1055"/>
      <c r="C1055"/>
    </row>
    <row r="1056" spans="2:3">
      <c r="B1056"/>
      <c r="C1056"/>
    </row>
    <row r="1057" spans="2:3">
      <c r="B1057"/>
      <c r="C1057"/>
    </row>
    <row r="1058" spans="2:3">
      <c r="B1058"/>
      <c r="C1058"/>
    </row>
    <row r="1059" spans="2:3">
      <c r="B1059"/>
      <c r="C1059"/>
    </row>
    <row r="1060" spans="2:3">
      <c r="B1060"/>
      <c r="C1060"/>
    </row>
    <row r="1061" spans="2:3">
      <c r="B1061"/>
      <c r="C1061"/>
    </row>
    <row r="1062" spans="2:3">
      <c r="B1062"/>
      <c r="C1062"/>
    </row>
    <row r="1063" spans="2:3">
      <c r="B1063"/>
      <c r="C1063"/>
    </row>
    <row r="1064" spans="2:3">
      <c r="B1064"/>
      <c r="C1064"/>
    </row>
    <row r="1065" spans="2:3">
      <c r="B1065"/>
      <c r="C1065"/>
    </row>
    <row r="1066" spans="2:3">
      <c r="B1066"/>
      <c r="C1066"/>
    </row>
    <row r="1067" spans="2:3">
      <c r="B1067"/>
      <c r="C1067"/>
    </row>
    <row r="1068" spans="2:3">
      <c r="B1068"/>
      <c r="C1068"/>
    </row>
    <row r="1069" spans="2:3">
      <c r="B1069"/>
      <c r="C1069"/>
    </row>
    <row r="1070" spans="2:3">
      <c r="B1070"/>
      <c r="C1070"/>
    </row>
    <row r="1071" spans="2:3">
      <c r="B1071"/>
      <c r="C1071"/>
    </row>
    <row r="1072" spans="2:3">
      <c r="B1072"/>
      <c r="C1072"/>
    </row>
    <row r="1073" spans="2:3">
      <c r="B1073"/>
      <c r="C1073"/>
    </row>
    <row r="1074" spans="2:3">
      <c r="B1074"/>
      <c r="C1074"/>
    </row>
    <row r="1075" spans="2:3">
      <c r="B1075"/>
      <c r="C1075"/>
    </row>
    <row r="1076" spans="2:3">
      <c r="B1076"/>
      <c r="C1076"/>
    </row>
    <row r="1077" spans="2:3">
      <c r="B1077"/>
      <c r="C1077"/>
    </row>
    <row r="1078" spans="2:3">
      <c r="B1078"/>
      <c r="C1078"/>
    </row>
    <row r="1079" spans="2:3">
      <c r="B1079"/>
      <c r="C1079"/>
    </row>
    <row r="1080" spans="2:3">
      <c r="B1080"/>
      <c r="C1080"/>
    </row>
    <row r="1081" spans="2:3">
      <c r="B1081"/>
      <c r="C1081"/>
    </row>
    <row r="1082" spans="2:3">
      <c r="B1082"/>
      <c r="C1082"/>
    </row>
    <row r="1083" spans="2:3">
      <c r="B1083"/>
      <c r="C1083"/>
    </row>
    <row r="1084" spans="2:3">
      <c r="B1084"/>
      <c r="C1084"/>
    </row>
    <row r="1085" spans="2:3">
      <c r="B1085"/>
      <c r="C1085"/>
    </row>
    <row r="1086" spans="2:3">
      <c r="B1086"/>
      <c r="C1086"/>
    </row>
    <row r="1087" spans="2:3">
      <c r="B1087"/>
      <c r="C1087"/>
    </row>
    <row r="1088" spans="2:3">
      <c r="B1088"/>
      <c r="C1088"/>
    </row>
    <row r="1089" spans="2:3">
      <c r="B1089"/>
      <c r="C1089"/>
    </row>
    <row r="1090" spans="2:3">
      <c r="B1090"/>
      <c r="C1090"/>
    </row>
    <row r="1091" spans="2:3">
      <c r="B1091"/>
      <c r="C1091"/>
    </row>
    <row r="1092" spans="2:3">
      <c r="B1092"/>
      <c r="C1092"/>
    </row>
    <row r="1093" spans="2:3">
      <c r="B1093"/>
      <c r="C1093"/>
    </row>
    <row r="1094" spans="2:3">
      <c r="B1094"/>
      <c r="C1094"/>
    </row>
    <row r="1095" spans="2:3">
      <c r="B1095"/>
      <c r="C1095"/>
    </row>
    <row r="1096" spans="2:3">
      <c r="B1096"/>
      <c r="C1096"/>
    </row>
    <row r="1097" spans="2:3">
      <c r="B1097"/>
      <c r="C1097"/>
    </row>
    <row r="1098" spans="2:3">
      <c r="B1098"/>
      <c r="C1098"/>
    </row>
    <row r="1099" spans="2:3">
      <c r="B1099"/>
      <c r="C1099"/>
    </row>
    <row r="1100" spans="2:3">
      <c r="B1100"/>
      <c r="C1100"/>
    </row>
    <row r="1101" spans="2:3">
      <c r="B1101"/>
      <c r="C1101"/>
    </row>
    <row r="1102" spans="2:3">
      <c r="B1102"/>
      <c r="C1102"/>
    </row>
    <row r="1103" spans="2:3">
      <c r="B1103"/>
      <c r="C1103"/>
    </row>
    <row r="1104" spans="2:3">
      <c r="B1104"/>
      <c r="C1104"/>
    </row>
    <row r="1105" spans="2:3">
      <c r="B1105"/>
      <c r="C1105"/>
    </row>
    <row r="1106" spans="2:3">
      <c r="B1106"/>
      <c r="C1106"/>
    </row>
    <row r="1107" spans="2:3">
      <c r="B1107"/>
      <c r="C1107"/>
    </row>
    <row r="1108" spans="2:3">
      <c r="B1108"/>
      <c r="C1108"/>
    </row>
    <row r="1109" spans="2:3">
      <c r="B1109"/>
      <c r="C1109"/>
    </row>
    <row r="1110" spans="2:3">
      <c r="B1110"/>
      <c r="C1110"/>
    </row>
    <row r="1111" spans="2:3">
      <c r="B1111"/>
      <c r="C1111"/>
    </row>
    <row r="1112" spans="2:3">
      <c r="B1112"/>
      <c r="C1112"/>
    </row>
    <row r="1113" spans="2:3">
      <c r="B1113"/>
      <c r="C1113"/>
    </row>
    <row r="1114" spans="2:3">
      <c r="B1114"/>
      <c r="C1114"/>
    </row>
    <row r="1115" spans="2:3">
      <c r="B1115"/>
      <c r="C1115"/>
    </row>
    <row r="1116" spans="2:3">
      <c r="B1116"/>
      <c r="C1116"/>
    </row>
    <row r="1117" spans="2:3">
      <c r="B1117"/>
      <c r="C1117"/>
    </row>
    <row r="1118" spans="2:3">
      <c r="B1118"/>
      <c r="C1118"/>
    </row>
    <row r="1119" spans="2:3">
      <c r="B1119"/>
      <c r="C1119"/>
    </row>
    <row r="1120" spans="2:3">
      <c r="B1120"/>
      <c r="C1120"/>
    </row>
    <row r="1121" spans="2:3">
      <c r="B1121"/>
      <c r="C1121"/>
    </row>
    <row r="1122" spans="2:3">
      <c r="B1122"/>
      <c r="C1122"/>
    </row>
    <row r="1123" spans="2:3">
      <c r="B1123"/>
      <c r="C1123"/>
    </row>
    <row r="1124" spans="2:3">
      <c r="B1124"/>
      <c r="C1124"/>
    </row>
    <row r="1125" spans="2:3">
      <c r="B1125"/>
      <c r="C1125"/>
    </row>
    <row r="1126" spans="2:3">
      <c r="B1126"/>
      <c r="C1126"/>
    </row>
    <row r="1127" spans="2:3">
      <c r="B1127"/>
      <c r="C1127"/>
    </row>
    <row r="1128" spans="2:3">
      <c r="B1128"/>
      <c r="C1128"/>
    </row>
    <row r="1129" spans="2:3">
      <c r="B1129"/>
      <c r="C1129"/>
    </row>
    <row r="1130" spans="2:3">
      <c r="B1130"/>
      <c r="C1130"/>
    </row>
    <row r="1131" spans="2:3">
      <c r="B1131"/>
      <c r="C1131"/>
    </row>
    <row r="1132" spans="2:3">
      <c r="B1132"/>
      <c r="C1132"/>
    </row>
    <row r="1133" spans="2:3">
      <c r="B1133"/>
      <c r="C1133"/>
    </row>
    <row r="1134" spans="2:3">
      <c r="B1134"/>
      <c r="C1134"/>
    </row>
    <row r="1135" spans="2:3">
      <c r="B1135"/>
      <c r="C1135"/>
    </row>
    <row r="1136" spans="2:3">
      <c r="B1136"/>
      <c r="C1136"/>
    </row>
    <row r="1137" spans="2:3">
      <c r="B1137"/>
      <c r="C1137"/>
    </row>
    <row r="1138" spans="2:3">
      <c r="B1138"/>
      <c r="C1138"/>
    </row>
    <row r="1139" spans="2:3">
      <c r="B1139"/>
      <c r="C1139"/>
    </row>
    <row r="1140" spans="2:3">
      <c r="B1140"/>
      <c r="C1140"/>
    </row>
    <row r="1141" spans="2:3">
      <c r="B1141"/>
      <c r="C1141"/>
    </row>
    <row r="1142" spans="2:3">
      <c r="B1142"/>
      <c r="C1142"/>
    </row>
    <row r="1143" spans="2:3">
      <c r="B1143"/>
      <c r="C1143"/>
    </row>
    <row r="1144" spans="2:3">
      <c r="B1144"/>
      <c r="C1144"/>
    </row>
    <row r="1145" spans="2:3">
      <c r="B1145"/>
      <c r="C1145"/>
    </row>
    <row r="1146" spans="2:3">
      <c r="B1146"/>
      <c r="C1146"/>
    </row>
    <row r="1147" spans="2:3">
      <c r="B1147"/>
      <c r="C1147"/>
    </row>
    <row r="1148" spans="2:3">
      <c r="B1148"/>
      <c r="C1148"/>
    </row>
    <row r="1149" spans="2:3">
      <c r="B1149"/>
      <c r="C1149"/>
    </row>
    <row r="1150" spans="2:3">
      <c r="B1150"/>
      <c r="C1150"/>
    </row>
    <row r="1151" spans="2:3">
      <c r="B1151"/>
      <c r="C1151"/>
    </row>
    <row r="1152" spans="2:3">
      <c r="B1152"/>
      <c r="C1152"/>
    </row>
    <row r="1153" spans="2:3">
      <c r="B1153"/>
      <c r="C1153"/>
    </row>
    <row r="1154" spans="2:3">
      <c r="B1154"/>
      <c r="C1154"/>
    </row>
    <row r="1155" spans="2:3">
      <c r="B1155"/>
      <c r="C1155"/>
    </row>
    <row r="1156" spans="2:3">
      <c r="B1156"/>
      <c r="C1156"/>
    </row>
    <row r="1157" spans="2:3">
      <c r="B1157"/>
      <c r="C1157"/>
    </row>
    <row r="1158" spans="2:3">
      <c r="B1158"/>
      <c r="C1158"/>
    </row>
    <row r="1159" spans="2:3">
      <c r="B1159"/>
      <c r="C1159"/>
    </row>
    <row r="1160" spans="2:3">
      <c r="B1160"/>
      <c r="C1160"/>
    </row>
    <row r="1161" spans="2:3">
      <c r="B1161"/>
      <c r="C1161"/>
    </row>
    <row r="1162" spans="2:3">
      <c r="B1162"/>
      <c r="C1162"/>
    </row>
    <row r="1163" spans="2:3">
      <c r="B1163"/>
      <c r="C1163"/>
    </row>
    <row r="1164" spans="2:3">
      <c r="B1164"/>
      <c r="C1164"/>
    </row>
    <row r="1165" spans="2:3">
      <c r="B1165"/>
      <c r="C1165"/>
    </row>
    <row r="1166" spans="2:3">
      <c r="B1166"/>
      <c r="C1166"/>
    </row>
    <row r="1167" spans="2:3">
      <c r="B1167"/>
      <c r="C1167"/>
    </row>
    <row r="1168" spans="2:3">
      <c r="B1168"/>
      <c r="C1168"/>
    </row>
    <row r="1169" spans="2:3">
      <c r="B1169"/>
      <c r="C1169"/>
    </row>
    <row r="1170" spans="2:3">
      <c r="B1170"/>
      <c r="C1170"/>
    </row>
    <row r="1171" spans="2:3">
      <c r="B1171"/>
      <c r="C1171"/>
    </row>
    <row r="1172" spans="2:3">
      <c r="B1172"/>
      <c r="C1172"/>
    </row>
    <row r="1173" spans="2:3">
      <c r="B1173"/>
      <c r="C1173"/>
    </row>
    <row r="1174" spans="2:3">
      <c r="B1174"/>
      <c r="C1174"/>
    </row>
    <row r="1175" spans="2:3">
      <c r="B1175"/>
      <c r="C1175"/>
    </row>
    <row r="1176" spans="2:3">
      <c r="B1176"/>
      <c r="C1176"/>
    </row>
    <row r="1177" spans="2:3">
      <c r="B1177"/>
      <c r="C1177"/>
    </row>
    <row r="1178" spans="2:3">
      <c r="B1178"/>
      <c r="C1178"/>
    </row>
    <row r="1179" spans="2:3">
      <c r="B1179"/>
      <c r="C1179"/>
    </row>
    <row r="1180" spans="2:3">
      <c r="B1180"/>
      <c r="C1180"/>
    </row>
    <row r="1181" spans="2:3">
      <c r="B1181"/>
      <c r="C1181"/>
    </row>
    <row r="1182" spans="2:3">
      <c r="B1182"/>
      <c r="C1182"/>
    </row>
    <row r="1183" spans="2:3">
      <c r="B1183"/>
      <c r="C1183"/>
    </row>
    <row r="1184" spans="2:3">
      <c r="B1184"/>
      <c r="C1184"/>
    </row>
    <row r="1185" spans="2:3">
      <c r="B1185"/>
      <c r="C1185"/>
    </row>
    <row r="1186" spans="2:3">
      <c r="B1186"/>
      <c r="C1186"/>
    </row>
    <row r="1187" spans="2:3">
      <c r="B1187"/>
      <c r="C1187"/>
    </row>
    <row r="1188" spans="2:3">
      <c r="B1188"/>
      <c r="C1188"/>
    </row>
    <row r="1189" spans="2:3">
      <c r="B1189"/>
      <c r="C1189"/>
    </row>
    <row r="1190" spans="2:3">
      <c r="B1190"/>
      <c r="C1190"/>
    </row>
    <row r="1191" spans="2:3">
      <c r="B1191"/>
      <c r="C1191"/>
    </row>
    <row r="1192" spans="2:3">
      <c r="B1192"/>
      <c r="C1192"/>
    </row>
    <row r="1193" spans="2:3">
      <c r="B1193"/>
      <c r="C1193"/>
    </row>
    <row r="1194" spans="2:3">
      <c r="B1194"/>
      <c r="C1194"/>
    </row>
    <row r="1195" spans="2:3">
      <c r="B1195"/>
      <c r="C1195"/>
    </row>
    <row r="1196" spans="2:3">
      <c r="B1196"/>
      <c r="C1196"/>
    </row>
    <row r="1197" spans="2:3">
      <c r="B1197"/>
      <c r="C1197"/>
    </row>
    <row r="1198" spans="2:3">
      <c r="B1198"/>
      <c r="C1198"/>
    </row>
    <row r="1199" spans="2:3">
      <c r="B1199"/>
      <c r="C1199"/>
    </row>
    <row r="1200" spans="2:3">
      <c r="B1200"/>
      <c r="C1200"/>
    </row>
    <row r="1201" spans="2:3">
      <c r="B1201"/>
      <c r="C1201"/>
    </row>
    <row r="1202" spans="2:3">
      <c r="B1202"/>
      <c r="C1202"/>
    </row>
    <row r="1203" spans="2:3">
      <c r="B1203"/>
      <c r="C1203"/>
    </row>
    <row r="1204" spans="2:3">
      <c r="B1204"/>
      <c r="C1204"/>
    </row>
    <row r="1205" spans="2:3">
      <c r="B1205"/>
      <c r="C1205"/>
    </row>
    <row r="1206" spans="2:3">
      <c r="B1206"/>
      <c r="C1206"/>
    </row>
    <row r="1207" spans="2:3">
      <c r="B1207"/>
      <c r="C1207"/>
    </row>
    <row r="1208" spans="2:3">
      <c r="B1208"/>
      <c r="C1208"/>
    </row>
    <row r="1209" spans="2:3">
      <c r="B1209"/>
      <c r="C1209"/>
    </row>
    <row r="1210" spans="2:3">
      <c r="B1210"/>
      <c r="C1210"/>
    </row>
    <row r="1211" spans="2:3">
      <c r="B1211"/>
      <c r="C1211"/>
    </row>
    <row r="1212" spans="2:3">
      <c r="B1212"/>
      <c r="C1212"/>
    </row>
    <row r="1213" spans="2:3">
      <c r="B1213"/>
      <c r="C1213"/>
    </row>
    <row r="1214" spans="2:3">
      <c r="B1214"/>
      <c r="C1214"/>
    </row>
    <row r="1215" spans="2:3">
      <c r="B1215"/>
      <c r="C1215"/>
    </row>
    <row r="1216" spans="2:3">
      <c r="B1216"/>
      <c r="C1216"/>
    </row>
    <row r="1217" spans="2:3">
      <c r="B1217"/>
      <c r="C1217"/>
    </row>
    <row r="1218" spans="2:3">
      <c r="B1218"/>
      <c r="C1218"/>
    </row>
    <row r="1219" spans="2:3">
      <c r="B1219"/>
      <c r="C1219"/>
    </row>
    <row r="1220" spans="2:3">
      <c r="B1220"/>
      <c r="C1220"/>
    </row>
    <row r="1221" spans="2:3">
      <c r="B1221"/>
      <c r="C1221"/>
    </row>
    <row r="1222" spans="2:3">
      <c r="B1222"/>
      <c r="C1222"/>
    </row>
    <row r="1223" spans="2:3">
      <c r="B1223"/>
      <c r="C1223"/>
    </row>
    <row r="1224" spans="2:3">
      <c r="B1224"/>
      <c r="C1224"/>
    </row>
    <row r="1225" spans="2:3">
      <c r="B1225"/>
      <c r="C1225"/>
    </row>
    <row r="1226" spans="2:3">
      <c r="B1226"/>
      <c r="C1226"/>
    </row>
    <row r="1227" spans="2:3">
      <c r="B1227"/>
      <c r="C1227"/>
    </row>
    <row r="1228" spans="2:3">
      <c r="B1228"/>
      <c r="C1228"/>
    </row>
    <row r="1229" spans="2:3">
      <c r="B1229"/>
      <c r="C1229"/>
    </row>
    <row r="1230" spans="2:3">
      <c r="B1230"/>
      <c r="C1230"/>
    </row>
    <row r="1231" spans="2:3">
      <c r="B1231"/>
      <c r="C1231"/>
    </row>
    <row r="1232" spans="2:3">
      <c r="B1232"/>
      <c r="C1232"/>
    </row>
    <row r="1233" spans="2:3">
      <c r="B1233"/>
      <c r="C1233"/>
    </row>
    <row r="1234" spans="2:3">
      <c r="B1234"/>
      <c r="C1234"/>
    </row>
    <row r="1235" spans="2:3">
      <c r="B1235"/>
      <c r="C1235"/>
    </row>
    <row r="1236" spans="2:3">
      <c r="B1236"/>
      <c r="C1236"/>
    </row>
    <row r="1237" spans="2:3">
      <c r="B1237"/>
      <c r="C1237"/>
    </row>
    <row r="1238" spans="2:3">
      <c r="B1238"/>
      <c r="C1238"/>
    </row>
    <row r="1239" spans="2:3">
      <c r="B1239"/>
      <c r="C1239"/>
    </row>
    <row r="1240" spans="2:3">
      <c r="B1240"/>
      <c r="C1240"/>
    </row>
    <row r="1241" spans="2:3">
      <c r="B1241"/>
      <c r="C1241"/>
    </row>
    <row r="1242" spans="2:3">
      <c r="B1242"/>
      <c r="C1242"/>
    </row>
    <row r="1243" spans="2:3">
      <c r="B1243"/>
      <c r="C1243"/>
    </row>
    <row r="1244" spans="2:3">
      <c r="B1244"/>
      <c r="C1244"/>
    </row>
    <row r="1245" spans="2:3">
      <c r="B1245"/>
      <c r="C1245"/>
    </row>
    <row r="1246" spans="2:3">
      <c r="B1246"/>
      <c r="C1246"/>
    </row>
    <row r="1247" spans="2:3">
      <c r="B1247"/>
      <c r="C1247"/>
    </row>
    <row r="1248" spans="2:3">
      <c r="B1248"/>
      <c r="C1248"/>
    </row>
    <row r="1249" spans="2:3">
      <c r="B1249"/>
      <c r="C1249"/>
    </row>
    <row r="1250" spans="2:3">
      <c r="B1250"/>
      <c r="C1250"/>
    </row>
    <row r="1251" spans="2:3">
      <c r="B1251"/>
      <c r="C1251"/>
    </row>
    <row r="1252" spans="2:3">
      <c r="B1252"/>
      <c r="C1252"/>
    </row>
    <row r="1253" spans="2:3">
      <c r="B1253"/>
      <c r="C1253"/>
    </row>
    <row r="1254" spans="2:3">
      <c r="B1254"/>
      <c r="C1254"/>
    </row>
    <row r="1255" spans="2:3">
      <c r="B1255"/>
      <c r="C1255"/>
    </row>
    <row r="1256" spans="2:3">
      <c r="B1256"/>
      <c r="C1256"/>
    </row>
    <row r="1257" spans="2:3">
      <c r="B1257"/>
      <c r="C1257"/>
    </row>
    <row r="1258" spans="2:3">
      <c r="B1258"/>
      <c r="C1258"/>
    </row>
    <row r="1259" spans="2:3">
      <c r="B1259"/>
      <c r="C1259"/>
    </row>
    <row r="1260" spans="2:3">
      <c r="B1260"/>
      <c r="C1260"/>
    </row>
    <row r="1261" spans="2:3">
      <c r="B1261"/>
      <c r="C1261"/>
    </row>
    <row r="1262" spans="2:3">
      <c r="B1262"/>
      <c r="C1262"/>
    </row>
    <row r="1263" spans="2:3">
      <c r="B1263"/>
      <c r="C1263"/>
    </row>
    <row r="1264" spans="2:3">
      <c r="B1264"/>
      <c r="C1264"/>
    </row>
    <row r="1265" spans="2:3">
      <c r="B1265"/>
      <c r="C1265"/>
    </row>
    <row r="1266" spans="2:3">
      <c r="B1266"/>
      <c r="C1266"/>
    </row>
    <row r="1267" spans="2:3">
      <c r="B1267"/>
      <c r="C1267"/>
    </row>
    <row r="1268" spans="2:3">
      <c r="B1268"/>
      <c r="C1268"/>
    </row>
    <row r="1269" spans="2:3">
      <c r="B1269"/>
      <c r="C1269"/>
    </row>
    <row r="1270" spans="2:3">
      <c r="B1270"/>
      <c r="C1270"/>
    </row>
    <row r="1271" spans="2:3">
      <c r="B1271"/>
      <c r="C1271"/>
    </row>
    <row r="1272" spans="2:3">
      <c r="B1272"/>
      <c r="C1272"/>
    </row>
    <row r="1273" spans="2:3">
      <c r="B1273"/>
      <c r="C1273"/>
    </row>
    <row r="1274" spans="2:3">
      <c r="B1274"/>
      <c r="C1274"/>
    </row>
    <row r="1275" spans="2:3">
      <c r="B1275"/>
      <c r="C1275"/>
    </row>
    <row r="1276" spans="2:3">
      <c r="B1276"/>
      <c r="C1276"/>
    </row>
    <row r="1277" spans="2:3">
      <c r="B1277"/>
      <c r="C1277"/>
    </row>
    <row r="1278" spans="2:3">
      <c r="B1278"/>
      <c r="C1278"/>
    </row>
    <row r="1279" spans="2:3">
      <c r="B1279"/>
      <c r="C1279"/>
    </row>
    <row r="1280" spans="2:3">
      <c r="B1280"/>
      <c r="C1280"/>
    </row>
    <row r="1281" spans="2:3">
      <c r="B1281"/>
      <c r="C1281"/>
    </row>
    <row r="1282" spans="2:3">
      <c r="B1282"/>
      <c r="C1282"/>
    </row>
    <row r="1283" spans="2:3">
      <c r="B1283"/>
      <c r="C1283"/>
    </row>
    <row r="1284" spans="2:3">
      <c r="B1284"/>
      <c r="C1284"/>
    </row>
    <row r="1285" spans="2:3">
      <c r="B1285"/>
      <c r="C1285"/>
    </row>
    <row r="1286" spans="2:3">
      <c r="B1286"/>
      <c r="C1286"/>
    </row>
    <row r="1287" spans="2:3">
      <c r="B1287"/>
      <c r="C1287"/>
    </row>
    <row r="1288" spans="2:3">
      <c r="B1288"/>
      <c r="C1288"/>
    </row>
    <row r="1289" spans="2:3">
      <c r="B1289"/>
      <c r="C1289"/>
    </row>
    <row r="1290" spans="2:3">
      <c r="B1290"/>
      <c r="C1290"/>
    </row>
    <row r="1291" spans="2:3">
      <c r="B1291"/>
      <c r="C1291"/>
    </row>
    <row r="1292" spans="2:3">
      <c r="B1292"/>
      <c r="C1292"/>
    </row>
    <row r="1293" spans="2:3">
      <c r="B1293"/>
      <c r="C1293"/>
    </row>
    <row r="1294" spans="2:3">
      <c r="B1294"/>
      <c r="C1294"/>
    </row>
    <row r="1295" spans="2:3">
      <c r="B1295"/>
      <c r="C1295"/>
    </row>
    <row r="1296" spans="2:3">
      <c r="B1296"/>
      <c r="C1296"/>
    </row>
    <row r="1297" spans="2:3">
      <c r="B1297"/>
      <c r="C1297"/>
    </row>
    <row r="1298" spans="2:3">
      <c r="B1298"/>
      <c r="C1298"/>
    </row>
    <row r="1299" spans="2:3">
      <c r="B1299"/>
      <c r="C1299"/>
    </row>
    <row r="1300" spans="2:3">
      <c r="B1300"/>
      <c r="C1300"/>
    </row>
    <row r="1301" spans="2:3">
      <c r="B1301"/>
      <c r="C1301"/>
    </row>
    <row r="1302" spans="2:3">
      <c r="B1302"/>
      <c r="C1302"/>
    </row>
    <row r="1303" spans="2:3">
      <c r="B1303"/>
      <c r="C1303"/>
    </row>
    <row r="1304" spans="2:3">
      <c r="B1304"/>
      <c r="C1304"/>
    </row>
    <row r="1305" spans="2:3">
      <c r="B1305"/>
      <c r="C1305"/>
    </row>
    <row r="1306" spans="2:3">
      <c r="B1306"/>
      <c r="C1306"/>
    </row>
    <row r="1307" spans="2:3">
      <c r="B1307"/>
      <c r="C1307"/>
    </row>
    <row r="1308" spans="2:3">
      <c r="B1308"/>
      <c r="C1308"/>
    </row>
    <row r="1309" spans="2:3">
      <c r="B1309"/>
      <c r="C1309"/>
    </row>
    <row r="1310" spans="2:3">
      <c r="B1310"/>
      <c r="C1310"/>
    </row>
    <row r="1311" spans="2:3">
      <c r="B1311"/>
      <c r="C1311"/>
    </row>
    <row r="1312" spans="2:3">
      <c r="B1312"/>
      <c r="C1312"/>
    </row>
    <row r="1313" spans="2:3">
      <c r="B1313"/>
      <c r="C1313"/>
    </row>
    <row r="1314" spans="2:3">
      <c r="B1314"/>
      <c r="C1314"/>
    </row>
    <row r="1315" spans="2:3">
      <c r="B1315"/>
      <c r="C1315"/>
    </row>
    <row r="1316" spans="2:3">
      <c r="B1316"/>
      <c r="C1316"/>
    </row>
    <row r="1317" spans="2:3">
      <c r="B1317"/>
      <c r="C1317"/>
    </row>
    <row r="1318" spans="2:3">
      <c r="B1318"/>
      <c r="C1318"/>
    </row>
    <row r="1319" spans="2:3">
      <c r="B1319"/>
      <c r="C1319"/>
    </row>
    <row r="1320" spans="2:3">
      <c r="B1320"/>
      <c r="C1320"/>
    </row>
    <row r="1321" spans="2:3">
      <c r="B1321"/>
      <c r="C1321"/>
    </row>
    <row r="1322" spans="2:3">
      <c r="B1322"/>
      <c r="C1322"/>
    </row>
    <row r="1323" spans="2:3">
      <c r="B1323"/>
      <c r="C1323"/>
    </row>
    <row r="1324" spans="2:3">
      <c r="B1324"/>
      <c r="C1324"/>
    </row>
    <row r="1325" spans="2:3">
      <c r="B1325"/>
      <c r="C1325"/>
    </row>
    <row r="1326" spans="2:3">
      <c r="B1326"/>
      <c r="C1326"/>
    </row>
    <row r="1327" spans="2:3">
      <c r="B1327"/>
      <c r="C1327"/>
    </row>
    <row r="1328" spans="2:3">
      <c r="B1328"/>
      <c r="C1328"/>
    </row>
    <row r="1329" spans="2:3">
      <c r="B1329"/>
      <c r="C1329"/>
    </row>
    <row r="1330" spans="2:3">
      <c r="B1330"/>
      <c r="C1330"/>
    </row>
    <row r="1331" spans="2:3">
      <c r="B1331"/>
      <c r="C1331"/>
    </row>
    <row r="1332" spans="2:3">
      <c r="B1332"/>
      <c r="C1332"/>
    </row>
    <row r="1333" spans="2:3">
      <c r="B1333"/>
      <c r="C1333"/>
    </row>
    <row r="1334" spans="2:3">
      <c r="B1334"/>
      <c r="C1334"/>
    </row>
    <row r="1335" spans="2:3">
      <c r="B1335"/>
      <c r="C1335"/>
    </row>
    <row r="1336" spans="2:3">
      <c r="B1336"/>
      <c r="C1336"/>
    </row>
    <row r="1337" spans="2:3">
      <c r="B1337"/>
      <c r="C1337"/>
    </row>
    <row r="1338" spans="2:3">
      <c r="B1338"/>
      <c r="C1338"/>
    </row>
    <row r="1339" spans="2:3">
      <c r="B1339"/>
      <c r="C1339"/>
    </row>
    <row r="1340" spans="2:3">
      <c r="B1340"/>
      <c r="C1340"/>
    </row>
    <row r="1341" spans="2:3">
      <c r="B1341"/>
      <c r="C1341"/>
    </row>
    <row r="1342" spans="2:3">
      <c r="B1342"/>
      <c r="C1342"/>
    </row>
    <row r="1343" spans="2:3">
      <c r="B1343"/>
      <c r="C1343"/>
    </row>
    <row r="1344" spans="2:3">
      <c r="B1344"/>
      <c r="C1344"/>
    </row>
    <row r="1345" spans="2:3">
      <c r="B1345"/>
      <c r="C1345"/>
    </row>
    <row r="1346" spans="2:3">
      <c r="B1346"/>
      <c r="C1346"/>
    </row>
    <row r="1347" spans="2:3">
      <c r="B1347"/>
      <c r="C1347"/>
    </row>
    <row r="1348" spans="2:3">
      <c r="B1348"/>
      <c r="C1348"/>
    </row>
    <row r="1349" spans="2:3">
      <c r="B1349"/>
      <c r="C1349"/>
    </row>
    <row r="1350" spans="2:3">
      <c r="B1350"/>
      <c r="C1350"/>
    </row>
    <row r="1351" spans="2:3">
      <c r="B1351"/>
      <c r="C1351"/>
    </row>
    <row r="1352" spans="2:3">
      <c r="B1352"/>
      <c r="C1352"/>
    </row>
    <row r="1353" spans="2:3">
      <c r="B1353"/>
      <c r="C1353"/>
    </row>
    <row r="1354" spans="2:3">
      <c r="B1354"/>
      <c r="C1354"/>
    </row>
    <row r="1355" spans="2:3">
      <c r="B1355"/>
      <c r="C1355"/>
    </row>
    <row r="1356" spans="2:3">
      <c r="B1356"/>
      <c r="C1356"/>
    </row>
    <row r="1357" spans="2:3">
      <c r="B1357"/>
      <c r="C1357"/>
    </row>
    <row r="1358" spans="2:3">
      <c r="B1358"/>
      <c r="C1358"/>
    </row>
    <row r="1359" spans="2:3">
      <c r="B1359"/>
      <c r="C1359"/>
    </row>
    <row r="1360" spans="2:3">
      <c r="B1360"/>
      <c r="C1360"/>
    </row>
    <row r="1361" spans="2:3">
      <c r="B1361"/>
      <c r="C1361"/>
    </row>
    <row r="1362" spans="2:3">
      <c r="B1362"/>
      <c r="C1362"/>
    </row>
    <row r="1363" spans="2:3">
      <c r="B1363"/>
      <c r="C1363"/>
    </row>
    <row r="1364" spans="2:3">
      <c r="B1364"/>
      <c r="C1364"/>
    </row>
    <row r="1365" spans="2:3">
      <c r="B1365"/>
      <c r="C1365"/>
    </row>
    <row r="1366" spans="2:3">
      <c r="B1366"/>
      <c r="C1366"/>
    </row>
    <row r="1367" spans="2:3">
      <c r="B1367"/>
      <c r="C1367"/>
    </row>
    <row r="1368" spans="2:3">
      <c r="B1368"/>
      <c r="C1368"/>
    </row>
    <row r="1369" spans="2:3">
      <c r="B1369"/>
      <c r="C1369"/>
    </row>
    <row r="1370" spans="2:3">
      <c r="B1370"/>
      <c r="C1370"/>
    </row>
    <row r="1371" spans="2:3">
      <c r="B1371"/>
      <c r="C1371"/>
    </row>
    <row r="1372" spans="2:3">
      <c r="B1372"/>
      <c r="C1372"/>
    </row>
    <row r="1373" spans="2:3">
      <c r="B1373"/>
      <c r="C1373"/>
    </row>
    <row r="1374" spans="2:3">
      <c r="B1374"/>
      <c r="C1374"/>
    </row>
    <row r="1375" spans="2:3">
      <c r="B1375"/>
      <c r="C1375"/>
    </row>
    <row r="1376" spans="2:3">
      <c r="B1376"/>
      <c r="C1376"/>
    </row>
    <row r="1377" spans="2:3">
      <c r="B1377"/>
      <c r="C1377"/>
    </row>
    <row r="1378" spans="2:3">
      <c r="B1378"/>
      <c r="C1378"/>
    </row>
    <row r="1379" spans="2:3">
      <c r="B1379"/>
      <c r="C1379"/>
    </row>
    <row r="1380" spans="2:3">
      <c r="B1380"/>
      <c r="C1380"/>
    </row>
    <row r="1381" spans="2:3">
      <c r="B1381"/>
      <c r="C1381"/>
    </row>
    <row r="1382" spans="2:3">
      <c r="B1382"/>
      <c r="C1382"/>
    </row>
    <row r="1383" spans="2:3">
      <c r="B1383"/>
      <c r="C1383"/>
    </row>
    <row r="1384" spans="2:3">
      <c r="B1384"/>
      <c r="C1384"/>
    </row>
    <row r="1385" spans="2:3">
      <c r="B1385"/>
      <c r="C1385"/>
    </row>
    <row r="1386" spans="2:3">
      <c r="B1386"/>
      <c r="C1386"/>
    </row>
    <row r="1387" spans="2:3">
      <c r="B1387"/>
      <c r="C1387"/>
    </row>
    <row r="1388" spans="2:3">
      <c r="B1388"/>
      <c r="C1388"/>
    </row>
    <row r="1389" spans="2:3">
      <c r="B1389"/>
      <c r="C1389"/>
    </row>
    <row r="1390" spans="2:3">
      <c r="B1390"/>
      <c r="C1390"/>
    </row>
    <row r="1391" spans="2:3">
      <c r="B1391"/>
      <c r="C1391"/>
    </row>
    <row r="1392" spans="2:3">
      <c r="B1392"/>
      <c r="C1392"/>
    </row>
    <row r="1393" spans="2:3">
      <c r="B1393"/>
      <c r="C1393"/>
    </row>
    <row r="1394" spans="2:3">
      <c r="B1394"/>
      <c r="C1394"/>
    </row>
    <row r="1395" spans="2:3">
      <c r="B1395"/>
      <c r="C1395"/>
    </row>
    <row r="1396" spans="2:3">
      <c r="B1396"/>
      <c r="C1396"/>
    </row>
    <row r="1397" spans="2:3">
      <c r="B1397"/>
      <c r="C1397"/>
    </row>
    <row r="1398" spans="2:3">
      <c r="B1398"/>
      <c r="C1398"/>
    </row>
    <row r="1399" spans="2:3">
      <c r="B1399"/>
      <c r="C1399"/>
    </row>
    <row r="1400" spans="2:3">
      <c r="B1400"/>
      <c r="C1400"/>
    </row>
    <row r="1401" spans="2:3">
      <c r="B1401"/>
      <c r="C1401"/>
    </row>
    <row r="1402" spans="2:3">
      <c r="B1402"/>
      <c r="C1402"/>
    </row>
    <row r="1403" spans="2:3">
      <c r="B1403"/>
      <c r="C1403"/>
    </row>
    <row r="1404" spans="2:3">
      <c r="B1404"/>
      <c r="C1404"/>
    </row>
    <row r="1405" spans="2:3">
      <c r="B1405"/>
      <c r="C1405"/>
    </row>
    <row r="1406" spans="2:3">
      <c r="B1406"/>
      <c r="C1406"/>
    </row>
    <row r="1407" spans="2:3">
      <c r="B1407"/>
      <c r="C1407"/>
    </row>
    <row r="1408" spans="2:3">
      <c r="B1408"/>
      <c r="C1408"/>
    </row>
    <row r="1409" spans="2:3">
      <c r="B1409"/>
      <c r="C1409"/>
    </row>
    <row r="1410" spans="2:3">
      <c r="B1410"/>
      <c r="C1410"/>
    </row>
    <row r="1411" spans="2:3">
      <c r="B1411"/>
      <c r="C1411"/>
    </row>
    <row r="1412" spans="2:3">
      <c r="B1412"/>
      <c r="C1412"/>
    </row>
    <row r="1413" spans="2:3">
      <c r="B1413"/>
      <c r="C1413"/>
    </row>
    <row r="1414" spans="2:3">
      <c r="B1414"/>
      <c r="C1414"/>
    </row>
    <row r="1415" spans="2:3">
      <c r="B1415"/>
      <c r="C1415"/>
    </row>
    <row r="1416" spans="2:3">
      <c r="B1416"/>
      <c r="C1416"/>
    </row>
    <row r="1417" spans="2:3">
      <c r="B1417"/>
      <c r="C1417"/>
    </row>
    <row r="1418" spans="2:3">
      <c r="B1418"/>
      <c r="C1418"/>
    </row>
    <row r="1419" spans="2:3">
      <c r="B1419"/>
      <c r="C1419"/>
    </row>
    <row r="1420" spans="2:3">
      <c r="B1420"/>
      <c r="C1420"/>
    </row>
    <row r="1421" spans="2:3">
      <c r="B1421"/>
      <c r="C1421"/>
    </row>
    <row r="1422" spans="2:3">
      <c r="B1422"/>
      <c r="C1422"/>
    </row>
    <row r="1423" spans="2:3">
      <c r="B1423"/>
      <c r="C1423"/>
    </row>
    <row r="1424" spans="2:3">
      <c r="B1424"/>
      <c r="C1424"/>
    </row>
    <row r="1425" spans="2:3">
      <c r="B1425"/>
      <c r="C1425"/>
    </row>
    <row r="1426" spans="2:3">
      <c r="B1426"/>
      <c r="C1426"/>
    </row>
    <row r="1427" spans="2:3">
      <c r="B1427"/>
      <c r="C1427"/>
    </row>
    <row r="1428" spans="2:3">
      <c r="B1428"/>
      <c r="C1428"/>
    </row>
    <row r="1429" spans="2:3">
      <c r="B1429"/>
      <c r="C1429"/>
    </row>
    <row r="1430" spans="2:3">
      <c r="B1430"/>
      <c r="C1430"/>
    </row>
    <row r="1431" spans="2:3">
      <c r="B1431"/>
      <c r="C1431"/>
    </row>
    <row r="1432" spans="2:3">
      <c r="B1432"/>
      <c r="C1432"/>
    </row>
    <row r="1433" spans="2:3">
      <c r="B1433"/>
      <c r="C1433"/>
    </row>
    <row r="1434" spans="2:3">
      <c r="B1434"/>
      <c r="C1434"/>
    </row>
    <row r="1435" spans="2:3">
      <c r="B1435"/>
      <c r="C1435"/>
    </row>
    <row r="1436" spans="2:3">
      <c r="B1436"/>
      <c r="C1436"/>
    </row>
    <row r="1437" spans="2:3">
      <c r="B1437"/>
      <c r="C1437"/>
    </row>
    <row r="1438" spans="2:3">
      <c r="B1438"/>
      <c r="C1438"/>
    </row>
    <row r="1439" spans="2:3">
      <c r="B1439"/>
      <c r="C1439"/>
    </row>
    <row r="1440" spans="2:3">
      <c r="B1440"/>
      <c r="C1440"/>
    </row>
    <row r="1441" spans="2:3">
      <c r="B1441"/>
      <c r="C1441"/>
    </row>
    <row r="1442" spans="2:3">
      <c r="B1442"/>
      <c r="C1442"/>
    </row>
    <row r="1443" spans="2:3">
      <c r="B1443"/>
      <c r="C1443"/>
    </row>
    <row r="1444" spans="2:3">
      <c r="B1444"/>
      <c r="C1444"/>
    </row>
    <row r="1445" spans="2:3">
      <c r="B1445"/>
      <c r="C1445"/>
    </row>
    <row r="1446" spans="2:3">
      <c r="B1446"/>
      <c r="C1446"/>
    </row>
    <row r="1447" spans="2:3">
      <c r="B1447"/>
      <c r="C1447"/>
    </row>
    <row r="1448" spans="2:3">
      <c r="B1448"/>
      <c r="C1448"/>
    </row>
    <row r="1449" spans="2:3">
      <c r="B1449"/>
      <c r="C1449"/>
    </row>
    <row r="1450" spans="2:3">
      <c r="B1450"/>
      <c r="C1450"/>
    </row>
    <row r="1451" spans="2:3">
      <c r="B1451"/>
      <c r="C1451"/>
    </row>
    <row r="1452" spans="2:3">
      <c r="B1452"/>
      <c r="C1452"/>
    </row>
    <row r="1453" spans="2:3">
      <c r="B1453"/>
      <c r="C1453"/>
    </row>
    <row r="1454" spans="2:3">
      <c r="B1454"/>
      <c r="C1454"/>
    </row>
    <row r="1455" spans="2:3">
      <c r="B1455"/>
      <c r="C1455"/>
    </row>
    <row r="1456" spans="2:3">
      <c r="B1456"/>
      <c r="C1456"/>
    </row>
    <row r="1457" spans="2:3">
      <c r="B1457"/>
      <c r="C1457"/>
    </row>
    <row r="1458" spans="2:3">
      <c r="B1458"/>
      <c r="C1458"/>
    </row>
    <row r="1459" spans="2:3">
      <c r="B1459"/>
      <c r="C1459"/>
    </row>
    <row r="1460" spans="2:3">
      <c r="B1460"/>
      <c r="C1460"/>
    </row>
    <row r="1461" spans="2:3">
      <c r="B1461"/>
      <c r="C1461"/>
    </row>
    <row r="1462" spans="2:3">
      <c r="B1462"/>
      <c r="C1462"/>
    </row>
    <row r="1463" spans="2:3">
      <c r="B1463"/>
      <c r="C1463"/>
    </row>
    <row r="1464" spans="2:3">
      <c r="B1464"/>
      <c r="C1464"/>
    </row>
    <row r="1465" spans="2:3">
      <c r="B1465"/>
      <c r="C1465"/>
    </row>
    <row r="1466" spans="2:3">
      <c r="B1466"/>
      <c r="C1466"/>
    </row>
    <row r="1467" spans="2:3">
      <c r="B1467"/>
      <c r="C1467"/>
    </row>
    <row r="1468" spans="2:3">
      <c r="B1468"/>
      <c r="C1468"/>
    </row>
    <row r="1469" spans="2:3">
      <c r="B1469"/>
      <c r="C1469"/>
    </row>
    <row r="1470" spans="2:3">
      <c r="B1470"/>
      <c r="C1470"/>
    </row>
    <row r="1471" spans="2:3">
      <c r="B1471"/>
      <c r="C1471"/>
    </row>
    <row r="1472" spans="2:3">
      <c r="B1472"/>
      <c r="C1472"/>
    </row>
    <row r="1473" spans="2:3">
      <c r="B1473"/>
      <c r="C1473"/>
    </row>
    <row r="1474" spans="2:3">
      <c r="B1474"/>
      <c r="C1474"/>
    </row>
    <row r="1475" spans="2:3">
      <c r="B1475"/>
      <c r="C1475"/>
    </row>
    <row r="1476" spans="2:3">
      <c r="B1476"/>
      <c r="C1476"/>
    </row>
    <row r="1477" spans="2:3">
      <c r="B1477"/>
      <c r="C1477"/>
    </row>
    <row r="1478" spans="2:3">
      <c r="B1478"/>
      <c r="C1478"/>
    </row>
    <row r="1479" spans="2:3">
      <c r="B1479"/>
      <c r="C1479"/>
    </row>
    <row r="1480" spans="2:3">
      <c r="B1480"/>
      <c r="C1480"/>
    </row>
    <row r="1481" spans="2:3">
      <c r="B1481"/>
      <c r="C1481"/>
    </row>
    <row r="1482" spans="2:3">
      <c r="B1482"/>
      <c r="C1482"/>
    </row>
    <row r="1483" spans="2:3">
      <c r="B1483"/>
      <c r="C1483"/>
    </row>
    <row r="1484" spans="2:3">
      <c r="B1484"/>
      <c r="C1484"/>
    </row>
    <row r="1485" spans="2:3">
      <c r="B1485"/>
      <c r="C1485"/>
    </row>
    <row r="1486" spans="2:3">
      <c r="B1486"/>
      <c r="C1486"/>
    </row>
    <row r="1487" spans="2:3">
      <c r="B1487"/>
      <c r="C1487"/>
    </row>
    <row r="1488" spans="2:3">
      <c r="B1488"/>
      <c r="C1488"/>
    </row>
    <row r="1489" spans="2:3">
      <c r="B1489"/>
      <c r="C1489"/>
    </row>
    <row r="1490" spans="2:3">
      <c r="B1490"/>
      <c r="C1490"/>
    </row>
    <row r="1491" spans="2:3">
      <c r="B1491"/>
      <c r="C1491"/>
    </row>
    <row r="1492" spans="2:3">
      <c r="B1492"/>
      <c r="C1492"/>
    </row>
    <row r="1493" spans="2:3">
      <c r="B1493"/>
      <c r="C1493"/>
    </row>
    <row r="1494" spans="2:3">
      <c r="B1494"/>
      <c r="C1494"/>
    </row>
    <row r="1495" spans="2:3">
      <c r="B1495"/>
      <c r="C1495"/>
    </row>
    <row r="1496" spans="2:3">
      <c r="B1496"/>
      <c r="C1496"/>
    </row>
    <row r="1497" spans="2:3">
      <c r="B1497"/>
      <c r="C1497"/>
    </row>
    <row r="1498" spans="2:3">
      <c r="B1498"/>
      <c r="C1498"/>
    </row>
    <row r="1499" spans="2:3">
      <c r="B1499"/>
      <c r="C1499"/>
    </row>
    <row r="1500" spans="2:3">
      <c r="B1500"/>
      <c r="C1500"/>
    </row>
    <row r="1501" spans="2:3">
      <c r="B1501"/>
      <c r="C1501"/>
    </row>
    <row r="1502" spans="2:3">
      <c r="B1502"/>
      <c r="C1502"/>
    </row>
    <row r="1503" spans="2:3">
      <c r="B1503"/>
      <c r="C1503"/>
    </row>
    <row r="1504" spans="2:3">
      <c r="B1504"/>
      <c r="C1504"/>
    </row>
    <row r="1505" spans="2:3">
      <c r="B1505"/>
      <c r="C1505"/>
    </row>
    <row r="1506" spans="2:3">
      <c r="B1506"/>
      <c r="C1506"/>
    </row>
    <row r="1507" spans="2:3">
      <c r="B1507"/>
      <c r="C1507"/>
    </row>
    <row r="1508" spans="2:3">
      <c r="B1508"/>
      <c r="C1508"/>
    </row>
    <row r="1509" spans="2:3">
      <c r="B1509"/>
      <c r="C1509"/>
    </row>
    <row r="1510" spans="2:3">
      <c r="B1510"/>
      <c r="C1510"/>
    </row>
    <row r="1511" spans="2:3">
      <c r="B1511"/>
      <c r="C1511"/>
    </row>
    <row r="1512" spans="2:3">
      <c r="B1512"/>
      <c r="C1512"/>
    </row>
    <row r="1513" spans="2:3">
      <c r="B1513"/>
      <c r="C1513"/>
    </row>
    <row r="1514" spans="2:3">
      <c r="B1514"/>
      <c r="C1514"/>
    </row>
    <row r="1515" spans="2:3">
      <c r="B1515"/>
      <c r="C1515"/>
    </row>
    <row r="1516" spans="2:3">
      <c r="B1516"/>
      <c r="C1516"/>
    </row>
    <row r="1517" spans="2:3">
      <c r="B1517"/>
      <c r="C1517"/>
    </row>
    <row r="1518" spans="2:3">
      <c r="B1518"/>
      <c r="C1518"/>
    </row>
    <row r="1519" spans="2:3">
      <c r="B1519"/>
      <c r="C1519"/>
    </row>
    <row r="1520" spans="2:3">
      <c r="B1520"/>
      <c r="C1520"/>
    </row>
    <row r="1521" spans="2:3">
      <c r="B1521"/>
      <c r="C1521"/>
    </row>
    <row r="1522" spans="2:3">
      <c r="B1522"/>
      <c r="C1522"/>
    </row>
    <row r="1523" spans="2:3">
      <c r="B1523"/>
      <c r="C1523"/>
    </row>
    <row r="1524" spans="2:3">
      <c r="B1524"/>
      <c r="C1524"/>
    </row>
    <row r="1525" spans="2:3">
      <c r="B1525"/>
      <c r="C1525"/>
    </row>
    <row r="1526" spans="2:3">
      <c r="B1526"/>
      <c r="C1526"/>
    </row>
    <row r="1527" spans="2:3">
      <c r="B1527"/>
      <c r="C1527"/>
    </row>
    <row r="1528" spans="2:3">
      <c r="B1528"/>
      <c r="C1528"/>
    </row>
    <row r="1529" spans="2:3">
      <c r="B1529"/>
      <c r="C1529"/>
    </row>
    <row r="1530" spans="2:3">
      <c r="B1530"/>
      <c r="C1530"/>
    </row>
    <row r="1531" spans="2:3">
      <c r="B1531"/>
      <c r="C1531"/>
    </row>
    <row r="1532" spans="2:3">
      <c r="B1532"/>
      <c r="C1532"/>
    </row>
    <row r="1533" spans="2:3">
      <c r="B1533"/>
      <c r="C1533"/>
    </row>
    <row r="1534" spans="2:3">
      <c r="B1534"/>
      <c r="C1534"/>
    </row>
    <row r="1535" spans="2:3">
      <c r="B1535"/>
      <c r="C1535"/>
    </row>
    <row r="1536" spans="2:3">
      <c r="B1536"/>
      <c r="C1536"/>
    </row>
    <row r="1537" spans="2:3">
      <c r="B1537"/>
      <c r="C1537"/>
    </row>
    <row r="1538" spans="2:3">
      <c r="B1538"/>
      <c r="C1538"/>
    </row>
    <row r="1539" spans="2:3">
      <c r="B1539"/>
      <c r="C1539"/>
    </row>
    <row r="1540" spans="2:3">
      <c r="B1540"/>
      <c r="C1540"/>
    </row>
    <row r="1541" spans="2:3">
      <c r="B1541"/>
      <c r="C1541"/>
    </row>
    <row r="1542" spans="2:3">
      <c r="B1542"/>
      <c r="C1542"/>
    </row>
    <row r="1543" spans="2:3">
      <c r="B1543"/>
      <c r="C1543"/>
    </row>
    <row r="1544" spans="2:3">
      <c r="B1544"/>
      <c r="C1544"/>
    </row>
    <row r="1545" spans="2:3">
      <c r="B1545"/>
      <c r="C1545"/>
    </row>
    <row r="1546" spans="2:3">
      <c r="B1546"/>
      <c r="C1546"/>
    </row>
    <row r="1547" spans="2:3">
      <c r="B1547"/>
      <c r="C1547"/>
    </row>
    <row r="1548" spans="2:3">
      <c r="B1548"/>
      <c r="C1548"/>
    </row>
    <row r="1549" spans="2:3">
      <c r="B1549"/>
      <c r="C1549"/>
    </row>
    <row r="1550" spans="2:3">
      <c r="B1550"/>
      <c r="C1550"/>
    </row>
    <row r="1551" spans="2:3">
      <c r="B1551"/>
      <c r="C1551"/>
    </row>
    <row r="1552" spans="2:3">
      <c r="B1552"/>
      <c r="C1552"/>
    </row>
    <row r="1553" spans="2:3">
      <c r="B1553"/>
      <c r="C1553"/>
    </row>
    <row r="1554" spans="2:3">
      <c r="B1554"/>
      <c r="C1554"/>
    </row>
    <row r="1555" spans="2:3">
      <c r="B1555"/>
      <c r="C1555"/>
    </row>
    <row r="1556" spans="2:3">
      <c r="B1556"/>
      <c r="C1556"/>
    </row>
    <row r="1557" spans="2:3">
      <c r="B1557"/>
      <c r="C1557"/>
    </row>
    <row r="1558" spans="2:3">
      <c r="B1558"/>
      <c r="C1558"/>
    </row>
    <row r="1559" spans="2:3">
      <c r="B1559"/>
      <c r="C1559"/>
    </row>
    <row r="1560" spans="2:3">
      <c r="B1560"/>
      <c r="C1560"/>
    </row>
    <row r="1561" spans="2:3">
      <c r="B1561"/>
      <c r="C1561"/>
    </row>
    <row r="1562" spans="2:3">
      <c r="B1562"/>
      <c r="C1562"/>
    </row>
    <row r="1563" spans="2:3">
      <c r="B1563"/>
      <c r="C1563"/>
    </row>
    <row r="1564" spans="2:3">
      <c r="B1564"/>
      <c r="C1564"/>
    </row>
    <row r="1565" spans="2:3">
      <c r="B1565"/>
      <c r="C1565"/>
    </row>
    <row r="1566" spans="2:3">
      <c r="B1566"/>
      <c r="C1566"/>
    </row>
    <row r="1567" spans="2:3">
      <c r="B1567"/>
      <c r="C1567"/>
    </row>
    <row r="1568" spans="2:3">
      <c r="B1568"/>
      <c r="C1568"/>
    </row>
    <row r="1569" spans="2:3">
      <c r="B1569"/>
      <c r="C1569"/>
    </row>
    <row r="1570" spans="2:3">
      <c r="B1570"/>
      <c r="C1570"/>
    </row>
    <row r="1571" spans="2:3">
      <c r="B1571"/>
      <c r="C1571"/>
    </row>
    <row r="1572" spans="2:3">
      <c r="B1572"/>
      <c r="C1572"/>
    </row>
    <row r="1573" spans="2:3">
      <c r="B1573"/>
      <c r="C1573"/>
    </row>
    <row r="1574" spans="2:3">
      <c r="B1574"/>
      <c r="C1574"/>
    </row>
    <row r="1575" spans="2:3">
      <c r="B1575"/>
      <c r="C1575"/>
    </row>
    <row r="1576" spans="2:3">
      <c r="B1576"/>
      <c r="C1576"/>
    </row>
    <row r="1577" spans="2:3">
      <c r="B1577"/>
      <c r="C1577"/>
    </row>
    <row r="1578" spans="2:3">
      <c r="B1578"/>
      <c r="C1578"/>
    </row>
    <row r="1579" spans="2:3">
      <c r="B1579"/>
      <c r="C1579"/>
    </row>
    <row r="1580" spans="2:3">
      <c r="B1580"/>
      <c r="C1580"/>
    </row>
    <row r="1581" spans="2:3">
      <c r="B1581"/>
      <c r="C1581"/>
    </row>
    <row r="1582" spans="2:3">
      <c r="B1582"/>
      <c r="C1582"/>
    </row>
    <row r="1583" spans="2:3">
      <c r="B1583"/>
      <c r="C1583"/>
    </row>
    <row r="1584" spans="2:3">
      <c r="B1584"/>
      <c r="C1584"/>
    </row>
    <row r="1585" spans="2:3">
      <c r="B1585"/>
      <c r="C1585"/>
    </row>
    <row r="1586" spans="2:3">
      <c r="B1586"/>
      <c r="C1586"/>
    </row>
    <row r="1587" spans="2:3">
      <c r="B1587"/>
      <c r="C1587"/>
    </row>
    <row r="1588" spans="2:3">
      <c r="B1588"/>
      <c r="C1588"/>
    </row>
    <row r="1589" spans="2:3">
      <c r="B1589"/>
      <c r="C1589"/>
    </row>
    <row r="1590" spans="2:3">
      <c r="B1590"/>
      <c r="C1590"/>
    </row>
    <row r="1591" spans="2:3">
      <c r="B1591"/>
      <c r="C1591"/>
    </row>
    <row r="1592" spans="2:3">
      <c r="B1592"/>
      <c r="C1592"/>
    </row>
    <row r="1593" spans="2:3">
      <c r="B1593"/>
      <c r="C1593"/>
    </row>
    <row r="1594" spans="2:3">
      <c r="B1594"/>
      <c r="C1594"/>
    </row>
    <row r="1595" spans="2:3">
      <c r="B1595"/>
      <c r="C1595"/>
    </row>
    <row r="1596" spans="2:3">
      <c r="B1596"/>
      <c r="C1596"/>
    </row>
    <row r="1597" spans="2:3">
      <c r="B1597"/>
      <c r="C1597"/>
    </row>
    <row r="1598" spans="2:3">
      <c r="B1598"/>
      <c r="C1598"/>
    </row>
    <row r="1599" spans="2:3">
      <c r="B1599"/>
      <c r="C1599"/>
    </row>
    <row r="1600" spans="2:3">
      <c r="B1600"/>
      <c r="C1600"/>
    </row>
    <row r="1601" spans="2:3">
      <c r="B1601"/>
      <c r="C1601"/>
    </row>
  </sheetData>
  <pageMargins left="0.7" right="0.7" top="0.75" bottom="0.75" header="0.3" footer="0.3"/>
  <pageSetup orientation="portrait"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32AFA6-4316-4CC3-B171-7B73F70BCCD6}">
  <dimension ref="A1:T51"/>
  <sheetViews>
    <sheetView zoomScale="95" zoomScaleNormal="95" workbookViewId="0">
      <selection activeCell="K5" sqref="K5"/>
    </sheetView>
  </sheetViews>
  <sheetFormatPr defaultRowHeight="14.4"/>
  <cols>
    <col min="1" max="1" width="18.21875" bestFit="1" customWidth="1"/>
    <col min="2" max="2" width="18.77734375" bestFit="1" customWidth="1"/>
    <col min="3" max="3" width="29.77734375" bestFit="1" customWidth="1"/>
    <col min="4" max="4" width="11.33203125" bestFit="1" customWidth="1"/>
    <col min="11" max="11" width="83.109375" customWidth="1"/>
  </cols>
  <sheetData>
    <row r="1" spans="1:20" s="29" customFormat="1" ht="18">
      <c r="C1" s="52" t="s">
        <v>1330</v>
      </c>
      <c r="D1" s="52" t="s">
        <v>1331</v>
      </c>
      <c r="K1" s="45" t="s">
        <v>1366</v>
      </c>
    </row>
    <row r="2" spans="1:20" ht="15.6" customHeight="1">
      <c r="C2" s="49" t="s">
        <v>1332</v>
      </c>
      <c r="D2" s="50">
        <f>COUNTA(_xlfn.UNIQUE(Data!A2:A801))</f>
        <v>797</v>
      </c>
      <c r="K2" s="58" t="s">
        <v>1379</v>
      </c>
    </row>
    <row r="3" spans="1:20" ht="15.6">
      <c r="C3" s="49" t="s">
        <v>1333</v>
      </c>
      <c r="D3" s="50">
        <f>COUNTA(Data!A2:A801)</f>
        <v>800</v>
      </c>
      <c r="K3" s="58"/>
    </row>
    <row r="4" spans="1:20" ht="15.6">
      <c r="C4" s="49" t="s">
        <v>1334</v>
      </c>
      <c r="D4" s="51">
        <f>AVERAGE(Data!F2:F801)</f>
        <v>379.08125000000001</v>
      </c>
      <c r="K4" s="47" t="s">
        <v>1380</v>
      </c>
    </row>
    <row r="5" spans="1:20" ht="31.2">
      <c r="C5" s="49" t="s">
        <v>1335</v>
      </c>
      <c r="D5" s="51">
        <f>AVERAGE(Data!G2:G801)</f>
        <v>98.88905000000004</v>
      </c>
      <c r="K5" s="47" t="s">
        <v>1381</v>
      </c>
    </row>
    <row r="6" spans="1:20" ht="31.2">
      <c r="C6" s="49" t="s">
        <v>1336</v>
      </c>
      <c r="D6" s="51">
        <f>AVERAGE(Data!H2:H801)</f>
        <v>24.904725000000031</v>
      </c>
      <c r="K6" s="47" t="s">
        <v>1382</v>
      </c>
    </row>
    <row r="7" spans="1:20" ht="31.2">
      <c r="C7" s="49" t="s">
        <v>1337</v>
      </c>
      <c r="D7" s="51">
        <f>AVERAGE(Data!K2:K801)</f>
        <v>-8.7153223581932746</v>
      </c>
      <c r="K7" s="47" t="s">
        <v>1374</v>
      </c>
    </row>
    <row r="8" spans="1:20" ht="15.6">
      <c r="C8" s="49" t="s">
        <v>1340</v>
      </c>
      <c r="D8" s="51">
        <f>MEDIAN(Data!K2:K801)</f>
        <v>18.218045798319345</v>
      </c>
    </row>
    <row r="9" spans="1:20" ht="15.6">
      <c r="C9" s="49" t="s">
        <v>1338</v>
      </c>
      <c r="D9" s="51">
        <f>MAX(Data!K2:K801)</f>
        <v>172.65081092436975</v>
      </c>
    </row>
    <row r="10" spans="1:20" ht="15.6">
      <c r="C10" s="49" t="s">
        <v>1339</v>
      </c>
      <c r="D10" s="51">
        <f>MIN(Data!K2:K801)</f>
        <v>-13668.20157394958</v>
      </c>
    </row>
    <row r="11" spans="1:20">
      <c r="B11" s="24"/>
    </row>
    <row r="13" spans="1:20" ht="15" customHeight="1">
      <c r="A13" s="57" t="s">
        <v>1343</v>
      </c>
      <c r="B13" s="57"/>
      <c r="K13" s="45" t="s">
        <v>1366</v>
      </c>
      <c r="L13" s="42"/>
      <c r="M13" s="42"/>
      <c r="N13" s="42"/>
      <c r="O13" s="42"/>
      <c r="P13" s="42"/>
      <c r="Q13" s="42"/>
      <c r="R13" s="42"/>
      <c r="S13" s="42"/>
      <c r="T13" s="42"/>
    </row>
    <row r="14" spans="1:20" ht="30.6" customHeight="1">
      <c r="A14" s="26" t="s">
        <v>1364</v>
      </c>
      <c r="B14" t="s">
        <v>1342</v>
      </c>
      <c r="K14" s="47" t="s">
        <v>1371</v>
      </c>
      <c r="L14" s="42"/>
      <c r="M14" s="42"/>
      <c r="N14" s="42"/>
      <c r="O14" s="42"/>
      <c r="P14" s="42"/>
      <c r="Q14" s="42"/>
      <c r="R14" s="42"/>
      <c r="S14" s="42"/>
      <c r="T14" s="42"/>
    </row>
    <row r="15" spans="1:20">
      <c r="A15" s="27">
        <v>12</v>
      </c>
      <c r="B15" s="20">
        <v>-36.006747588559236</v>
      </c>
    </row>
    <row r="16" spans="1:20">
      <c r="A16" s="27">
        <v>24</v>
      </c>
      <c r="B16" s="20">
        <v>24.809798885793874</v>
      </c>
    </row>
    <row r="18" spans="1:11">
      <c r="A18" s="27"/>
      <c r="B18" s="20"/>
    </row>
    <row r="19" spans="1:11">
      <c r="A19" s="27"/>
      <c r="B19" s="20"/>
    </row>
    <row r="20" spans="1:11">
      <c r="B20" s="20"/>
    </row>
    <row r="21" spans="1:11">
      <c r="B21" s="20"/>
    </row>
    <row r="22" spans="1:11">
      <c r="B22" s="20"/>
    </row>
    <row r="23" spans="1:11">
      <c r="B23" s="20"/>
    </row>
    <row r="24" spans="1:11">
      <c r="B24" s="20"/>
    </row>
    <row r="25" spans="1:11">
      <c r="B25" s="20"/>
    </row>
    <row r="26" spans="1:11">
      <c r="B26" s="20"/>
    </row>
    <row r="27" spans="1:11">
      <c r="B27" s="20"/>
    </row>
    <row r="30" spans="1:11" ht="18">
      <c r="A30" s="57" t="s">
        <v>1344</v>
      </c>
      <c r="B30" s="57"/>
      <c r="K30" s="45" t="s">
        <v>1366</v>
      </c>
    </row>
    <row r="31" spans="1:11" ht="31.2">
      <c r="A31" s="26" t="s">
        <v>1361</v>
      </c>
      <c r="B31" s="20" t="s">
        <v>1342</v>
      </c>
      <c r="K31" s="47" t="s">
        <v>1372</v>
      </c>
    </row>
    <row r="32" spans="1:11">
      <c r="A32" s="27" t="s">
        <v>36</v>
      </c>
      <c r="B32" s="20">
        <v>22.652564293250926</v>
      </c>
    </row>
    <row r="33" spans="1:11">
      <c r="A33" s="27" t="s">
        <v>56</v>
      </c>
      <c r="B33" s="20">
        <v>-61.376467248031268</v>
      </c>
    </row>
    <row r="34" spans="1:11">
      <c r="A34" s="27" t="s">
        <v>46</v>
      </c>
      <c r="B34" s="20">
        <v>-37.520221891833671</v>
      </c>
    </row>
    <row r="47" spans="1:11" ht="18">
      <c r="A47" s="57" t="s">
        <v>1345</v>
      </c>
      <c r="B47" s="57"/>
      <c r="K47" s="45" t="s">
        <v>1366</v>
      </c>
    </row>
    <row r="48" spans="1:11" ht="31.2">
      <c r="A48" s="26" t="s">
        <v>1363</v>
      </c>
      <c r="B48" t="s">
        <v>1342</v>
      </c>
      <c r="K48" s="47" t="s">
        <v>1373</v>
      </c>
    </row>
    <row r="49" spans="1:2">
      <c r="A49" s="27" t="s">
        <v>51</v>
      </c>
      <c r="B49" s="20">
        <v>48.082203742925742</v>
      </c>
    </row>
    <row r="50" spans="1:2">
      <c r="A50" s="27" t="s">
        <v>39</v>
      </c>
      <c r="B50" s="20">
        <v>-39.92077080654326</v>
      </c>
    </row>
    <row r="51" spans="1:2">
      <c r="A51" s="27" t="s">
        <v>35</v>
      </c>
      <c r="B51" s="20">
        <v>-16.032920196685488</v>
      </c>
    </row>
  </sheetData>
  <mergeCells count="4">
    <mergeCell ref="A47:B47"/>
    <mergeCell ref="A13:B13"/>
    <mergeCell ref="A30:B30"/>
    <mergeCell ref="K2:K3"/>
  </mergeCells>
  <pageMargins left="0.7" right="0.7" top="0.75" bottom="0.75" header="0.3" footer="0.3"/>
  <drawing r:id="rId4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0CF4EF-66DD-4FA1-9C55-BB619055F580}">
  <dimension ref="A3:M15"/>
  <sheetViews>
    <sheetView zoomScale="117" zoomScaleNormal="117" workbookViewId="0">
      <selection activeCell="M12" sqref="M12"/>
    </sheetView>
  </sheetViews>
  <sheetFormatPr defaultRowHeight="14.4"/>
  <cols>
    <col min="1" max="1" width="21.33203125" bestFit="1" customWidth="1"/>
    <col min="2" max="2" width="17.77734375" bestFit="1" customWidth="1"/>
    <col min="13" max="13" width="47.109375" customWidth="1"/>
  </cols>
  <sheetData>
    <row r="3" spans="1:13">
      <c r="A3" s="26" t="s">
        <v>1359</v>
      </c>
      <c r="B3" s="20" t="s">
        <v>1358</v>
      </c>
      <c r="M3" s="46" t="s">
        <v>1375</v>
      </c>
    </row>
    <row r="4" spans="1:13" ht="57.6">
      <c r="A4" s="38" t="s">
        <v>1350</v>
      </c>
      <c r="B4" s="39">
        <v>24.905960321051509</v>
      </c>
      <c r="M4" s="42" t="s">
        <v>1388</v>
      </c>
    </row>
    <row r="5" spans="1:13">
      <c r="A5" s="38" t="s">
        <v>1349</v>
      </c>
      <c r="B5" s="39">
        <v>22.82120441776711</v>
      </c>
    </row>
    <row r="6" spans="1:13">
      <c r="A6" s="38" t="s">
        <v>1353</v>
      </c>
      <c r="B6" s="39">
        <v>22.707506552733452</v>
      </c>
      <c r="M6" s="46" t="s">
        <v>1376</v>
      </c>
    </row>
    <row r="7" spans="1:13" ht="25.8" customHeight="1">
      <c r="A7" s="38" t="s">
        <v>1346</v>
      </c>
      <c r="B7" s="39">
        <v>22.209904201680676</v>
      </c>
      <c r="M7" s="42" t="s">
        <v>1377</v>
      </c>
    </row>
    <row r="8" spans="1:13" ht="28.8">
      <c r="A8" s="38" t="s">
        <v>1354</v>
      </c>
      <c r="B8" s="39">
        <v>22.660271170006467</v>
      </c>
      <c r="M8" s="42" t="s">
        <v>1378</v>
      </c>
    </row>
    <row r="9" spans="1:13">
      <c r="A9" s="38" t="s">
        <v>1352</v>
      </c>
      <c r="B9" s="39">
        <v>-376.15252187499999</v>
      </c>
    </row>
    <row r="10" spans="1:13">
      <c r="A10" s="38" t="s">
        <v>1351</v>
      </c>
      <c r="B10" s="39">
        <v>23.823666154737758</v>
      </c>
    </row>
    <row r="11" spans="1:13">
      <c r="A11" s="38" t="s">
        <v>1347</v>
      </c>
      <c r="B11" s="39">
        <v>24.66087052598817</v>
      </c>
    </row>
    <row r="12" spans="1:13">
      <c r="A12" s="38" t="s">
        <v>1357</v>
      </c>
      <c r="B12" s="39">
        <v>23.073237704918036</v>
      </c>
    </row>
    <row r="13" spans="1:13">
      <c r="A13" s="38" t="s">
        <v>1356</v>
      </c>
      <c r="B13" s="39">
        <v>23.39449297969189</v>
      </c>
    </row>
    <row r="14" spans="1:13">
      <c r="A14" s="38" t="s">
        <v>1355</v>
      </c>
      <c r="B14" s="39">
        <v>23.674891377420533</v>
      </c>
    </row>
    <row r="15" spans="1:13">
      <c r="A15" s="38" t="s">
        <v>1348</v>
      </c>
      <c r="B15" s="39">
        <v>22.058275894802367</v>
      </c>
    </row>
  </sheetData>
  <pageMargins left="0.7" right="0.7" top="0.75" bottom="0.75" header="0.3" footer="0.3"/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F0E479-4E4E-4CFC-A620-8FA435921A56}">
  <dimension ref="A1:M38"/>
  <sheetViews>
    <sheetView topLeftCell="A24" workbookViewId="0">
      <selection activeCell="M6" sqref="M6"/>
    </sheetView>
  </sheetViews>
  <sheetFormatPr defaultRowHeight="14.4"/>
  <cols>
    <col min="1" max="1" width="18.21875" bestFit="1" customWidth="1"/>
    <col min="2" max="2" width="17.77734375" bestFit="1" customWidth="1"/>
    <col min="13" max="13" width="81" customWidth="1"/>
  </cols>
  <sheetData>
    <row r="1" spans="1:13" ht="15.6">
      <c r="A1" s="59" t="s">
        <v>1344</v>
      </c>
      <c r="B1" s="59"/>
      <c r="M1" s="46" t="s">
        <v>1375</v>
      </c>
    </row>
    <row r="2" spans="1:13" ht="27.6" customHeight="1">
      <c r="A2" s="40" t="s">
        <v>1361</v>
      </c>
      <c r="B2" s="41" t="s">
        <v>1358</v>
      </c>
      <c r="M2" s="48" t="s">
        <v>1372</v>
      </c>
    </row>
    <row r="3" spans="1:13">
      <c r="A3" s="38" t="s">
        <v>36</v>
      </c>
      <c r="B3" s="39">
        <v>22.652564293250926</v>
      </c>
    </row>
    <row r="4" spans="1:13">
      <c r="A4" s="38" t="s">
        <v>56</v>
      </c>
      <c r="B4" s="39">
        <v>-61.376467248031268</v>
      </c>
    </row>
    <row r="5" spans="1:13">
      <c r="A5" s="38" t="s">
        <v>46</v>
      </c>
      <c r="B5" s="39">
        <v>-37.520221891833671</v>
      </c>
      <c r="M5" s="46" t="s">
        <v>1384</v>
      </c>
    </row>
    <row r="6" spans="1:13" ht="28.2" customHeight="1">
      <c r="M6" s="42" t="s">
        <v>1387</v>
      </c>
    </row>
    <row r="17" spans="1:13" ht="15.6">
      <c r="A17" s="60" t="s">
        <v>1345</v>
      </c>
      <c r="B17" s="60"/>
      <c r="M17" s="46" t="s">
        <v>1375</v>
      </c>
    </row>
    <row r="18" spans="1:13" ht="28.2" customHeight="1">
      <c r="A18" s="26" t="s">
        <v>1363</v>
      </c>
      <c r="B18" t="s">
        <v>1358</v>
      </c>
      <c r="M18" s="48" t="s">
        <v>1373</v>
      </c>
    </row>
    <row r="19" spans="1:13">
      <c r="A19" s="27" t="s">
        <v>51</v>
      </c>
      <c r="B19" s="20">
        <v>48.082203742925742</v>
      </c>
    </row>
    <row r="20" spans="1:13">
      <c r="A20" s="27" t="s">
        <v>39</v>
      </c>
      <c r="B20" s="20">
        <v>-39.92077080654326</v>
      </c>
    </row>
    <row r="21" spans="1:13">
      <c r="A21" s="27" t="s">
        <v>35</v>
      </c>
      <c r="B21" s="20">
        <v>-16.032920196685488</v>
      </c>
      <c r="M21" s="46" t="s">
        <v>1383</v>
      </c>
    </row>
    <row r="22" spans="1:13" ht="28.8">
      <c r="M22" s="42" t="s">
        <v>1386</v>
      </c>
    </row>
    <row r="33" spans="1:13" ht="15.6">
      <c r="A33" s="60" t="s">
        <v>1343</v>
      </c>
      <c r="B33" s="60"/>
      <c r="M33" s="46" t="s">
        <v>1375</v>
      </c>
    </row>
    <row r="34" spans="1:13" ht="27.6" customHeight="1">
      <c r="A34" s="26" t="s">
        <v>1362</v>
      </c>
      <c r="B34" t="s">
        <v>1358</v>
      </c>
      <c r="M34" s="48" t="s">
        <v>1371</v>
      </c>
    </row>
    <row r="35" spans="1:13">
      <c r="A35" s="38">
        <v>12</v>
      </c>
      <c r="B35" s="39">
        <v>-36.006747588559236</v>
      </c>
    </row>
    <row r="36" spans="1:13">
      <c r="A36" s="38">
        <v>24</v>
      </c>
      <c r="B36" s="39">
        <v>24.809798885793874</v>
      </c>
    </row>
    <row r="37" spans="1:13">
      <c r="M37" s="46" t="s">
        <v>1383</v>
      </c>
    </row>
    <row r="38" spans="1:13" ht="28.8">
      <c r="M38" s="42" t="s">
        <v>1385</v>
      </c>
    </row>
  </sheetData>
  <mergeCells count="3">
    <mergeCell ref="A1:B1"/>
    <mergeCell ref="A17:B17"/>
    <mergeCell ref="A33:B33"/>
  </mergeCells>
  <pageMargins left="0.7" right="0.7" top="0.75" bottom="0.75" header="0.3" footer="0.3"/>
  <drawing r:id="rId4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49FFCE-4F22-49DE-9DA8-D106EA1D963F}">
  <dimension ref="A1:M801"/>
  <sheetViews>
    <sheetView topLeftCell="G7" workbookViewId="0">
      <selection activeCell="J14" sqref="J14"/>
    </sheetView>
  </sheetViews>
  <sheetFormatPr defaultRowHeight="14.4"/>
  <cols>
    <col min="1" max="1" width="13.6640625" customWidth="1"/>
    <col min="2" max="2" width="26.109375" customWidth="1"/>
    <col min="3" max="3" width="18.109375" customWidth="1"/>
    <col min="4" max="4" width="20.109375" customWidth="1"/>
    <col min="5" max="5" width="28.77734375" style="33" bestFit="1" customWidth="1"/>
    <col min="6" max="6" width="26.77734375" customWidth="1"/>
    <col min="7" max="7" width="25.88671875" customWidth="1"/>
    <col min="8" max="8" width="37.21875" customWidth="1"/>
    <col min="9" max="9" width="17.44140625" style="20" bestFit="1" customWidth="1"/>
    <col min="10" max="10" width="22.77734375" style="20" bestFit="1" customWidth="1"/>
    <col min="11" max="11" width="10.33203125" style="20" bestFit="1" customWidth="1"/>
    <col min="12" max="12" width="15.6640625" bestFit="1" customWidth="1"/>
    <col min="13" max="13" width="22.44140625" style="33" bestFit="1" customWidth="1"/>
  </cols>
  <sheetData>
    <row r="1" spans="1:13">
      <c r="A1" s="11" t="s">
        <v>27</v>
      </c>
      <c r="B1" s="12" t="s">
        <v>11</v>
      </c>
      <c r="C1" s="12" t="s">
        <v>28</v>
      </c>
      <c r="D1" s="12" t="s">
        <v>29</v>
      </c>
      <c r="E1" s="36" t="s">
        <v>30</v>
      </c>
      <c r="F1" s="12" t="s">
        <v>31</v>
      </c>
      <c r="G1" s="12" t="s">
        <v>32</v>
      </c>
      <c r="H1" s="13" t="s">
        <v>33</v>
      </c>
      <c r="I1" s="19" t="s">
        <v>1324</v>
      </c>
      <c r="J1" s="19" t="s">
        <v>1315</v>
      </c>
      <c r="K1" s="19" t="s">
        <v>1325</v>
      </c>
      <c r="L1" s="17" t="s">
        <v>1326</v>
      </c>
      <c r="M1" s="32" t="s">
        <v>1319</v>
      </c>
    </row>
    <row r="2" spans="1:13">
      <c r="A2" s="9" t="s">
        <v>34</v>
      </c>
      <c r="B2" s="8">
        <v>12</v>
      </c>
      <c r="C2" s="8" t="s">
        <v>35</v>
      </c>
      <c r="D2" s="8" t="s">
        <v>36</v>
      </c>
      <c r="E2" s="34" t="s">
        <v>37</v>
      </c>
      <c r="F2" s="8">
        <v>199</v>
      </c>
      <c r="G2" s="8">
        <v>76.88</v>
      </c>
      <c r="H2" s="10">
        <v>24.21</v>
      </c>
      <c r="I2" s="24">
        <f t="shared" ref="I2:I65" si="0">G2/1.19</f>
        <v>64.605042016806721</v>
      </c>
      <c r="J2" s="24">
        <f>F2*H2/100</f>
        <v>48.177900000000001</v>
      </c>
      <c r="K2" s="24">
        <f>I2-J2</f>
        <v>16.427142016806719</v>
      </c>
      <c r="L2" s="18">
        <f>IF(F2=0,"",K2/F2*100)</f>
        <v>8.2548452345762406</v>
      </c>
      <c r="M2" s="18" t="str">
        <f t="shared" ref="M2:M65" si="1">TEXT(DATE(RIGHT(E2,4),MID(E2,4,2),LEFT(E2,2)),"mmmm")</f>
        <v>April</v>
      </c>
    </row>
    <row r="3" spans="1:13">
      <c r="A3" s="9" t="s">
        <v>38</v>
      </c>
      <c r="B3" s="8">
        <v>24</v>
      </c>
      <c r="C3" s="8" t="s">
        <v>39</v>
      </c>
      <c r="D3" s="8" t="s">
        <v>36</v>
      </c>
      <c r="E3" s="34" t="s">
        <v>40</v>
      </c>
      <c r="F3" s="8">
        <v>110</v>
      </c>
      <c r="G3" s="8">
        <v>49.75</v>
      </c>
      <c r="H3" s="10">
        <v>30.01</v>
      </c>
      <c r="I3" s="21">
        <f t="shared" si="0"/>
        <v>41.806722689075634</v>
      </c>
      <c r="J3" s="21">
        <f t="shared" ref="J3:J65" si="2">F3*H3/100</f>
        <v>33.011000000000003</v>
      </c>
      <c r="K3" s="21">
        <f t="shared" ref="K3:K65" si="3">I3-J3</f>
        <v>8.7957226890756317</v>
      </c>
      <c r="L3" s="8">
        <f t="shared" ref="L3:L65" si="4">IF(F3=0,"",K3/F3*100)</f>
        <v>7.9961115355233012</v>
      </c>
      <c r="M3" s="30" t="str">
        <f t="shared" si="1"/>
        <v>January</v>
      </c>
    </row>
    <row r="4" spans="1:13">
      <c r="A4" s="9" t="s">
        <v>41</v>
      </c>
      <c r="B4" s="8">
        <v>24</v>
      </c>
      <c r="C4" s="8" t="s">
        <v>35</v>
      </c>
      <c r="D4" s="8" t="s">
        <v>36</v>
      </c>
      <c r="E4" s="34">
        <v>45514</v>
      </c>
      <c r="F4" s="8">
        <v>205</v>
      </c>
      <c r="G4" s="8">
        <v>85.14</v>
      </c>
      <c r="H4" s="10">
        <v>22.78</v>
      </c>
      <c r="I4" s="21">
        <f t="shared" si="0"/>
        <v>71.546218487394967</v>
      </c>
      <c r="J4" s="21">
        <f t="shared" si="2"/>
        <v>46.699000000000005</v>
      </c>
      <c r="K4" s="21">
        <f t="shared" si="3"/>
        <v>24.847218487394962</v>
      </c>
      <c r="L4" s="8">
        <f t="shared" si="4"/>
        <v>12.120594384095103</v>
      </c>
      <c r="M4" s="30" t="str">
        <f t="shared" si="1"/>
        <v>March</v>
      </c>
    </row>
    <row r="5" spans="1:13">
      <c r="A5" s="9" t="s">
        <v>43</v>
      </c>
      <c r="B5" s="8">
        <v>24</v>
      </c>
      <c r="C5" s="8" t="s">
        <v>35</v>
      </c>
      <c r="D5" s="8" t="s">
        <v>36</v>
      </c>
      <c r="E5" s="34">
        <v>45482</v>
      </c>
      <c r="F5" s="8">
        <v>226</v>
      </c>
      <c r="G5" s="8">
        <v>84.24</v>
      </c>
      <c r="H5" s="10">
        <v>25.44</v>
      </c>
      <c r="I5" s="21">
        <f t="shared" si="0"/>
        <v>70.789915966386559</v>
      </c>
      <c r="J5" s="21">
        <f t="shared" si="2"/>
        <v>57.494400000000006</v>
      </c>
      <c r="K5" s="21">
        <f t="shared" si="3"/>
        <v>13.295515966386553</v>
      </c>
      <c r="L5" s="8">
        <f t="shared" si="4"/>
        <v>5.8829716665427227</v>
      </c>
      <c r="M5" s="30" t="str">
        <f t="shared" si="1"/>
        <v>November</v>
      </c>
    </row>
    <row r="6" spans="1:13">
      <c r="A6" s="9" t="s">
        <v>45</v>
      </c>
      <c r="B6" s="8">
        <v>12</v>
      </c>
      <c r="C6" s="8" t="s">
        <v>35</v>
      </c>
      <c r="D6" s="8" t="s">
        <v>46</v>
      </c>
      <c r="E6" s="34" t="s">
        <v>47</v>
      </c>
      <c r="F6" s="8">
        <v>178</v>
      </c>
      <c r="G6" s="8">
        <v>70.680000000000007</v>
      </c>
      <c r="H6" s="10">
        <v>24.71</v>
      </c>
      <c r="I6" s="21">
        <f t="shared" si="0"/>
        <v>59.394957983193287</v>
      </c>
      <c r="J6" s="21">
        <f t="shared" si="2"/>
        <v>43.983800000000002</v>
      </c>
      <c r="K6" s="21">
        <f t="shared" si="3"/>
        <v>15.411157983193284</v>
      </c>
      <c r="L6" s="8">
        <f t="shared" si="4"/>
        <v>8.6579539231422942</v>
      </c>
      <c r="M6" s="30" t="str">
        <f t="shared" si="1"/>
        <v>August</v>
      </c>
    </row>
    <row r="7" spans="1:13">
      <c r="A7" s="9" t="s">
        <v>48</v>
      </c>
      <c r="B7" s="8">
        <v>12</v>
      </c>
      <c r="C7" s="8" t="s">
        <v>35</v>
      </c>
      <c r="D7" s="8" t="s">
        <v>46</v>
      </c>
      <c r="E7" s="34" t="s">
        <v>49</v>
      </c>
      <c r="F7" s="8">
        <v>253</v>
      </c>
      <c r="G7" s="8">
        <v>94.37</v>
      </c>
      <c r="H7" s="10">
        <v>25.35</v>
      </c>
      <c r="I7" s="21">
        <f t="shared" si="0"/>
        <v>79.302521008403374</v>
      </c>
      <c r="J7" s="21">
        <f t="shared" si="2"/>
        <v>64.135500000000008</v>
      </c>
      <c r="K7" s="21">
        <f t="shared" si="3"/>
        <v>15.167021008403367</v>
      </c>
      <c r="L7" s="8">
        <f t="shared" si="4"/>
        <v>5.9948699637957974</v>
      </c>
      <c r="M7" s="30" t="str">
        <f t="shared" si="1"/>
        <v>May</v>
      </c>
    </row>
    <row r="8" spans="1:13">
      <c r="A8" s="9" t="s">
        <v>50</v>
      </c>
      <c r="B8" s="8">
        <v>12</v>
      </c>
      <c r="C8" s="8" t="s">
        <v>51</v>
      </c>
      <c r="D8" s="8" t="s">
        <v>36</v>
      </c>
      <c r="E8" s="34" t="s">
        <v>52</v>
      </c>
      <c r="F8" s="8">
        <v>356</v>
      </c>
      <c r="G8" s="8">
        <v>118.13</v>
      </c>
      <c r="H8" s="10">
        <v>20.79</v>
      </c>
      <c r="I8" s="21">
        <f t="shared" si="0"/>
        <v>99.268907563025209</v>
      </c>
      <c r="J8" s="21">
        <f t="shared" si="2"/>
        <v>74.0124</v>
      </c>
      <c r="K8" s="21">
        <f t="shared" si="3"/>
        <v>25.25650756302521</v>
      </c>
      <c r="L8" s="8">
        <f t="shared" si="4"/>
        <v>7.094524596355396</v>
      </c>
      <c r="M8" s="30" t="str">
        <f t="shared" si="1"/>
        <v>April</v>
      </c>
    </row>
    <row r="9" spans="1:13">
      <c r="A9" s="9" t="s">
        <v>53</v>
      </c>
      <c r="B9" s="8">
        <v>24</v>
      </c>
      <c r="C9" s="8" t="s">
        <v>51</v>
      </c>
      <c r="D9" s="8" t="s">
        <v>36</v>
      </c>
      <c r="E9" s="34" t="s">
        <v>54</v>
      </c>
      <c r="F9" s="8">
        <v>600</v>
      </c>
      <c r="G9" s="8">
        <v>201.44</v>
      </c>
      <c r="H9" s="10">
        <v>20.239999999999998</v>
      </c>
      <c r="I9" s="21">
        <f t="shared" si="0"/>
        <v>169.27731092436974</v>
      </c>
      <c r="J9" s="21">
        <f t="shared" si="2"/>
        <v>121.43999999999998</v>
      </c>
      <c r="K9" s="21">
        <f t="shared" si="3"/>
        <v>47.83731092436976</v>
      </c>
      <c r="L9" s="8">
        <f t="shared" si="4"/>
        <v>7.9728851540616263</v>
      </c>
      <c r="M9" s="30" t="str">
        <f t="shared" si="1"/>
        <v>March</v>
      </c>
    </row>
    <row r="10" spans="1:13">
      <c r="A10" s="9" t="s">
        <v>55</v>
      </c>
      <c r="B10" s="8">
        <v>24</v>
      </c>
      <c r="C10" s="8" t="s">
        <v>35</v>
      </c>
      <c r="D10" s="8" t="s">
        <v>56</v>
      </c>
      <c r="E10" s="34">
        <v>45872</v>
      </c>
      <c r="F10" s="8">
        <v>206</v>
      </c>
      <c r="G10" s="8">
        <v>81.819999999999993</v>
      </c>
      <c r="H10" s="10">
        <v>23.76</v>
      </c>
      <c r="I10" s="21">
        <f t="shared" si="0"/>
        <v>68.756302521008408</v>
      </c>
      <c r="J10" s="21">
        <f t="shared" si="2"/>
        <v>48.945600000000006</v>
      </c>
      <c r="K10" s="21">
        <f t="shared" si="3"/>
        <v>19.810702521008402</v>
      </c>
      <c r="L10" s="8">
        <f t="shared" si="4"/>
        <v>9.6168458839846611</v>
      </c>
      <c r="M10" s="30" t="str">
        <f t="shared" si="1"/>
        <v>January</v>
      </c>
    </row>
    <row r="11" spans="1:13">
      <c r="A11" s="9" t="s">
        <v>58</v>
      </c>
      <c r="B11" s="8">
        <v>24</v>
      </c>
      <c r="C11" s="8" t="s">
        <v>39</v>
      </c>
      <c r="D11" s="8" t="s">
        <v>36</v>
      </c>
      <c r="E11" s="34">
        <v>45324</v>
      </c>
      <c r="F11" s="8">
        <v>128</v>
      </c>
      <c r="G11" s="8">
        <v>56.66</v>
      </c>
      <c r="H11" s="10">
        <v>30.44</v>
      </c>
      <c r="I11" s="21">
        <f t="shared" si="0"/>
        <v>47.613445378151262</v>
      </c>
      <c r="J11" s="21">
        <f t="shared" si="2"/>
        <v>38.963200000000001</v>
      </c>
      <c r="K11" s="21">
        <f t="shared" si="3"/>
        <v>8.6502453781512614</v>
      </c>
      <c r="L11" s="8">
        <f t="shared" si="4"/>
        <v>6.7580042016806727</v>
      </c>
      <c r="M11" s="30" t="str">
        <f t="shared" si="1"/>
        <v>January</v>
      </c>
    </row>
    <row r="12" spans="1:13">
      <c r="A12" s="9" t="s">
        <v>60</v>
      </c>
      <c r="B12" s="8">
        <v>12</v>
      </c>
      <c r="C12" s="8" t="s">
        <v>51</v>
      </c>
      <c r="D12" s="8" t="s">
        <v>46</v>
      </c>
      <c r="E12" s="34" t="s">
        <v>61</v>
      </c>
      <c r="F12" s="8">
        <v>627</v>
      </c>
      <c r="G12" s="8">
        <v>193.85</v>
      </c>
      <c r="H12" s="10">
        <v>17.3</v>
      </c>
      <c r="I12" s="21">
        <f t="shared" si="0"/>
        <v>162.89915966386556</v>
      </c>
      <c r="J12" s="21">
        <f t="shared" si="2"/>
        <v>108.471</v>
      </c>
      <c r="K12" s="21">
        <f t="shared" si="3"/>
        <v>54.428159663865557</v>
      </c>
      <c r="L12" s="8">
        <f t="shared" si="4"/>
        <v>8.6807272191173137</v>
      </c>
      <c r="M12" s="30" t="str">
        <f t="shared" si="1"/>
        <v>January</v>
      </c>
    </row>
    <row r="13" spans="1:13">
      <c r="A13" s="9" t="s">
        <v>62</v>
      </c>
      <c r="B13" s="8">
        <v>24</v>
      </c>
      <c r="C13" s="8" t="s">
        <v>51</v>
      </c>
      <c r="D13" s="8" t="s">
        <v>36</v>
      </c>
      <c r="E13" s="34">
        <v>45416</v>
      </c>
      <c r="F13" s="8">
        <v>550</v>
      </c>
      <c r="G13" s="8">
        <v>185.06</v>
      </c>
      <c r="H13" s="10">
        <v>19.87</v>
      </c>
      <c r="I13" s="21">
        <f t="shared" si="0"/>
        <v>155.51260504201682</v>
      </c>
      <c r="J13" s="21">
        <f t="shared" si="2"/>
        <v>109.285</v>
      </c>
      <c r="K13" s="21">
        <f t="shared" si="3"/>
        <v>46.227605042016819</v>
      </c>
      <c r="L13" s="8">
        <f t="shared" si="4"/>
        <v>8.4050190985485127</v>
      </c>
      <c r="M13" s="30" t="str">
        <f t="shared" si="1"/>
        <v>May</v>
      </c>
    </row>
    <row r="14" spans="1:13">
      <c r="A14" s="9" t="s">
        <v>64</v>
      </c>
      <c r="B14" s="8">
        <v>24</v>
      </c>
      <c r="C14" s="8" t="s">
        <v>39</v>
      </c>
      <c r="D14" s="8" t="s">
        <v>36</v>
      </c>
      <c r="E14" s="34">
        <v>45604</v>
      </c>
      <c r="F14" s="8">
        <v>128</v>
      </c>
      <c r="G14" s="8">
        <v>55.34</v>
      </c>
      <c r="H14" s="10">
        <v>28.72</v>
      </c>
      <c r="I14" s="21">
        <f t="shared" si="0"/>
        <v>46.504201680672274</v>
      </c>
      <c r="J14" s="21">
        <f t="shared" si="2"/>
        <v>36.761600000000001</v>
      </c>
      <c r="K14" s="21">
        <f t="shared" si="3"/>
        <v>9.7426016806722728</v>
      </c>
      <c r="L14" s="8">
        <f t="shared" si="4"/>
        <v>7.6114075630252129</v>
      </c>
      <c r="M14" s="30" t="str">
        <f t="shared" si="1"/>
        <v>May</v>
      </c>
    </row>
    <row r="15" spans="1:13">
      <c r="A15" s="9" t="s">
        <v>66</v>
      </c>
      <c r="B15" s="8">
        <v>12</v>
      </c>
      <c r="C15" s="8" t="s">
        <v>51</v>
      </c>
      <c r="D15" s="8" t="s">
        <v>36</v>
      </c>
      <c r="E15" s="34" t="s">
        <v>67</v>
      </c>
      <c r="F15" s="8">
        <v>441</v>
      </c>
      <c r="G15" s="8">
        <v>143.66999999999999</v>
      </c>
      <c r="H15" s="10">
        <v>19.97</v>
      </c>
      <c r="I15" s="21">
        <f t="shared" si="0"/>
        <v>120.73109243697479</v>
      </c>
      <c r="J15" s="21">
        <f t="shared" si="2"/>
        <v>88.067699999999988</v>
      </c>
      <c r="K15" s="21">
        <f t="shared" si="3"/>
        <v>32.663392436974803</v>
      </c>
      <c r="L15" s="8">
        <f t="shared" si="4"/>
        <v>7.4066649516949665</v>
      </c>
      <c r="M15" s="30" t="str">
        <f t="shared" si="1"/>
        <v>August</v>
      </c>
    </row>
    <row r="16" spans="1:13">
      <c r="A16" s="9" t="s">
        <v>68</v>
      </c>
      <c r="B16" s="8">
        <v>12</v>
      </c>
      <c r="C16" s="8" t="s">
        <v>51</v>
      </c>
      <c r="D16" s="8" t="s">
        <v>36</v>
      </c>
      <c r="E16" s="34">
        <v>45663</v>
      </c>
      <c r="F16" s="8">
        <v>444</v>
      </c>
      <c r="G16" s="8">
        <v>152.84</v>
      </c>
      <c r="H16" s="10">
        <v>17.649999999999999</v>
      </c>
      <c r="I16" s="21">
        <f t="shared" si="0"/>
        <v>128.43697478991598</v>
      </c>
      <c r="J16" s="21">
        <f t="shared" si="2"/>
        <v>78.366</v>
      </c>
      <c r="K16" s="21">
        <f t="shared" si="3"/>
        <v>50.070974789915979</v>
      </c>
      <c r="L16" s="8">
        <f t="shared" si="4"/>
        <v>11.277246574305401</v>
      </c>
      <c r="M16" s="30" t="str">
        <f t="shared" si="1"/>
        <v>April</v>
      </c>
    </row>
    <row r="17" spans="1:13">
      <c r="A17" s="9" t="s">
        <v>70</v>
      </c>
      <c r="B17" s="8">
        <v>12</v>
      </c>
      <c r="C17" s="8" t="s">
        <v>35</v>
      </c>
      <c r="D17" s="8" t="s">
        <v>56</v>
      </c>
      <c r="E17" s="34" t="s">
        <v>71</v>
      </c>
      <c r="F17" s="8">
        <v>278</v>
      </c>
      <c r="G17" s="8">
        <v>104.25</v>
      </c>
      <c r="H17" s="10">
        <v>22.47</v>
      </c>
      <c r="I17" s="21">
        <f t="shared" si="0"/>
        <v>87.605042016806721</v>
      </c>
      <c r="J17" s="21">
        <f t="shared" si="2"/>
        <v>62.4666</v>
      </c>
      <c r="K17" s="21">
        <f t="shared" si="3"/>
        <v>25.138442016806721</v>
      </c>
      <c r="L17" s="8">
        <f t="shared" si="4"/>
        <v>9.042605042016806</v>
      </c>
      <c r="M17" s="30" t="str">
        <f t="shared" si="1"/>
        <v>January</v>
      </c>
    </row>
    <row r="18" spans="1:13">
      <c r="A18" s="9" t="s">
        <v>72</v>
      </c>
      <c r="B18" s="8">
        <v>12</v>
      </c>
      <c r="C18" s="8" t="s">
        <v>35</v>
      </c>
      <c r="D18" s="8" t="s">
        <v>36</v>
      </c>
      <c r="E18" s="37">
        <v>45495</v>
      </c>
      <c r="F18" s="8">
        <v>332</v>
      </c>
      <c r="G18" s="8">
        <v>129.06</v>
      </c>
      <c r="H18" s="10">
        <v>22.66</v>
      </c>
      <c r="I18" s="21">
        <f t="shared" si="0"/>
        <v>108.45378151260505</v>
      </c>
      <c r="J18" s="21">
        <f t="shared" si="2"/>
        <v>75.231200000000001</v>
      </c>
      <c r="K18" s="21">
        <f t="shared" si="3"/>
        <v>33.222581512605046</v>
      </c>
      <c r="L18" s="8">
        <f t="shared" si="4"/>
        <v>10.006801660423207</v>
      </c>
      <c r="M18" s="30" t="str">
        <f t="shared" si="1"/>
        <v>December</v>
      </c>
    </row>
    <row r="19" spans="1:13">
      <c r="A19" s="9" t="s">
        <v>74</v>
      </c>
      <c r="B19" s="8">
        <v>12</v>
      </c>
      <c r="C19" s="8" t="s">
        <v>35</v>
      </c>
      <c r="D19" s="8" t="s">
        <v>36</v>
      </c>
      <c r="E19" s="34">
        <v>45780</v>
      </c>
      <c r="F19" s="8">
        <v>277</v>
      </c>
      <c r="G19" s="8">
        <v>109.61</v>
      </c>
      <c r="H19" s="10">
        <v>22.01</v>
      </c>
      <c r="I19" s="21">
        <f t="shared" si="0"/>
        <v>92.109243697479002</v>
      </c>
      <c r="J19" s="21">
        <f t="shared" si="2"/>
        <v>60.967700000000008</v>
      </c>
      <c r="K19" s="21">
        <f t="shared" si="3"/>
        <v>31.141543697478994</v>
      </c>
      <c r="L19" s="8">
        <f t="shared" si="4"/>
        <v>11.242434547826353</v>
      </c>
      <c r="M19" s="30" t="str">
        <f t="shared" si="1"/>
        <v>September</v>
      </c>
    </row>
    <row r="20" spans="1:13">
      <c r="A20" s="9" t="s">
        <v>76</v>
      </c>
      <c r="B20" s="8">
        <v>12</v>
      </c>
      <c r="C20" s="8" t="s">
        <v>39</v>
      </c>
      <c r="D20" s="8" t="s">
        <v>36</v>
      </c>
      <c r="E20" s="34" t="s">
        <v>77</v>
      </c>
      <c r="F20" s="8">
        <v>130</v>
      </c>
      <c r="G20" s="8">
        <v>58.4</v>
      </c>
      <c r="H20" s="10">
        <v>30.87</v>
      </c>
      <c r="I20" s="21">
        <f t="shared" si="0"/>
        <v>49.075630252100844</v>
      </c>
      <c r="J20" s="21">
        <f t="shared" si="2"/>
        <v>40.131</v>
      </c>
      <c r="K20" s="21">
        <f t="shared" si="3"/>
        <v>8.9446302521008434</v>
      </c>
      <c r="L20" s="8">
        <f t="shared" si="4"/>
        <v>6.8804848093083404</v>
      </c>
      <c r="M20" s="30" t="str">
        <f t="shared" si="1"/>
        <v>August</v>
      </c>
    </row>
    <row r="21" spans="1:13">
      <c r="A21" s="9" t="s">
        <v>78</v>
      </c>
      <c r="B21" s="8">
        <v>12</v>
      </c>
      <c r="C21" s="8" t="s">
        <v>39</v>
      </c>
      <c r="D21" s="8" t="s">
        <v>36</v>
      </c>
      <c r="E21" s="34">
        <v>45751</v>
      </c>
      <c r="F21" s="8">
        <v>144</v>
      </c>
      <c r="G21" s="8">
        <v>59.77</v>
      </c>
      <c r="H21" s="10">
        <v>30.93</v>
      </c>
      <c r="I21" s="21">
        <f t="shared" si="0"/>
        <v>50.226890756302524</v>
      </c>
      <c r="J21" s="21">
        <f t="shared" si="2"/>
        <v>44.539200000000001</v>
      </c>
      <c r="K21" s="21">
        <f t="shared" si="3"/>
        <v>5.6876907563025227</v>
      </c>
      <c r="L21" s="8">
        <f t="shared" si="4"/>
        <v>3.9497852474323074</v>
      </c>
      <c r="M21" s="30" t="str">
        <f t="shared" si="1"/>
        <v>April</v>
      </c>
    </row>
    <row r="22" spans="1:13">
      <c r="A22" s="9" t="s">
        <v>80</v>
      </c>
      <c r="B22" s="8">
        <v>24</v>
      </c>
      <c r="C22" s="8" t="s">
        <v>51</v>
      </c>
      <c r="D22" s="8" t="s">
        <v>36</v>
      </c>
      <c r="E22" s="34">
        <v>45606</v>
      </c>
      <c r="F22" s="8">
        <v>488</v>
      </c>
      <c r="G22" s="8">
        <v>163.32</v>
      </c>
      <c r="H22" s="10">
        <v>19.07</v>
      </c>
      <c r="I22" s="21">
        <f t="shared" si="0"/>
        <v>137.24369747899161</v>
      </c>
      <c r="J22" s="21">
        <f t="shared" si="2"/>
        <v>93.061599999999999</v>
      </c>
      <c r="K22" s="21">
        <f t="shared" si="3"/>
        <v>44.182097478991608</v>
      </c>
      <c r="L22" s="8">
        <f t="shared" si="4"/>
        <v>9.0537084997933626</v>
      </c>
      <c r="M22" s="30" t="str">
        <f t="shared" si="1"/>
        <v>July</v>
      </c>
    </row>
    <row r="23" spans="1:13">
      <c r="A23" s="9" t="s">
        <v>82</v>
      </c>
      <c r="B23" s="8">
        <v>12</v>
      </c>
      <c r="C23" s="8" t="s">
        <v>39</v>
      </c>
      <c r="D23" s="8" t="s">
        <v>36</v>
      </c>
      <c r="E23" s="34">
        <v>45474</v>
      </c>
      <c r="F23" s="8">
        <v>88</v>
      </c>
      <c r="G23" s="8">
        <v>41.01</v>
      </c>
      <c r="H23" s="10">
        <v>28.65</v>
      </c>
      <c r="I23" s="21">
        <f t="shared" si="0"/>
        <v>34.462184873949582</v>
      </c>
      <c r="J23" s="21">
        <f t="shared" si="2"/>
        <v>25.212</v>
      </c>
      <c r="K23" s="21">
        <f t="shared" si="3"/>
        <v>9.250184873949582</v>
      </c>
      <c r="L23" s="8">
        <f t="shared" si="4"/>
        <v>10.511573720397251</v>
      </c>
      <c r="M23" s="30" t="str">
        <f t="shared" si="1"/>
        <v>March</v>
      </c>
    </row>
    <row r="24" spans="1:13">
      <c r="A24" s="9" t="s">
        <v>84</v>
      </c>
      <c r="B24" s="8">
        <v>12</v>
      </c>
      <c r="C24" s="8" t="s">
        <v>39</v>
      </c>
      <c r="D24" s="8" t="s">
        <v>46</v>
      </c>
      <c r="E24" s="34">
        <v>45632</v>
      </c>
      <c r="F24" s="8">
        <v>130</v>
      </c>
      <c r="G24" s="8">
        <v>57.83</v>
      </c>
      <c r="H24" s="10">
        <v>30.33</v>
      </c>
      <c r="I24" s="21">
        <f t="shared" si="0"/>
        <v>48.596638655462186</v>
      </c>
      <c r="J24" s="21">
        <f t="shared" si="2"/>
        <v>39.428999999999995</v>
      </c>
      <c r="K24" s="21">
        <f t="shared" si="3"/>
        <v>9.1676386554621914</v>
      </c>
      <c r="L24" s="8">
        <f t="shared" si="4"/>
        <v>7.0520297349709162</v>
      </c>
      <c r="M24" s="30" t="str">
        <f t="shared" si="1"/>
        <v>September</v>
      </c>
    </row>
    <row r="25" spans="1:13">
      <c r="A25" s="9" t="s">
        <v>86</v>
      </c>
      <c r="B25" s="8">
        <v>12</v>
      </c>
      <c r="C25" s="8" t="s">
        <v>35</v>
      </c>
      <c r="D25" s="8" t="s">
        <v>36</v>
      </c>
      <c r="E25" s="34">
        <v>45872</v>
      </c>
      <c r="F25" s="8">
        <v>326</v>
      </c>
      <c r="G25" s="8">
        <v>123.81</v>
      </c>
      <c r="H25" s="10">
        <v>22.08</v>
      </c>
      <c r="I25" s="21">
        <f t="shared" si="0"/>
        <v>104.0420168067227</v>
      </c>
      <c r="J25" s="21">
        <f t="shared" si="2"/>
        <v>71.980799999999988</v>
      </c>
      <c r="K25" s="21">
        <f t="shared" si="3"/>
        <v>32.061216806722712</v>
      </c>
      <c r="L25" s="8">
        <f t="shared" si="4"/>
        <v>9.8347290818167821</v>
      </c>
      <c r="M25" s="30" t="str">
        <f t="shared" si="1"/>
        <v>January</v>
      </c>
    </row>
    <row r="26" spans="1:13">
      <c r="A26" s="9" t="s">
        <v>87</v>
      </c>
      <c r="B26" s="8">
        <v>12</v>
      </c>
      <c r="C26" s="8" t="s">
        <v>35</v>
      </c>
      <c r="D26" s="8" t="s">
        <v>36</v>
      </c>
      <c r="E26" s="34" t="s">
        <v>88</v>
      </c>
      <c r="F26" s="8">
        <v>196</v>
      </c>
      <c r="G26" s="8">
        <v>78.67</v>
      </c>
      <c r="H26" s="10">
        <v>22.66</v>
      </c>
      <c r="I26" s="21">
        <f t="shared" si="0"/>
        <v>66.109243697479002</v>
      </c>
      <c r="J26" s="21">
        <f t="shared" si="2"/>
        <v>44.413599999999995</v>
      </c>
      <c r="K26" s="21">
        <f t="shared" si="3"/>
        <v>21.695643697479007</v>
      </c>
      <c r="L26" s="8">
        <f t="shared" si="4"/>
        <v>11.069205968101533</v>
      </c>
      <c r="M26" s="30" t="str">
        <f t="shared" si="1"/>
        <v>December</v>
      </c>
    </row>
    <row r="27" spans="1:13">
      <c r="A27" s="9" t="s">
        <v>89</v>
      </c>
      <c r="B27" s="8">
        <v>24</v>
      </c>
      <c r="C27" s="8" t="s">
        <v>51</v>
      </c>
      <c r="D27" s="8" t="s">
        <v>56</v>
      </c>
      <c r="E27" s="34">
        <v>45606</v>
      </c>
      <c r="F27" s="8">
        <v>564</v>
      </c>
      <c r="G27" s="8">
        <v>194.49</v>
      </c>
      <c r="H27" s="10">
        <v>20.95</v>
      </c>
      <c r="I27" s="21">
        <f t="shared" si="0"/>
        <v>163.43697478991598</v>
      </c>
      <c r="J27" s="21">
        <f t="shared" si="2"/>
        <v>118.15799999999999</v>
      </c>
      <c r="K27" s="21">
        <f t="shared" si="3"/>
        <v>45.278974789915992</v>
      </c>
      <c r="L27" s="8">
        <f t="shared" si="4"/>
        <v>8.0281870194886515</v>
      </c>
      <c r="M27" s="30" t="str">
        <f t="shared" si="1"/>
        <v>July</v>
      </c>
    </row>
    <row r="28" spans="1:13">
      <c r="A28" s="9" t="s">
        <v>90</v>
      </c>
      <c r="B28" s="8">
        <v>12</v>
      </c>
      <c r="C28" s="8" t="s">
        <v>39</v>
      </c>
      <c r="D28" s="8" t="s">
        <v>36</v>
      </c>
      <c r="E28" s="34">
        <v>45510</v>
      </c>
      <c r="F28" s="8">
        <v>100</v>
      </c>
      <c r="G28" s="8">
        <v>47.51</v>
      </c>
      <c r="H28" s="10">
        <v>30.97</v>
      </c>
      <c r="I28" s="21">
        <f t="shared" si="0"/>
        <v>39.924369747899156</v>
      </c>
      <c r="J28" s="21">
        <f t="shared" si="2"/>
        <v>30.97</v>
      </c>
      <c r="K28" s="21">
        <f t="shared" si="3"/>
        <v>8.9543697478991575</v>
      </c>
      <c r="L28" s="8">
        <f t="shared" si="4"/>
        <v>8.9543697478991575</v>
      </c>
      <c r="M28" s="30" t="str">
        <f t="shared" si="1"/>
        <v>November</v>
      </c>
    </row>
    <row r="29" spans="1:13">
      <c r="A29" s="9" t="s">
        <v>92</v>
      </c>
      <c r="B29" s="8">
        <v>12</v>
      </c>
      <c r="C29" s="8" t="s">
        <v>39</v>
      </c>
      <c r="D29" s="8" t="s">
        <v>56</v>
      </c>
      <c r="E29" s="34">
        <v>45512</v>
      </c>
      <c r="F29" s="8">
        <v>128</v>
      </c>
      <c r="G29" s="8">
        <v>53.68</v>
      </c>
      <c r="H29" s="10">
        <v>29.42</v>
      </c>
      <c r="I29" s="21">
        <f t="shared" si="0"/>
        <v>45.109243697478995</v>
      </c>
      <c r="J29" s="21">
        <f t="shared" si="2"/>
        <v>37.657600000000002</v>
      </c>
      <c r="K29" s="21">
        <f t="shared" si="3"/>
        <v>7.4516436974789926</v>
      </c>
      <c r="L29" s="8">
        <f t="shared" si="4"/>
        <v>5.8215966386554632</v>
      </c>
      <c r="M29" s="30" t="str">
        <f t="shared" si="1"/>
        <v>January</v>
      </c>
    </row>
    <row r="30" spans="1:13">
      <c r="A30" s="9" t="s">
        <v>94</v>
      </c>
      <c r="B30" s="8">
        <v>24</v>
      </c>
      <c r="C30" s="8" t="s">
        <v>35</v>
      </c>
      <c r="D30" s="8" t="s">
        <v>36</v>
      </c>
      <c r="E30" s="34">
        <v>45577</v>
      </c>
      <c r="F30" s="8">
        <v>183</v>
      </c>
      <c r="G30" s="8">
        <v>74.61</v>
      </c>
      <c r="H30" s="10">
        <v>22.42</v>
      </c>
      <c r="I30" s="21">
        <f t="shared" si="0"/>
        <v>62.69747899159664</v>
      </c>
      <c r="J30" s="21">
        <f t="shared" si="2"/>
        <v>41.028600000000004</v>
      </c>
      <c r="K30" s="21">
        <f t="shared" si="3"/>
        <v>21.668878991596635</v>
      </c>
      <c r="L30" s="8">
        <f t="shared" si="4"/>
        <v>11.840917481746795</v>
      </c>
      <c r="M30" s="30" t="str">
        <f t="shared" si="1"/>
        <v>June</v>
      </c>
    </row>
    <row r="31" spans="1:13">
      <c r="A31" s="9" t="s">
        <v>96</v>
      </c>
      <c r="B31" s="8">
        <v>12</v>
      </c>
      <c r="C31" s="8" t="s">
        <v>35</v>
      </c>
      <c r="D31" s="8" t="s">
        <v>56</v>
      </c>
      <c r="E31" s="34" t="s">
        <v>52</v>
      </c>
      <c r="F31" s="8">
        <v>242</v>
      </c>
      <c r="G31" s="8">
        <v>91.27</v>
      </c>
      <c r="H31" s="10">
        <v>22.89</v>
      </c>
      <c r="I31" s="21">
        <f t="shared" si="0"/>
        <v>76.69747899159664</v>
      </c>
      <c r="J31" s="21">
        <f t="shared" si="2"/>
        <v>55.393799999999999</v>
      </c>
      <c r="K31" s="21">
        <f t="shared" si="3"/>
        <v>21.303678991596641</v>
      </c>
      <c r="L31" s="8">
        <f t="shared" si="4"/>
        <v>8.8031731370234052</v>
      </c>
      <c r="M31" s="30" t="str">
        <f t="shared" si="1"/>
        <v>April</v>
      </c>
    </row>
    <row r="32" spans="1:13">
      <c r="A32" s="9" t="s">
        <v>97</v>
      </c>
      <c r="B32" s="8">
        <v>24</v>
      </c>
      <c r="C32" s="8" t="s">
        <v>39</v>
      </c>
      <c r="D32" s="8" t="s">
        <v>46</v>
      </c>
      <c r="E32" s="34">
        <v>45386</v>
      </c>
      <c r="F32" s="8">
        <v>146</v>
      </c>
      <c r="G32" s="8">
        <v>65.63</v>
      </c>
      <c r="H32" s="10">
        <v>30.08</v>
      </c>
      <c r="I32" s="21">
        <f t="shared" si="0"/>
        <v>55.15126050420168</v>
      </c>
      <c r="J32" s="21">
        <f t="shared" si="2"/>
        <v>43.916799999999995</v>
      </c>
      <c r="K32" s="21">
        <f t="shared" si="3"/>
        <v>11.234460504201685</v>
      </c>
      <c r="L32" s="8">
        <f t="shared" si="4"/>
        <v>7.6948359617819762</v>
      </c>
      <c r="M32" s="30" t="str">
        <f t="shared" si="1"/>
        <v>March</v>
      </c>
    </row>
    <row r="33" spans="1:13">
      <c r="A33" s="9" t="s">
        <v>99</v>
      </c>
      <c r="B33" s="8">
        <v>12</v>
      </c>
      <c r="C33" s="8" t="s">
        <v>35</v>
      </c>
      <c r="D33" s="8" t="s">
        <v>56</v>
      </c>
      <c r="E33" s="34" t="s">
        <v>100</v>
      </c>
      <c r="F33" s="8">
        <v>225</v>
      </c>
      <c r="G33" s="8">
        <v>86.07</v>
      </c>
      <c r="H33" s="10">
        <v>24.43</v>
      </c>
      <c r="I33" s="21">
        <f t="shared" si="0"/>
        <v>72.327731092436977</v>
      </c>
      <c r="J33" s="21">
        <f t="shared" si="2"/>
        <v>54.967500000000001</v>
      </c>
      <c r="K33" s="21">
        <f t="shared" si="3"/>
        <v>17.360231092436976</v>
      </c>
      <c r="L33" s="8">
        <f t="shared" si="4"/>
        <v>7.7156582633053219</v>
      </c>
      <c r="M33" s="30" t="str">
        <f t="shared" si="1"/>
        <v>January</v>
      </c>
    </row>
    <row r="34" spans="1:13">
      <c r="A34" s="9" t="s">
        <v>101</v>
      </c>
      <c r="B34" s="8">
        <v>12</v>
      </c>
      <c r="C34" s="8" t="s">
        <v>39</v>
      </c>
      <c r="D34" s="8" t="s">
        <v>56</v>
      </c>
      <c r="E34" s="34">
        <v>45539</v>
      </c>
      <c r="F34" s="8">
        <v>139</v>
      </c>
      <c r="G34" s="8">
        <v>59.27</v>
      </c>
      <c r="H34" s="10">
        <v>28.98</v>
      </c>
      <c r="I34" s="21">
        <f t="shared" si="0"/>
        <v>49.806722689075634</v>
      </c>
      <c r="J34" s="21">
        <f t="shared" si="2"/>
        <v>40.282200000000003</v>
      </c>
      <c r="K34" s="21">
        <f t="shared" si="3"/>
        <v>9.5245226890756314</v>
      </c>
      <c r="L34" s="8">
        <f t="shared" si="4"/>
        <v>6.8521745964572887</v>
      </c>
      <c r="M34" s="30" t="str">
        <f t="shared" si="1"/>
        <v>April</v>
      </c>
    </row>
    <row r="35" spans="1:13">
      <c r="A35" s="9" t="s">
        <v>103</v>
      </c>
      <c r="B35" s="8">
        <v>24</v>
      </c>
      <c r="C35" s="8" t="s">
        <v>39</v>
      </c>
      <c r="D35" s="8" t="s">
        <v>36</v>
      </c>
      <c r="E35" s="34">
        <v>45689</v>
      </c>
      <c r="F35" s="8">
        <v>150</v>
      </c>
      <c r="G35" s="8">
        <v>65.48</v>
      </c>
      <c r="H35" s="10">
        <v>28.23</v>
      </c>
      <c r="I35" s="21">
        <f t="shared" si="0"/>
        <v>55.025210084033617</v>
      </c>
      <c r="J35" s="21">
        <f t="shared" si="2"/>
        <v>42.344999999999999</v>
      </c>
      <c r="K35" s="21">
        <f t="shared" si="3"/>
        <v>12.680210084033618</v>
      </c>
      <c r="L35" s="8">
        <f t="shared" si="4"/>
        <v>8.4534733893557448</v>
      </c>
      <c r="M35" s="30" t="str">
        <f t="shared" si="1"/>
        <v>June</v>
      </c>
    </row>
    <row r="36" spans="1:13">
      <c r="A36" s="9" t="s">
        <v>105</v>
      </c>
      <c r="B36" s="8">
        <v>24</v>
      </c>
      <c r="C36" s="8" t="s">
        <v>35</v>
      </c>
      <c r="D36" s="8" t="s">
        <v>56</v>
      </c>
      <c r="E36" s="34" t="s">
        <v>106</v>
      </c>
      <c r="F36" s="8">
        <v>321</v>
      </c>
      <c r="G36" s="8">
        <v>117.03</v>
      </c>
      <c r="H36" s="10">
        <v>23.56</v>
      </c>
      <c r="I36" s="21">
        <f t="shared" si="0"/>
        <v>98.34453781512606</v>
      </c>
      <c r="J36" s="21">
        <f t="shared" si="2"/>
        <v>75.627599999999987</v>
      </c>
      <c r="K36" s="21">
        <f t="shared" si="3"/>
        <v>22.716937815126073</v>
      </c>
      <c r="L36" s="8">
        <f t="shared" si="4"/>
        <v>7.0769276682635747</v>
      </c>
      <c r="M36" s="30" t="str">
        <f t="shared" si="1"/>
        <v>December</v>
      </c>
    </row>
    <row r="37" spans="1:13">
      <c r="A37" s="9" t="s">
        <v>107</v>
      </c>
      <c r="B37" s="8">
        <v>24</v>
      </c>
      <c r="C37" s="8" t="s">
        <v>35</v>
      </c>
      <c r="D37" s="8" t="s">
        <v>36</v>
      </c>
      <c r="E37" s="34" t="s">
        <v>108</v>
      </c>
      <c r="F37" s="8">
        <v>206</v>
      </c>
      <c r="G37" s="8">
        <v>83.4</v>
      </c>
      <c r="H37" s="10">
        <v>22.94</v>
      </c>
      <c r="I37" s="21">
        <f t="shared" si="0"/>
        <v>70.084033613445385</v>
      </c>
      <c r="J37" s="21">
        <f t="shared" si="2"/>
        <v>47.256400000000006</v>
      </c>
      <c r="K37" s="21">
        <f t="shared" si="3"/>
        <v>22.827633613445379</v>
      </c>
      <c r="L37" s="8">
        <f t="shared" si="4"/>
        <v>11.081375540507466</v>
      </c>
      <c r="M37" s="30" t="str">
        <f t="shared" si="1"/>
        <v>September</v>
      </c>
    </row>
    <row r="38" spans="1:13">
      <c r="A38" s="9" t="s">
        <v>109</v>
      </c>
      <c r="B38" s="8">
        <v>12</v>
      </c>
      <c r="C38" s="8" t="s">
        <v>51</v>
      </c>
      <c r="D38" s="8" t="s">
        <v>36</v>
      </c>
      <c r="E38" s="34" t="s">
        <v>110</v>
      </c>
      <c r="F38" s="8">
        <v>466</v>
      </c>
      <c r="G38" s="8">
        <v>163.56</v>
      </c>
      <c r="H38" s="10">
        <v>17.600000000000001</v>
      </c>
      <c r="I38" s="21">
        <f t="shared" si="0"/>
        <v>137.44537815126051</v>
      </c>
      <c r="J38" s="21">
        <f t="shared" si="2"/>
        <v>82.016000000000005</v>
      </c>
      <c r="K38" s="21">
        <f t="shared" si="3"/>
        <v>55.429378151260508</v>
      </c>
      <c r="L38" s="8">
        <f t="shared" si="4"/>
        <v>11.894716341472213</v>
      </c>
      <c r="M38" s="30" t="str">
        <f t="shared" si="1"/>
        <v>February</v>
      </c>
    </row>
    <row r="39" spans="1:13">
      <c r="A39" s="9" t="s">
        <v>111</v>
      </c>
      <c r="B39" s="8">
        <v>12</v>
      </c>
      <c r="C39" s="8" t="s">
        <v>35</v>
      </c>
      <c r="D39" s="8" t="s">
        <v>36</v>
      </c>
      <c r="E39" s="34" t="s">
        <v>112</v>
      </c>
      <c r="F39" s="8">
        <v>192</v>
      </c>
      <c r="G39" s="8">
        <v>77.569999999999993</v>
      </c>
      <c r="H39" s="10">
        <v>25.84</v>
      </c>
      <c r="I39" s="21">
        <f t="shared" si="0"/>
        <v>65.184873949579824</v>
      </c>
      <c r="J39" s="21">
        <f t="shared" si="2"/>
        <v>49.6128</v>
      </c>
      <c r="K39" s="21">
        <f t="shared" si="3"/>
        <v>15.572073949579824</v>
      </c>
      <c r="L39" s="8">
        <f t="shared" si="4"/>
        <v>8.1104551820728243</v>
      </c>
      <c r="M39" s="30" t="str">
        <f t="shared" si="1"/>
        <v>April</v>
      </c>
    </row>
    <row r="40" spans="1:13">
      <c r="A40" s="9" t="s">
        <v>113</v>
      </c>
      <c r="B40" s="8">
        <v>24</v>
      </c>
      <c r="C40" s="8" t="s">
        <v>35</v>
      </c>
      <c r="D40" s="8" t="s">
        <v>36</v>
      </c>
      <c r="E40" s="34">
        <v>45478</v>
      </c>
      <c r="F40" s="8">
        <v>332</v>
      </c>
      <c r="G40" s="8">
        <v>124.14</v>
      </c>
      <c r="H40" s="10">
        <v>24.47</v>
      </c>
      <c r="I40" s="21">
        <f t="shared" si="0"/>
        <v>104.31932773109244</v>
      </c>
      <c r="J40" s="21">
        <f t="shared" si="2"/>
        <v>81.240399999999994</v>
      </c>
      <c r="K40" s="21">
        <f t="shared" si="3"/>
        <v>23.078927731092449</v>
      </c>
      <c r="L40" s="8">
        <f t="shared" si="4"/>
        <v>6.9514842563531483</v>
      </c>
      <c r="M40" s="30" t="str">
        <f t="shared" si="1"/>
        <v>July</v>
      </c>
    </row>
    <row r="41" spans="1:13">
      <c r="A41" s="9" t="s">
        <v>115</v>
      </c>
      <c r="B41" s="8">
        <v>12</v>
      </c>
      <c r="C41" s="8" t="s">
        <v>35</v>
      </c>
      <c r="D41" s="8" t="s">
        <v>36</v>
      </c>
      <c r="E41" s="34" t="s">
        <v>116</v>
      </c>
      <c r="F41" s="8">
        <v>321</v>
      </c>
      <c r="G41" s="8">
        <v>118.63</v>
      </c>
      <c r="H41" s="10">
        <v>24.23</v>
      </c>
      <c r="I41" s="21">
        <f t="shared" si="0"/>
        <v>99.689075630252105</v>
      </c>
      <c r="J41" s="21">
        <f t="shared" si="2"/>
        <v>77.778300000000002</v>
      </c>
      <c r="K41" s="21">
        <f t="shared" si="3"/>
        <v>21.910775630252104</v>
      </c>
      <c r="L41" s="8">
        <f t="shared" si="4"/>
        <v>6.8257868007015903</v>
      </c>
      <c r="M41" s="30" t="str">
        <f t="shared" si="1"/>
        <v>January</v>
      </c>
    </row>
    <row r="42" spans="1:13">
      <c r="A42" s="9" t="s">
        <v>117</v>
      </c>
      <c r="B42" s="8">
        <v>12</v>
      </c>
      <c r="C42" s="8" t="s">
        <v>39</v>
      </c>
      <c r="D42" s="8" t="s">
        <v>46</v>
      </c>
      <c r="E42" s="34" t="s">
        <v>118</v>
      </c>
      <c r="F42" s="8">
        <v>128</v>
      </c>
      <c r="G42" s="8">
        <v>60.82</v>
      </c>
      <c r="H42" s="10">
        <v>29.66</v>
      </c>
      <c r="I42" s="21">
        <f t="shared" si="0"/>
        <v>51.109243697478995</v>
      </c>
      <c r="J42" s="21">
        <f t="shared" si="2"/>
        <v>37.964799999999997</v>
      </c>
      <c r="K42" s="21">
        <f t="shared" si="3"/>
        <v>13.144443697478998</v>
      </c>
      <c r="L42" s="8">
        <f t="shared" si="4"/>
        <v>10.269096638655467</v>
      </c>
      <c r="M42" s="30" t="str">
        <f t="shared" si="1"/>
        <v>March</v>
      </c>
    </row>
    <row r="43" spans="1:13">
      <c r="A43" s="9" t="s">
        <v>119</v>
      </c>
      <c r="B43" s="8">
        <v>12</v>
      </c>
      <c r="C43" s="8" t="s">
        <v>35</v>
      </c>
      <c r="D43" s="8" t="s">
        <v>36</v>
      </c>
      <c r="E43" s="34" t="s">
        <v>120</v>
      </c>
      <c r="F43" s="8">
        <v>307</v>
      </c>
      <c r="G43" s="8">
        <v>113.98</v>
      </c>
      <c r="H43" s="10">
        <v>23.72</v>
      </c>
      <c r="I43" s="21">
        <f t="shared" si="0"/>
        <v>95.781512605042025</v>
      </c>
      <c r="J43" s="21">
        <f t="shared" si="2"/>
        <v>72.820400000000006</v>
      </c>
      <c r="K43" s="21">
        <f t="shared" si="3"/>
        <v>22.961112605042018</v>
      </c>
      <c r="L43" s="8">
        <f t="shared" si="4"/>
        <v>7.4791897736293214</v>
      </c>
      <c r="M43" s="30" t="str">
        <f t="shared" si="1"/>
        <v>October</v>
      </c>
    </row>
    <row r="44" spans="1:13">
      <c r="A44" s="9" t="s">
        <v>121</v>
      </c>
      <c r="B44" s="8">
        <v>12</v>
      </c>
      <c r="C44" s="8" t="s">
        <v>39</v>
      </c>
      <c r="D44" s="8" t="s">
        <v>46</v>
      </c>
      <c r="E44" s="37">
        <v>45662</v>
      </c>
      <c r="F44" s="8">
        <v>127</v>
      </c>
      <c r="G44" s="8">
        <v>55.56</v>
      </c>
      <c r="H44" s="10">
        <v>30.16</v>
      </c>
      <c r="I44" s="21">
        <f t="shared" si="0"/>
        <v>46.689075630252105</v>
      </c>
      <c r="J44" s="21">
        <f t="shared" si="2"/>
        <v>38.303200000000004</v>
      </c>
      <c r="K44" s="21">
        <f t="shared" si="3"/>
        <v>8.3858756302521016</v>
      </c>
      <c r="L44" s="8">
        <f t="shared" si="4"/>
        <v>6.6030516773638599</v>
      </c>
      <c r="M44" s="30" t="str">
        <f t="shared" si="1"/>
        <v>March</v>
      </c>
    </row>
    <row r="45" spans="1:13">
      <c r="A45" s="9" t="s">
        <v>123</v>
      </c>
      <c r="B45" s="8">
        <v>24</v>
      </c>
      <c r="C45" s="8" t="s">
        <v>51</v>
      </c>
      <c r="D45" s="8" t="s">
        <v>56</v>
      </c>
      <c r="E45" s="34" t="s">
        <v>124</v>
      </c>
      <c r="F45" s="8">
        <v>541</v>
      </c>
      <c r="G45" s="8">
        <v>182.74</v>
      </c>
      <c r="H45" s="10">
        <v>19.98</v>
      </c>
      <c r="I45" s="21">
        <f t="shared" si="0"/>
        <v>153.56302521008405</v>
      </c>
      <c r="J45" s="21">
        <f t="shared" si="2"/>
        <v>108.09180000000001</v>
      </c>
      <c r="K45" s="21">
        <f t="shared" si="3"/>
        <v>45.471225210084043</v>
      </c>
      <c r="L45" s="8">
        <f t="shared" si="4"/>
        <v>8.4050323863371617</v>
      </c>
      <c r="M45" s="30" t="str">
        <f t="shared" si="1"/>
        <v>July</v>
      </c>
    </row>
    <row r="46" spans="1:13">
      <c r="A46" s="9" t="s">
        <v>125</v>
      </c>
      <c r="B46" s="8">
        <v>12</v>
      </c>
      <c r="C46" s="8" t="s">
        <v>39</v>
      </c>
      <c r="D46" s="8" t="s">
        <v>36</v>
      </c>
      <c r="E46" s="34">
        <v>45629</v>
      </c>
      <c r="F46" s="8">
        <v>90</v>
      </c>
      <c r="G46" s="8">
        <v>41.86</v>
      </c>
      <c r="H46" s="10">
        <v>30.81</v>
      </c>
      <c r="I46" s="21">
        <f t="shared" si="0"/>
        <v>35.176470588235297</v>
      </c>
      <c r="J46" s="21">
        <f t="shared" si="2"/>
        <v>27.728999999999999</v>
      </c>
      <c r="K46" s="21">
        <f t="shared" si="3"/>
        <v>7.4474705882352978</v>
      </c>
      <c r="L46" s="8">
        <f t="shared" si="4"/>
        <v>8.2749673202614424</v>
      </c>
      <c r="M46" s="30" t="str">
        <f t="shared" si="1"/>
        <v>June</v>
      </c>
    </row>
    <row r="47" spans="1:13">
      <c r="A47" s="9" t="s">
        <v>127</v>
      </c>
      <c r="B47" s="8">
        <v>24</v>
      </c>
      <c r="C47" s="8" t="s">
        <v>35</v>
      </c>
      <c r="D47" s="8" t="s">
        <v>36</v>
      </c>
      <c r="E47" s="34" t="s">
        <v>128</v>
      </c>
      <c r="F47" s="8">
        <v>292</v>
      </c>
      <c r="G47" s="8">
        <v>109.79</v>
      </c>
      <c r="H47" s="10">
        <v>22.69</v>
      </c>
      <c r="I47" s="21">
        <f t="shared" si="0"/>
        <v>92.260504201680675</v>
      </c>
      <c r="J47" s="21">
        <f t="shared" si="2"/>
        <v>66.254800000000003</v>
      </c>
      <c r="K47" s="21">
        <f t="shared" si="3"/>
        <v>26.005704201680672</v>
      </c>
      <c r="L47" s="8">
        <f t="shared" si="4"/>
        <v>8.9060630827673535</v>
      </c>
      <c r="M47" s="30" t="str">
        <f t="shared" si="1"/>
        <v>February</v>
      </c>
    </row>
    <row r="48" spans="1:13">
      <c r="A48" s="9" t="s">
        <v>129</v>
      </c>
      <c r="B48" s="8">
        <v>12</v>
      </c>
      <c r="C48" s="8" t="s">
        <v>39</v>
      </c>
      <c r="D48" s="8" t="s">
        <v>36</v>
      </c>
      <c r="E48" s="34" t="s">
        <v>130</v>
      </c>
      <c r="F48" s="8">
        <v>94</v>
      </c>
      <c r="G48" s="8">
        <v>46.35</v>
      </c>
      <c r="H48" s="10">
        <v>30</v>
      </c>
      <c r="I48" s="21">
        <f t="shared" si="0"/>
        <v>38.949579831932773</v>
      </c>
      <c r="J48" s="21">
        <f t="shared" si="2"/>
        <v>28.2</v>
      </c>
      <c r="K48" s="21">
        <f t="shared" si="3"/>
        <v>10.749579831932774</v>
      </c>
      <c r="L48" s="8">
        <f t="shared" si="4"/>
        <v>11.435723225460398</v>
      </c>
      <c r="M48" s="30" t="str">
        <f t="shared" si="1"/>
        <v>August</v>
      </c>
    </row>
    <row r="49" spans="1:13">
      <c r="A49" s="9" t="s">
        <v>131</v>
      </c>
      <c r="B49" s="8">
        <v>12</v>
      </c>
      <c r="C49" s="8" t="s">
        <v>51</v>
      </c>
      <c r="D49" s="8" t="s">
        <v>36</v>
      </c>
      <c r="E49" s="34" t="s">
        <v>132</v>
      </c>
      <c r="F49" s="8">
        <v>609</v>
      </c>
      <c r="G49" s="8">
        <v>199.96</v>
      </c>
      <c r="H49" s="10">
        <v>18.559999999999999</v>
      </c>
      <c r="I49" s="21">
        <f t="shared" si="0"/>
        <v>168.03361344537817</v>
      </c>
      <c r="J49" s="21">
        <f t="shared" si="2"/>
        <v>113.03039999999999</v>
      </c>
      <c r="K49" s="21">
        <f t="shared" si="3"/>
        <v>55.003213445378179</v>
      </c>
      <c r="L49" s="8">
        <f t="shared" si="4"/>
        <v>9.0317263457107035</v>
      </c>
      <c r="M49" s="30" t="str">
        <f t="shared" si="1"/>
        <v>October</v>
      </c>
    </row>
    <row r="50" spans="1:13">
      <c r="A50" s="9" t="s">
        <v>133</v>
      </c>
      <c r="B50" s="8">
        <v>12</v>
      </c>
      <c r="C50" s="8" t="s">
        <v>35</v>
      </c>
      <c r="D50" s="8" t="s">
        <v>36</v>
      </c>
      <c r="E50" s="34" t="s">
        <v>134</v>
      </c>
      <c r="F50" s="8">
        <v>297</v>
      </c>
      <c r="G50" s="8">
        <v>115.75</v>
      </c>
      <c r="H50" s="10">
        <v>25.48</v>
      </c>
      <c r="I50" s="21">
        <f t="shared" si="0"/>
        <v>97.268907563025209</v>
      </c>
      <c r="J50" s="21">
        <f t="shared" si="2"/>
        <v>75.675600000000003</v>
      </c>
      <c r="K50" s="21">
        <f t="shared" si="3"/>
        <v>21.593307563025206</v>
      </c>
      <c r="L50" s="8">
        <f t="shared" si="4"/>
        <v>7.270473926944514</v>
      </c>
      <c r="M50" s="30" t="str">
        <f t="shared" si="1"/>
        <v>March</v>
      </c>
    </row>
    <row r="51" spans="1:13">
      <c r="A51" s="9" t="s">
        <v>135</v>
      </c>
      <c r="B51" s="8">
        <v>12</v>
      </c>
      <c r="C51" s="8" t="s">
        <v>35</v>
      </c>
      <c r="D51" s="8" t="s">
        <v>36</v>
      </c>
      <c r="E51" s="34" t="s">
        <v>67</v>
      </c>
      <c r="F51" s="8">
        <v>285</v>
      </c>
      <c r="G51" s="8">
        <v>101.84</v>
      </c>
      <c r="H51" s="10">
        <v>24.53</v>
      </c>
      <c r="I51" s="21">
        <f t="shared" si="0"/>
        <v>85.579831932773118</v>
      </c>
      <c r="J51" s="21">
        <f t="shared" si="2"/>
        <v>69.910499999999999</v>
      </c>
      <c r="K51" s="21">
        <f t="shared" si="3"/>
        <v>15.669331932773119</v>
      </c>
      <c r="L51" s="8">
        <f t="shared" si="4"/>
        <v>5.4980112044817959</v>
      </c>
      <c r="M51" s="30" t="str">
        <f t="shared" si="1"/>
        <v>August</v>
      </c>
    </row>
    <row r="52" spans="1:13">
      <c r="A52" s="9" t="s">
        <v>136</v>
      </c>
      <c r="B52" s="8">
        <v>24</v>
      </c>
      <c r="C52" s="8" t="s">
        <v>39</v>
      </c>
      <c r="D52" s="8" t="s">
        <v>36</v>
      </c>
      <c r="E52" s="34" t="s">
        <v>137</v>
      </c>
      <c r="F52" s="8">
        <v>86</v>
      </c>
      <c r="G52" s="8">
        <v>45.72</v>
      </c>
      <c r="H52" s="10">
        <v>30.13</v>
      </c>
      <c r="I52" s="21">
        <f t="shared" si="0"/>
        <v>38.420168067226889</v>
      </c>
      <c r="J52" s="21">
        <f t="shared" si="2"/>
        <v>25.911799999999999</v>
      </c>
      <c r="K52" s="21">
        <f t="shared" si="3"/>
        <v>12.50836806722689</v>
      </c>
      <c r="L52" s="8">
        <f t="shared" si="4"/>
        <v>14.544614031659176</v>
      </c>
      <c r="M52" s="30" t="str">
        <f t="shared" si="1"/>
        <v>April</v>
      </c>
    </row>
    <row r="53" spans="1:13">
      <c r="A53" s="9" t="s">
        <v>138</v>
      </c>
      <c r="B53" s="8">
        <v>24</v>
      </c>
      <c r="C53" s="8" t="s">
        <v>35</v>
      </c>
      <c r="D53" s="8" t="s">
        <v>56</v>
      </c>
      <c r="E53" s="34" t="s">
        <v>100</v>
      </c>
      <c r="F53" s="8">
        <v>217</v>
      </c>
      <c r="G53" s="8">
        <v>86.51</v>
      </c>
      <c r="H53" s="10">
        <v>22.46</v>
      </c>
      <c r="I53" s="21">
        <f t="shared" si="0"/>
        <v>72.69747899159664</v>
      </c>
      <c r="J53" s="21">
        <f t="shared" si="2"/>
        <v>48.738200000000006</v>
      </c>
      <c r="K53" s="21">
        <f t="shared" si="3"/>
        <v>23.959278991596634</v>
      </c>
      <c r="L53" s="8">
        <f t="shared" si="4"/>
        <v>11.041142392440845</v>
      </c>
      <c r="M53" s="30" t="str">
        <f t="shared" si="1"/>
        <v>January</v>
      </c>
    </row>
    <row r="54" spans="1:13">
      <c r="A54" s="9" t="s">
        <v>139</v>
      </c>
      <c r="B54" s="8">
        <v>24</v>
      </c>
      <c r="C54" s="8" t="s">
        <v>39</v>
      </c>
      <c r="D54" s="8" t="s">
        <v>46</v>
      </c>
      <c r="E54" s="34">
        <v>45606</v>
      </c>
      <c r="F54" s="8">
        <v>105</v>
      </c>
      <c r="G54" s="8">
        <v>51.32</v>
      </c>
      <c r="H54" s="10">
        <v>30.42</v>
      </c>
      <c r="I54" s="21">
        <f t="shared" si="0"/>
        <v>43.12605042016807</v>
      </c>
      <c r="J54" s="21">
        <f t="shared" si="2"/>
        <v>31.941000000000003</v>
      </c>
      <c r="K54" s="21">
        <f t="shared" si="3"/>
        <v>11.185050420168068</v>
      </c>
      <c r="L54" s="8">
        <f t="shared" si="4"/>
        <v>10.652428971588636</v>
      </c>
      <c r="M54" s="30" t="str">
        <f t="shared" si="1"/>
        <v>July</v>
      </c>
    </row>
    <row r="55" spans="1:13">
      <c r="A55" s="9" t="s">
        <v>140</v>
      </c>
      <c r="B55" s="8">
        <v>24</v>
      </c>
      <c r="C55" s="8" t="s">
        <v>51</v>
      </c>
      <c r="D55" s="8" t="s">
        <v>36</v>
      </c>
      <c r="E55" s="34">
        <v>45904</v>
      </c>
      <c r="F55" s="8">
        <v>453</v>
      </c>
      <c r="G55" s="8">
        <v>155.02000000000001</v>
      </c>
      <c r="H55" s="10">
        <v>17.09</v>
      </c>
      <c r="I55" s="21">
        <f t="shared" si="0"/>
        <v>130.26890756302524</v>
      </c>
      <c r="J55" s="21">
        <f t="shared" si="2"/>
        <v>77.417699999999996</v>
      </c>
      <c r="K55" s="21">
        <f t="shared" si="3"/>
        <v>52.851207563025241</v>
      </c>
      <c r="L55" s="8">
        <f t="shared" si="4"/>
        <v>11.666933236870914</v>
      </c>
      <c r="M55" s="30" t="str">
        <f t="shared" si="1"/>
        <v>May</v>
      </c>
    </row>
    <row r="56" spans="1:13">
      <c r="A56" s="9" t="s">
        <v>142</v>
      </c>
      <c r="B56" s="8">
        <v>24</v>
      </c>
      <c r="C56" s="8" t="s">
        <v>39</v>
      </c>
      <c r="D56" s="8" t="s">
        <v>46</v>
      </c>
      <c r="E56" s="34">
        <v>45870</v>
      </c>
      <c r="F56" s="8">
        <v>90</v>
      </c>
      <c r="G56" s="8">
        <v>45.15</v>
      </c>
      <c r="H56" s="10">
        <v>29.35</v>
      </c>
      <c r="I56" s="21">
        <f t="shared" si="0"/>
        <v>37.941176470588239</v>
      </c>
      <c r="J56" s="21">
        <f t="shared" si="2"/>
        <v>26.414999999999999</v>
      </c>
      <c r="K56" s="21">
        <f t="shared" si="3"/>
        <v>11.52617647058824</v>
      </c>
      <c r="L56" s="8">
        <f t="shared" si="4"/>
        <v>12.806862745098044</v>
      </c>
      <c r="M56" s="30" t="str">
        <f t="shared" si="1"/>
        <v>November</v>
      </c>
    </row>
    <row r="57" spans="1:13">
      <c r="A57" s="9" t="s">
        <v>144</v>
      </c>
      <c r="B57" s="8">
        <v>24</v>
      </c>
      <c r="C57" s="8" t="s">
        <v>39</v>
      </c>
      <c r="D57" s="8" t="s">
        <v>36</v>
      </c>
      <c r="E57" s="34" t="s">
        <v>145</v>
      </c>
      <c r="F57" s="8">
        <v>162</v>
      </c>
      <c r="G57" s="8">
        <v>64.41</v>
      </c>
      <c r="H57" s="10">
        <v>30.57</v>
      </c>
      <c r="I57" s="21">
        <f t="shared" si="0"/>
        <v>54.12605042016807</v>
      </c>
      <c r="J57" s="21">
        <f t="shared" si="2"/>
        <v>49.523400000000002</v>
      </c>
      <c r="K57" s="21">
        <f t="shared" si="3"/>
        <v>4.602650420168068</v>
      </c>
      <c r="L57" s="8">
        <f t="shared" si="4"/>
        <v>2.8411422346716471</v>
      </c>
      <c r="M57" s="30" t="str">
        <f t="shared" si="1"/>
        <v>June</v>
      </c>
    </row>
    <row r="58" spans="1:13">
      <c r="A58" s="9" t="s">
        <v>146</v>
      </c>
      <c r="B58" s="8">
        <v>12</v>
      </c>
      <c r="C58" s="8" t="s">
        <v>39</v>
      </c>
      <c r="D58" s="8" t="s">
        <v>36</v>
      </c>
      <c r="E58" s="34" t="s">
        <v>147</v>
      </c>
      <c r="F58" s="8">
        <v>130</v>
      </c>
      <c r="G58" s="8">
        <v>57.15</v>
      </c>
      <c r="H58" s="10">
        <v>30.77</v>
      </c>
      <c r="I58" s="21">
        <f t="shared" si="0"/>
        <v>48.025210084033617</v>
      </c>
      <c r="J58" s="21">
        <f t="shared" si="2"/>
        <v>40.000999999999998</v>
      </c>
      <c r="K58" s="21">
        <f t="shared" si="3"/>
        <v>8.0242100840336192</v>
      </c>
      <c r="L58" s="8">
        <f t="shared" si="4"/>
        <v>6.1724692954104761</v>
      </c>
      <c r="M58" s="30" t="str">
        <f t="shared" si="1"/>
        <v>January</v>
      </c>
    </row>
    <row r="59" spans="1:13">
      <c r="A59" s="9" t="s">
        <v>148</v>
      </c>
      <c r="B59" s="8">
        <v>12</v>
      </c>
      <c r="C59" s="8" t="s">
        <v>35</v>
      </c>
      <c r="D59" s="8" t="s">
        <v>46</v>
      </c>
      <c r="E59" s="34" t="s">
        <v>149</v>
      </c>
      <c r="F59" s="8">
        <v>218</v>
      </c>
      <c r="G59" s="8">
        <v>82.95</v>
      </c>
      <c r="H59" s="10">
        <v>22.83</v>
      </c>
      <c r="I59" s="21">
        <f t="shared" si="0"/>
        <v>69.705882352941188</v>
      </c>
      <c r="J59" s="21">
        <f t="shared" si="2"/>
        <v>49.769399999999997</v>
      </c>
      <c r="K59" s="21">
        <f t="shared" si="3"/>
        <v>19.936482352941191</v>
      </c>
      <c r="L59" s="8">
        <f t="shared" si="4"/>
        <v>9.1451753912574265</v>
      </c>
      <c r="M59" s="30" t="str">
        <f t="shared" si="1"/>
        <v>December</v>
      </c>
    </row>
    <row r="60" spans="1:13">
      <c r="A60" s="9" t="s">
        <v>150</v>
      </c>
      <c r="B60" s="8">
        <v>12</v>
      </c>
      <c r="C60" s="8" t="s">
        <v>35</v>
      </c>
      <c r="D60" s="8" t="s">
        <v>36</v>
      </c>
      <c r="E60" s="34">
        <v>45330</v>
      </c>
      <c r="F60" s="8">
        <v>233</v>
      </c>
      <c r="G60" s="8">
        <v>94.73</v>
      </c>
      <c r="H60" s="10">
        <v>23.57</v>
      </c>
      <c r="I60" s="21">
        <f t="shared" si="0"/>
        <v>79.605042016806735</v>
      </c>
      <c r="J60" s="21">
        <f t="shared" si="2"/>
        <v>54.918100000000003</v>
      </c>
      <c r="K60" s="21">
        <f t="shared" si="3"/>
        <v>24.686942016806732</v>
      </c>
      <c r="L60" s="8">
        <f t="shared" si="4"/>
        <v>10.595254084466408</v>
      </c>
      <c r="M60" s="30" t="str">
        <f t="shared" si="1"/>
        <v>July</v>
      </c>
    </row>
    <row r="61" spans="1:13">
      <c r="A61" s="9" t="s">
        <v>152</v>
      </c>
      <c r="B61" s="8">
        <v>12</v>
      </c>
      <c r="C61" s="8" t="s">
        <v>39</v>
      </c>
      <c r="D61" s="8" t="s">
        <v>36</v>
      </c>
      <c r="E61" s="34" t="s">
        <v>153</v>
      </c>
      <c r="F61" s="8">
        <v>121</v>
      </c>
      <c r="G61" s="8">
        <v>58.21</v>
      </c>
      <c r="H61" s="10">
        <v>31.58</v>
      </c>
      <c r="I61" s="21">
        <f t="shared" si="0"/>
        <v>48.915966386554622</v>
      </c>
      <c r="J61" s="21">
        <f t="shared" si="2"/>
        <v>38.211799999999997</v>
      </c>
      <c r="K61" s="21">
        <f t="shared" si="3"/>
        <v>10.704166386554625</v>
      </c>
      <c r="L61" s="8">
        <f t="shared" si="4"/>
        <v>8.8464185012848144</v>
      </c>
      <c r="M61" s="30" t="str">
        <f t="shared" si="1"/>
        <v>September</v>
      </c>
    </row>
    <row r="62" spans="1:13">
      <c r="A62" s="9" t="s">
        <v>154</v>
      </c>
      <c r="B62" s="8">
        <v>12</v>
      </c>
      <c r="C62" s="8" t="s">
        <v>51</v>
      </c>
      <c r="D62" s="8" t="s">
        <v>56</v>
      </c>
      <c r="E62" s="34" t="s">
        <v>155</v>
      </c>
      <c r="F62" s="8">
        <v>534</v>
      </c>
      <c r="G62" s="8">
        <v>173.65</v>
      </c>
      <c r="H62" s="10">
        <v>17.52</v>
      </c>
      <c r="I62" s="21">
        <f t="shared" si="0"/>
        <v>145.92436974789916</v>
      </c>
      <c r="J62" s="21">
        <f t="shared" si="2"/>
        <v>93.55680000000001</v>
      </c>
      <c r="K62" s="21">
        <f t="shared" si="3"/>
        <v>52.367569747899154</v>
      </c>
      <c r="L62" s="8">
        <f t="shared" si="4"/>
        <v>9.8066610014792435</v>
      </c>
      <c r="M62" s="30" t="str">
        <f t="shared" si="1"/>
        <v>March</v>
      </c>
    </row>
    <row r="63" spans="1:13">
      <c r="A63" s="9" t="s">
        <v>156</v>
      </c>
      <c r="B63" s="8">
        <v>12</v>
      </c>
      <c r="C63" s="8" t="s">
        <v>35</v>
      </c>
      <c r="D63" s="8" t="s">
        <v>56</v>
      </c>
      <c r="E63" s="34" t="s">
        <v>157</v>
      </c>
      <c r="F63" s="8">
        <v>253</v>
      </c>
      <c r="G63" s="8">
        <v>94.91</v>
      </c>
      <c r="H63" s="10">
        <v>26.03</v>
      </c>
      <c r="I63" s="21">
        <f t="shared" si="0"/>
        <v>79.756302521008408</v>
      </c>
      <c r="J63" s="21">
        <f t="shared" si="2"/>
        <v>65.855900000000005</v>
      </c>
      <c r="K63" s="21">
        <f t="shared" si="3"/>
        <v>13.900402521008402</v>
      </c>
      <c r="L63" s="8">
        <f t="shared" si="4"/>
        <v>5.4942302454578664</v>
      </c>
      <c r="M63" s="30" t="str">
        <f t="shared" si="1"/>
        <v>June</v>
      </c>
    </row>
    <row r="64" spans="1:13">
      <c r="A64" s="9" t="s">
        <v>158</v>
      </c>
      <c r="B64" s="8">
        <v>24</v>
      </c>
      <c r="C64" s="8" t="s">
        <v>35</v>
      </c>
      <c r="D64" s="8" t="s">
        <v>46</v>
      </c>
      <c r="E64" s="34">
        <v>45482</v>
      </c>
      <c r="F64" s="8">
        <v>320</v>
      </c>
      <c r="G64" s="8">
        <v>121.29</v>
      </c>
      <c r="H64" s="10">
        <v>23.68</v>
      </c>
      <c r="I64" s="21">
        <f t="shared" si="0"/>
        <v>101.92436974789916</v>
      </c>
      <c r="J64" s="21">
        <f t="shared" si="2"/>
        <v>75.77600000000001</v>
      </c>
      <c r="K64" s="21">
        <f t="shared" si="3"/>
        <v>26.148369747899153</v>
      </c>
      <c r="L64" s="8">
        <f t="shared" si="4"/>
        <v>8.1713655462184853</v>
      </c>
      <c r="M64" s="30" t="str">
        <f t="shared" si="1"/>
        <v>November</v>
      </c>
    </row>
    <row r="65" spans="1:13">
      <c r="A65" s="9" t="s">
        <v>159</v>
      </c>
      <c r="B65" s="8">
        <v>12</v>
      </c>
      <c r="C65" s="8" t="s">
        <v>35</v>
      </c>
      <c r="D65" s="8" t="s">
        <v>46</v>
      </c>
      <c r="E65" s="34" t="s">
        <v>160</v>
      </c>
      <c r="F65" s="8">
        <v>250</v>
      </c>
      <c r="G65" s="8">
        <v>92.05</v>
      </c>
      <c r="H65" s="10">
        <v>24.07</v>
      </c>
      <c r="I65" s="21">
        <f t="shared" si="0"/>
        <v>77.352941176470594</v>
      </c>
      <c r="J65" s="21">
        <f t="shared" si="2"/>
        <v>60.174999999999997</v>
      </c>
      <c r="K65" s="21">
        <f t="shared" si="3"/>
        <v>17.177941176470597</v>
      </c>
      <c r="L65" s="8">
        <f t="shared" si="4"/>
        <v>6.8711764705882388</v>
      </c>
      <c r="M65" s="30" t="str">
        <f t="shared" si="1"/>
        <v>June</v>
      </c>
    </row>
    <row r="66" spans="1:13">
      <c r="A66" s="9" t="s">
        <v>161</v>
      </c>
      <c r="B66" s="8">
        <v>12</v>
      </c>
      <c r="C66" s="8" t="s">
        <v>35</v>
      </c>
      <c r="D66" s="8" t="s">
        <v>46</v>
      </c>
      <c r="E66" s="34" t="s">
        <v>162</v>
      </c>
      <c r="F66" s="8">
        <v>332</v>
      </c>
      <c r="G66" s="8">
        <v>125.87</v>
      </c>
      <c r="H66" s="10">
        <v>25.17</v>
      </c>
      <c r="I66" s="21">
        <f t="shared" ref="I66:I129" si="5">G66/1.19</f>
        <v>105.77310924369749</v>
      </c>
      <c r="J66" s="21">
        <f t="shared" ref="J66:J129" si="6">F66*H66/100</f>
        <v>83.564400000000006</v>
      </c>
      <c r="K66" s="21">
        <f t="shared" ref="K66:K129" si="7">I66-J66</f>
        <v>22.208709243697484</v>
      </c>
      <c r="L66" s="8">
        <f t="shared" ref="L66:L129" si="8">IF(F66=0,"",K66/F66*100)</f>
        <v>6.6893702541257483</v>
      </c>
      <c r="M66" s="30" t="str">
        <f t="shared" ref="M66:M129" si="9">TEXT(DATE(RIGHT(E66,4),MID(E66,4,2),LEFT(E66,2)),"mmmm")</f>
        <v>April</v>
      </c>
    </row>
    <row r="67" spans="1:13">
      <c r="A67" s="9" t="s">
        <v>163</v>
      </c>
      <c r="B67" s="8">
        <v>12</v>
      </c>
      <c r="C67" s="8" t="s">
        <v>35</v>
      </c>
      <c r="D67" s="8" t="s">
        <v>36</v>
      </c>
      <c r="E67" s="34" t="s">
        <v>164</v>
      </c>
      <c r="F67" s="8">
        <v>308</v>
      </c>
      <c r="G67" s="8">
        <v>110.9</v>
      </c>
      <c r="H67" s="10">
        <v>22.28</v>
      </c>
      <c r="I67" s="21">
        <f t="shared" si="5"/>
        <v>93.193277310924373</v>
      </c>
      <c r="J67" s="21">
        <f t="shared" si="6"/>
        <v>68.622400000000013</v>
      </c>
      <c r="K67" s="21">
        <f t="shared" si="7"/>
        <v>24.570877310924359</v>
      </c>
      <c r="L67" s="8">
        <f t="shared" si="8"/>
        <v>7.9775575684819353</v>
      </c>
      <c r="M67" s="30" t="str">
        <f t="shared" si="9"/>
        <v>January</v>
      </c>
    </row>
    <row r="68" spans="1:13">
      <c r="A68" s="9" t="s">
        <v>165</v>
      </c>
      <c r="B68" s="8">
        <v>12</v>
      </c>
      <c r="C68" s="8" t="s">
        <v>39</v>
      </c>
      <c r="D68" s="8" t="s">
        <v>36</v>
      </c>
      <c r="E68" s="34">
        <v>45361</v>
      </c>
      <c r="F68" s="8">
        <v>100</v>
      </c>
      <c r="G68" s="8">
        <v>45.15</v>
      </c>
      <c r="H68" s="10">
        <v>29.9</v>
      </c>
      <c r="I68" s="21">
        <f t="shared" si="5"/>
        <v>37.941176470588239</v>
      </c>
      <c r="J68" s="21">
        <f t="shared" si="6"/>
        <v>29.9</v>
      </c>
      <c r="K68" s="21">
        <f t="shared" si="7"/>
        <v>8.0411764705882405</v>
      </c>
      <c r="L68" s="8">
        <f t="shared" si="8"/>
        <v>8.0411764705882405</v>
      </c>
      <c r="M68" s="30" t="str">
        <f t="shared" si="9"/>
        <v>February</v>
      </c>
    </row>
    <row r="69" spans="1:13">
      <c r="A69" s="9" t="s">
        <v>167</v>
      </c>
      <c r="B69" s="8">
        <v>24</v>
      </c>
      <c r="C69" s="8" t="s">
        <v>39</v>
      </c>
      <c r="D69" s="8" t="s">
        <v>36</v>
      </c>
      <c r="E69" s="34">
        <v>45634</v>
      </c>
      <c r="F69" s="8">
        <v>161</v>
      </c>
      <c r="G69" s="8">
        <v>69.569999999999993</v>
      </c>
      <c r="H69" s="10">
        <v>30.24</v>
      </c>
      <c r="I69" s="21">
        <f t="shared" si="5"/>
        <v>58.462184873949575</v>
      </c>
      <c r="J69" s="21">
        <f t="shared" si="6"/>
        <v>48.686399999999992</v>
      </c>
      <c r="K69" s="21">
        <f t="shared" si="7"/>
        <v>9.7757848739495827</v>
      </c>
      <c r="L69" s="8">
        <f t="shared" si="8"/>
        <v>6.0719160707761386</v>
      </c>
      <c r="M69" s="30" t="str">
        <f t="shared" si="9"/>
        <v>November</v>
      </c>
    </row>
    <row r="70" spans="1:13">
      <c r="A70" s="9" t="s">
        <v>169</v>
      </c>
      <c r="B70" s="8">
        <v>12</v>
      </c>
      <c r="C70" s="8" t="s">
        <v>51</v>
      </c>
      <c r="D70" s="8" t="s">
        <v>36</v>
      </c>
      <c r="E70" s="34" t="s">
        <v>170</v>
      </c>
      <c r="F70" s="8">
        <v>372</v>
      </c>
      <c r="G70" s="8">
        <v>129.72999999999999</v>
      </c>
      <c r="H70" s="10">
        <v>19.64</v>
      </c>
      <c r="I70" s="21">
        <f t="shared" si="5"/>
        <v>109.01680672268907</v>
      </c>
      <c r="J70" s="21">
        <f t="shared" si="6"/>
        <v>73.0608</v>
      </c>
      <c r="K70" s="21">
        <f t="shared" si="7"/>
        <v>35.956006722689068</v>
      </c>
      <c r="L70" s="8">
        <f t="shared" si="8"/>
        <v>9.6655932050239421</v>
      </c>
      <c r="M70" s="30" t="str">
        <f t="shared" si="9"/>
        <v>November</v>
      </c>
    </row>
    <row r="71" spans="1:13">
      <c r="A71" s="9" t="s">
        <v>171</v>
      </c>
      <c r="B71" s="8">
        <v>24</v>
      </c>
      <c r="C71" s="8" t="s">
        <v>51</v>
      </c>
      <c r="D71" s="8" t="s">
        <v>36</v>
      </c>
      <c r="E71" s="34" t="s">
        <v>172</v>
      </c>
      <c r="F71" s="8">
        <v>606</v>
      </c>
      <c r="G71" s="8">
        <v>212</v>
      </c>
      <c r="H71" s="10">
        <v>19.940000000000001</v>
      </c>
      <c r="I71" s="21">
        <f t="shared" si="5"/>
        <v>178.1512605042017</v>
      </c>
      <c r="J71" s="21">
        <f t="shared" si="6"/>
        <v>120.83640000000001</v>
      </c>
      <c r="K71" s="21">
        <f t="shared" si="7"/>
        <v>57.31486050420169</v>
      </c>
      <c r="L71" s="8">
        <f t="shared" si="8"/>
        <v>9.4578977729705755</v>
      </c>
      <c r="M71" s="30" t="str">
        <f t="shared" si="9"/>
        <v>February</v>
      </c>
    </row>
    <row r="72" spans="1:13">
      <c r="A72" s="9" t="s">
        <v>173</v>
      </c>
      <c r="B72" s="8">
        <v>24</v>
      </c>
      <c r="C72" s="8" t="s">
        <v>35</v>
      </c>
      <c r="D72" s="8" t="s">
        <v>36</v>
      </c>
      <c r="E72" s="34" t="s">
        <v>174</v>
      </c>
      <c r="F72" s="8">
        <v>230</v>
      </c>
      <c r="G72" s="8">
        <v>87.96</v>
      </c>
      <c r="H72" s="10">
        <v>23.01</v>
      </c>
      <c r="I72" s="21">
        <f t="shared" si="5"/>
        <v>73.915966386554615</v>
      </c>
      <c r="J72" s="21">
        <f t="shared" si="6"/>
        <v>52.923000000000002</v>
      </c>
      <c r="K72" s="21">
        <f t="shared" si="7"/>
        <v>20.992966386554613</v>
      </c>
      <c r="L72" s="8">
        <f t="shared" si="8"/>
        <v>9.1273766898063524</v>
      </c>
      <c r="M72" s="30" t="str">
        <f t="shared" si="9"/>
        <v>August</v>
      </c>
    </row>
    <row r="73" spans="1:13">
      <c r="A73" s="9" t="s">
        <v>175</v>
      </c>
      <c r="B73" s="8">
        <v>12</v>
      </c>
      <c r="C73" s="8" t="s">
        <v>39</v>
      </c>
      <c r="D73" s="8" t="s">
        <v>56</v>
      </c>
      <c r="E73" s="34">
        <v>45324</v>
      </c>
      <c r="F73" s="8">
        <v>157</v>
      </c>
      <c r="G73" s="8">
        <v>66.150000000000006</v>
      </c>
      <c r="H73" s="10">
        <v>28.04</v>
      </c>
      <c r="I73" s="21">
        <f t="shared" si="5"/>
        <v>55.588235294117652</v>
      </c>
      <c r="J73" s="21">
        <f t="shared" si="6"/>
        <v>44.022799999999997</v>
      </c>
      <c r="K73" s="21">
        <f t="shared" si="7"/>
        <v>11.565435294117655</v>
      </c>
      <c r="L73" s="8">
        <f t="shared" si="8"/>
        <v>7.3665192956163414</v>
      </c>
      <c r="M73" s="30" t="str">
        <f t="shared" si="9"/>
        <v>January</v>
      </c>
    </row>
    <row r="74" spans="1:13">
      <c r="A74" s="9" t="s">
        <v>176</v>
      </c>
      <c r="B74" s="8">
        <v>12</v>
      </c>
      <c r="C74" s="8" t="s">
        <v>35</v>
      </c>
      <c r="D74" s="8" t="s">
        <v>56</v>
      </c>
      <c r="E74" s="34" t="s">
        <v>177</v>
      </c>
      <c r="F74" s="8">
        <v>311</v>
      </c>
      <c r="G74" s="8">
        <v>115.16</v>
      </c>
      <c r="H74" s="10">
        <v>24.89</v>
      </c>
      <c r="I74" s="21">
        <f t="shared" si="5"/>
        <v>96.773109243697476</v>
      </c>
      <c r="J74" s="21">
        <f t="shared" si="6"/>
        <v>77.407899999999998</v>
      </c>
      <c r="K74" s="21">
        <f t="shared" si="7"/>
        <v>19.365209243697478</v>
      </c>
      <c r="L74" s="8">
        <f t="shared" si="8"/>
        <v>6.226755383825556</v>
      </c>
      <c r="M74" s="30" t="str">
        <f t="shared" si="9"/>
        <v>November</v>
      </c>
    </row>
    <row r="75" spans="1:13">
      <c r="A75" s="9" t="s">
        <v>178</v>
      </c>
      <c r="B75" s="8">
        <v>24</v>
      </c>
      <c r="C75" s="8" t="s">
        <v>35</v>
      </c>
      <c r="D75" s="8" t="s">
        <v>46</v>
      </c>
      <c r="E75" s="34" t="s">
        <v>179</v>
      </c>
      <c r="F75" s="8">
        <v>301</v>
      </c>
      <c r="G75" s="8">
        <v>113.78</v>
      </c>
      <c r="H75" s="10">
        <v>24.14</v>
      </c>
      <c r="I75" s="21">
        <f t="shared" si="5"/>
        <v>95.613445378151269</v>
      </c>
      <c r="J75" s="21">
        <f t="shared" si="6"/>
        <v>72.6614</v>
      </c>
      <c r="K75" s="21">
        <f t="shared" si="7"/>
        <v>22.952045378151269</v>
      </c>
      <c r="L75" s="8">
        <f t="shared" si="8"/>
        <v>7.6252642452329793</v>
      </c>
      <c r="M75" s="30" t="str">
        <f t="shared" si="9"/>
        <v>February</v>
      </c>
    </row>
    <row r="76" spans="1:13">
      <c r="A76" s="9" t="s">
        <v>180</v>
      </c>
      <c r="B76" s="8">
        <v>24</v>
      </c>
      <c r="C76" s="8" t="s">
        <v>39</v>
      </c>
      <c r="D76" s="8" t="s">
        <v>36</v>
      </c>
      <c r="E76" s="34">
        <v>45301</v>
      </c>
      <c r="F76" s="8">
        <v>149</v>
      </c>
      <c r="G76" s="8">
        <v>64.37</v>
      </c>
      <c r="H76" s="10">
        <v>31.34</v>
      </c>
      <c r="I76" s="21">
        <f t="shared" si="5"/>
        <v>54.092436974789919</v>
      </c>
      <c r="J76" s="21">
        <f t="shared" si="6"/>
        <v>46.696599999999997</v>
      </c>
      <c r="K76" s="21">
        <f t="shared" si="7"/>
        <v>7.3958369747899226</v>
      </c>
      <c r="L76" s="8">
        <f t="shared" si="8"/>
        <v>4.9636489763690754</v>
      </c>
      <c r="M76" s="30" t="str">
        <f t="shared" si="9"/>
        <v>February</v>
      </c>
    </row>
    <row r="77" spans="1:13">
      <c r="A77" s="9" t="s">
        <v>182</v>
      </c>
      <c r="B77" s="8">
        <v>24</v>
      </c>
      <c r="C77" s="8" t="s">
        <v>39</v>
      </c>
      <c r="D77" s="8" t="s">
        <v>56</v>
      </c>
      <c r="E77" s="34">
        <v>45507</v>
      </c>
      <c r="F77" s="8">
        <v>109</v>
      </c>
      <c r="G77" s="8">
        <v>51</v>
      </c>
      <c r="H77" s="10">
        <v>31.29</v>
      </c>
      <c r="I77" s="21">
        <f t="shared" si="5"/>
        <v>42.857142857142861</v>
      </c>
      <c r="J77" s="21">
        <f t="shared" si="6"/>
        <v>34.106099999999998</v>
      </c>
      <c r="K77" s="21">
        <f t="shared" si="7"/>
        <v>8.7510428571428633</v>
      </c>
      <c r="L77" s="8">
        <f t="shared" si="8"/>
        <v>8.0284796854521687</v>
      </c>
      <c r="M77" s="30" t="str">
        <f t="shared" si="9"/>
        <v>August</v>
      </c>
    </row>
    <row r="78" spans="1:13">
      <c r="A78" s="9" t="s">
        <v>184</v>
      </c>
      <c r="B78" s="8">
        <v>24</v>
      </c>
      <c r="C78" s="8" t="s">
        <v>35</v>
      </c>
      <c r="D78" s="8" t="s">
        <v>36</v>
      </c>
      <c r="E78" s="34">
        <v>45390</v>
      </c>
      <c r="F78" s="8">
        <v>180</v>
      </c>
      <c r="G78" s="8">
        <v>73.11</v>
      </c>
      <c r="H78" s="10">
        <v>25.37</v>
      </c>
      <c r="I78" s="21">
        <f t="shared" si="5"/>
        <v>61.436974789915972</v>
      </c>
      <c r="J78" s="21">
        <f t="shared" si="6"/>
        <v>45.666000000000004</v>
      </c>
      <c r="K78" s="21">
        <f t="shared" si="7"/>
        <v>15.770974789915968</v>
      </c>
      <c r="L78" s="8">
        <f t="shared" si="8"/>
        <v>8.7616526610644279</v>
      </c>
      <c r="M78" s="30" t="str">
        <f t="shared" si="9"/>
        <v>July</v>
      </c>
    </row>
    <row r="79" spans="1:13">
      <c r="A79" s="9" t="s">
        <v>186</v>
      </c>
      <c r="B79" s="8">
        <v>12</v>
      </c>
      <c r="C79" s="8" t="s">
        <v>35</v>
      </c>
      <c r="D79" s="8" t="s">
        <v>46</v>
      </c>
      <c r="E79" s="37">
        <v>45614</v>
      </c>
      <c r="F79" s="8">
        <v>234</v>
      </c>
      <c r="G79" s="8">
        <v>88.9</v>
      </c>
      <c r="H79" s="10">
        <v>23.94</v>
      </c>
      <c r="I79" s="21">
        <f t="shared" si="5"/>
        <v>74.705882352941188</v>
      </c>
      <c r="J79" s="21">
        <f t="shared" si="6"/>
        <v>56.019599999999997</v>
      </c>
      <c r="K79" s="21">
        <f t="shared" si="7"/>
        <v>18.686282352941191</v>
      </c>
      <c r="L79" s="8">
        <f t="shared" si="8"/>
        <v>7.985590749120167</v>
      </c>
      <c r="M79" s="30" t="str">
        <f t="shared" si="9"/>
        <v>March</v>
      </c>
    </row>
    <row r="80" spans="1:13">
      <c r="A80" s="9" t="s">
        <v>188</v>
      </c>
      <c r="B80" s="8">
        <v>12</v>
      </c>
      <c r="C80" s="8" t="s">
        <v>39</v>
      </c>
      <c r="D80" s="8" t="s">
        <v>36</v>
      </c>
      <c r="E80" s="34">
        <v>45420</v>
      </c>
      <c r="F80" s="8">
        <v>98</v>
      </c>
      <c r="G80" s="8">
        <v>46.45</v>
      </c>
      <c r="H80" s="10">
        <v>29.33</v>
      </c>
      <c r="I80" s="21">
        <f t="shared" si="5"/>
        <v>39.033613445378158</v>
      </c>
      <c r="J80" s="21">
        <f t="shared" si="6"/>
        <v>28.743399999999998</v>
      </c>
      <c r="K80" s="21">
        <f t="shared" si="7"/>
        <v>10.290213445378161</v>
      </c>
      <c r="L80" s="8">
        <f t="shared" si="8"/>
        <v>10.500217801406286</v>
      </c>
      <c r="M80" s="30" t="str">
        <f t="shared" si="9"/>
        <v>September</v>
      </c>
    </row>
    <row r="81" spans="1:13">
      <c r="A81" s="9" t="s">
        <v>190</v>
      </c>
      <c r="B81" s="8">
        <v>12</v>
      </c>
      <c r="C81" s="8" t="s">
        <v>39</v>
      </c>
      <c r="D81" s="8" t="s">
        <v>46</v>
      </c>
      <c r="E81" s="37">
        <v>45803</v>
      </c>
      <c r="F81" s="8">
        <v>141</v>
      </c>
      <c r="G81" s="8">
        <v>61.71</v>
      </c>
      <c r="H81" s="10">
        <v>33.17</v>
      </c>
      <c r="I81" s="21">
        <f t="shared" si="5"/>
        <v>51.857142857142861</v>
      </c>
      <c r="J81" s="21">
        <f t="shared" si="6"/>
        <v>46.7697</v>
      </c>
      <c r="K81" s="21">
        <f t="shared" si="7"/>
        <v>5.0874428571428609</v>
      </c>
      <c r="L81" s="8">
        <f t="shared" si="8"/>
        <v>3.6081155015197597</v>
      </c>
      <c r="M81" s="30" t="str">
        <f t="shared" si="9"/>
        <v>April</v>
      </c>
    </row>
    <row r="82" spans="1:13">
      <c r="A82" s="9" t="s">
        <v>192</v>
      </c>
      <c r="B82" s="8">
        <v>24</v>
      </c>
      <c r="C82" s="8" t="s">
        <v>39</v>
      </c>
      <c r="D82" s="8" t="s">
        <v>36</v>
      </c>
      <c r="E82" s="34">
        <v>45902</v>
      </c>
      <c r="F82" s="8">
        <v>112</v>
      </c>
      <c r="G82" s="8">
        <v>50.62</v>
      </c>
      <c r="H82" s="10">
        <v>29.81</v>
      </c>
      <c r="I82" s="21">
        <f t="shared" si="5"/>
        <v>42.537815126050418</v>
      </c>
      <c r="J82" s="21">
        <f t="shared" si="6"/>
        <v>33.3872</v>
      </c>
      <c r="K82" s="21">
        <f t="shared" si="7"/>
        <v>9.1506151260504183</v>
      </c>
      <c r="L82" s="8">
        <f t="shared" si="8"/>
        <v>8.1701920768307303</v>
      </c>
      <c r="M82" s="30" t="str">
        <f t="shared" si="9"/>
        <v>March</v>
      </c>
    </row>
    <row r="83" spans="1:13">
      <c r="A83" s="9" t="s">
        <v>194</v>
      </c>
      <c r="B83" s="8">
        <v>24</v>
      </c>
      <c r="C83" s="8" t="s">
        <v>35</v>
      </c>
      <c r="D83" s="8" t="s">
        <v>56</v>
      </c>
      <c r="E83" s="34" t="s">
        <v>195</v>
      </c>
      <c r="F83" s="8">
        <v>329</v>
      </c>
      <c r="G83" s="8">
        <v>120.21</v>
      </c>
      <c r="H83" s="10">
        <v>22.73</v>
      </c>
      <c r="I83" s="21">
        <f t="shared" si="5"/>
        <v>101.01680672268907</v>
      </c>
      <c r="J83" s="21">
        <f t="shared" si="6"/>
        <v>74.781700000000001</v>
      </c>
      <c r="K83" s="21">
        <f t="shared" si="7"/>
        <v>26.235106722689068</v>
      </c>
      <c r="L83" s="8">
        <f t="shared" si="8"/>
        <v>7.9741965722459174</v>
      </c>
      <c r="M83" s="30" t="str">
        <f t="shared" si="9"/>
        <v>April</v>
      </c>
    </row>
    <row r="84" spans="1:13">
      <c r="A84" s="9" t="s">
        <v>196</v>
      </c>
      <c r="B84" s="8">
        <v>12</v>
      </c>
      <c r="C84" s="8" t="s">
        <v>39</v>
      </c>
      <c r="D84" s="8" t="s">
        <v>56</v>
      </c>
      <c r="E84" s="34" t="s">
        <v>197</v>
      </c>
      <c r="F84" s="8">
        <v>137</v>
      </c>
      <c r="G84" s="8">
        <v>61.97</v>
      </c>
      <c r="H84" s="10">
        <v>31.42</v>
      </c>
      <c r="I84" s="21">
        <f t="shared" si="5"/>
        <v>52.075630252100844</v>
      </c>
      <c r="J84" s="21">
        <f t="shared" si="6"/>
        <v>43.045400000000001</v>
      </c>
      <c r="K84" s="21">
        <f t="shared" si="7"/>
        <v>9.0302302521008428</v>
      </c>
      <c r="L84" s="8">
        <f t="shared" si="8"/>
        <v>6.5914089431393013</v>
      </c>
      <c r="M84" s="30" t="str">
        <f t="shared" si="9"/>
        <v>May</v>
      </c>
    </row>
    <row r="85" spans="1:13">
      <c r="A85" s="9" t="s">
        <v>198</v>
      </c>
      <c r="B85" s="8">
        <v>12</v>
      </c>
      <c r="C85" s="8" t="s">
        <v>39</v>
      </c>
      <c r="D85" s="8" t="s">
        <v>36</v>
      </c>
      <c r="E85" s="34" t="s">
        <v>199</v>
      </c>
      <c r="F85" s="8">
        <v>152</v>
      </c>
      <c r="G85" s="8">
        <v>65.11</v>
      </c>
      <c r="H85" s="10">
        <v>31.53</v>
      </c>
      <c r="I85" s="21">
        <f t="shared" si="5"/>
        <v>54.714285714285715</v>
      </c>
      <c r="J85" s="21">
        <f t="shared" si="6"/>
        <v>47.925600000000003</v>
      </c>
      <c r="K85" s="21">
        <f t="shared" si="7"/>
        <v>6.7886857142857124</v>
      </c>
      <c r="L85" s="8">
        <f t="shared" si="8"/>
        <v>4.4662406015037588</v>
      </c>
      <c r="M85" s="30" t="str">
        <f t="shared" si="9"/>
        <v>September</v>
      </c>
    </row>
    <row r="86" spans="1:13">
      <c r="A86" s="9" t="s">
        <v>200</v>
      </c>
      <c r="B86" s="8">
        <v>12</v>
      </c>
      <c r="C86" s="8" t="s">
        <v>51</v>
      </c>
      <c r="D86" s="8" t="s">
        <v>36</v>
      </c>
      <c r="E86" s="34" t="s">
        <v>49</v>
      </c>
      <c r="F86" s="8">
        <v>377</v>
      </c>
      <c r="G86" s="8">
        <v>123.01</v>
      </c>
      <c r="H86" s="10">
        <v>18.829999999999998</v>
      </c>
      <c r="I86" s="21">
        <f t="shared" si="5"/>
        <v>103.36974789915968</v>
      </c>
      <c r="J86" s="21">
        <f t="shared" si="6"/>
        <v>70.989099999999993</v>
      </c>
      <c r="K86" s="21">
        <f t="shared" si="7"/>
        <v>32.380647899159683</v>
      </c>
      <c r="L86" s="8">
        <f t="shared" si="8"/>
        <v>8.589031272986654</v>
      </c>
      <c r="M86" s="30" t="str">
        <f t="shared" si="9"/>
        <v>May</v>
      </c>
    </row>
    <row r="87" spans="1:13">
      <c r="A87" s="9" t="s">
        <v>201</v>
      </c>
      <c r="B87" s="8">
        <v>12</v>
      </c>
      <c r="C87" s="8" t="s">
        <v>39</v>
      </c>
      <c r="D87" s="8" t="s">
        <v>56</v>
      </c>
      <c r="E87" s="34">
        <v>45544</v>
      </c>
      <c r="F87" s="8">
        <v>155</v>
      </c>
      <c r="G87" s="8">
        <v>65.83</v>
      </c>
      <c r="H87" s="10">
        <v>28.3</v>
      </c>
      <c r="I87" s="21">
        <f t="shared" si="5"/>
        <v>55.319327731092436</v>
      </c>
      <c r="J87" s="21">
        <f t="shared" si="6"/>
        <v>43.865000000000002</v>
      </c>
      <c r="K87" s="21">
        <f t="shared" si="7"/>
        <v>11.454327731092434</v>
      </c>
      <c r="L87" s="8">
        <f t="shared" si="8"/>
        <v>7.3898888587693126</v>
      </c>
      <c r="M87" s="30" t="str">
        <f t="shared" si="9"/>
        <v>September</v>
      </c>
    </row>
    <row r="88" spans="1:13">
      <c r="A88" s="9" t="s">
        <v>203</v>
      </c>
      <c r="B88" s="8">
        <v>24</v>
      </c>
      <c r="C88" s="8" t="s">
        <v>35</v>
      </c>
      <c r="D88" s="8" t="s">
        <v>36</v>
      </c>
      <c r="E88" s="34" t="s">
        <v>204</v>
      </c>
      <c r="F88" s="8">
        <v>320</v>
      </c>
      <c r="G88" s="8">
        <v>115.52</v>
      </c>
      <c r="H88" s="10">
        <v>23.55</v>
      </c>
      <c r="I88" s="21">
        <f t="shared" si="5"/>
        <v>97.075630252100837</v>
      </c>
      <c r="J88" s="21">
        <f t="shared" si="6"/>
        <v>75.36</v>
      </c>
      <c r="K88" s="21">
        <f t="shared" si="7"/>
        <v>21.715630252100837</v>
      </c>
      <c r="L88" s="8">
        <f t="shared" si="8"/>
        <v>6.7861344537815116</v>
      </c>
      <c r="M88" s="30" t="str">
        <f t="shared" si="9"/>
        <v>September</v>
      </c>
    </row>
    <row r="89" spans="1:13">
      <c r="A89" s="9" t="s">
        <v>205</v>
      </c>
      <c r="B89" s="8">
        <v>24</v>
      </c>
      <c r="C89" s="8" t="s">
        <v>39</v>
      </c>
      <c r="D89" s="8" t="s">
        <v>56</v>
      </c>
      <c r="E89" s="34" t="s">
        <v>206</v>
      </c>
      <c r="F89" s="8">
        <v>124</v>
      </c>
      <c r="G89" s="8">
        <v>56.75</v>
      </c>
      <c r="H89" s="10">
        <v>31.21</v>
      </c>
      <c r="I89" s="21">
        <f t="shared" si="5"/>
        <v>47.689075630252105</v>
      </c>
      <c r="J89" s="21">
        <f t="shared" si="6"/>
        <v>38.700400000000002</v>
      </c>
      <c r="K89" s="21">
        <f t="shared" si="7"/>
        <v>8.9886756302521036</v>
      </c>
      <c r="L89" s="8">
        <f t="shared" si="8"/>
        <v>7.2489319598807294</v>
      </c>
      <c r="M89" s="30" t="str">
        <f t="shared" si="9"/>
        <v>March</v>
      </c>
    </row>
    <row r="90" spans="1:13">
      <c r="A90" s="9" t="s">
        <v>207</v>
      </c>
      <c r="B90" s="8">
        <v>24</v>
      </c>
      <c r="C90" s="8" t="s">
        <v>39</v>
      </c>
      <c r="D90" s="8" t="s">
        <v>46</v>
      </c>
      <c r="E90" s="34">
        <v>45993</v>
      </c>
      <c r="F90" s="8">
        <v>134</v>
      </c>
      <c r="G90" s="8">
        <v>58.32</v>
      </c>
      <c r="H90" s="10">
        <v>31.61</v>
      </c>
      <c r="I90" s="21">
        <f t="shared" si="5"/>
        <v>49.008403361344541</v>
      </c>
      <c r="J90" s="21">
        <f t="shared" si="6"/>
        <v>42.357399999999998</v>
      </c>
      <c r="K90" s="21">
        <f t="shared" si="7"/>
        <v>6.651003361344543</v>
      </c>
      <c r="L90" s="8">
        <f t="shared" si="8"/>
        <v>4.9634353442869728</v>
      </c>
      <c r="M90" s="30" t="str">
        <f t="shared" si="9"/>
        <v>October</v>
      </c>
    </row>
    <row r="91" spans="1:13">
      <c r="A91" s="9" t="s">
        <v>209</v>
      </c>
      <c r="B91" s="8">
        <v>12</v>
      </c>
      <c r="C91" s="8" t="s">
        <v>39</v>
      </c>
      <c r="D91" s="8" t="s">
        <v>36</v>
      </c>
      <c r="E91" s="34">
        <v>45778</v>
      </c>
      <c r="F91" s="8">
        <v>147</v>
      </c>
      <c r="G91" s="8">
        <v>62.08</v>
      </c>
      <c r="H91" s="10">
        <v>28.81</v>
      </c>
      <c r="I91" s="21">
        <f t="shared" si="5"/>
        <v>52.168067226890756</v>
      </c>
      <c r="J91" s="21">
        <f t="shared" si="6"/>
        <v>42.350699999999996</v>
      </c>
      <c r="K91" s="21">
        <f t="shared" si="7"/>
        <v>9.8173672268907595</v>
      </c>
      <c r="L91" s="8">
        <f t="shared" si="8"/>
        <v>6.678481106728408</v>
      </c>
      <c r="M91" s="30" t="str">
        <f t="shared" si="9"/>
        <v>July</v>
      </c>
    </row>
    <row r="92" spans="1:13">
      <c r="A92" s="9" t="s">
        <v>211</v>
      </c>
      <c r="B92" s="8">
        <v>12</v>
      </c>
      <c r="C92" s="8" t="s">
        <v>35</v>
      </c>
      <c r="D92" s="8" t="s">
        <v>36</v>
      </c>
      <c r="E92" s="34">
        <v>45634</v>
      </c>
      <c r="F92" s="8">
        <v>196</v>
      </c>
      <c r="G92" s="8">
        <v>77.959999999999994</v>
      </c>
      <c r="H92" s="10">
        <v>22.27</v>
      </c>
      <c r="I92" s="21">
        <f t="shared" si="5"/>
        <v>65.512605042016801</v>
      </c>
      <c r="J92" s="21">
        <f t="shared" si="6"/>
        <v>43.6492</v>
      </c>
      <c r="K92" s="21">
        <f t="shared" si="7"/>
        <v>21.863405042016801</v>
      </c>
      <c r="L92" s="8">
        <f t="shared" si="8"/>
        <v>11.154798490824898</v>
      </c>
      <c r="M92" s="30" t="str">
        <f t="shared" si="9"/>
        <v>November</v>
      </c>
    </row>
    <row r="93" spans="1:13">
      <c r="A93" s="9" t="s">
        <v>212</v>
      </c>
      <c r="B93" s="8">
        <v>24</v>
      </c>
      <c r="C93" s="8" t="s">
        <v>51</v>
      </c>
      <c r="D93" s="8" t="s">
        <v>36</v>
      </c>
      <c r="E93" s="34" t="s">
        <v>213</v>
      </c>
      <c r="F93" s="8">
        <v>501</v>
      </c>
      <c r="G93" s="8">
        <v>164.88</v>
      </c>
      <c r="H93" s="10">
        <v>20.89</v>
      </c>
      <c r="I93" s="21">
        <f t="shared" si="5"/>
        <v>138.55462184873949</v>
      </c>
      <c r="J93" s="21">
        <f t="shared" si="6"/>
        <v>104.65889999999999</v>
      </c>
      <c r="K93" s="21">
        <f t="shared" si="7"/>
        <v>33.895721848739498</v>
      </c>
      <c r="L93" s="8">
        <f t="shared" si="8"/>
        <v>6.7656131434609774</v>
      </c>
      <c r="M93" s="30" t="str">
        <f t="shared" si="9"/>
        <v>May</v>
      </c>
    </row>
    <row r="94" spans="1:13">
      <c r="A94" s="9" t="s">
        <v>214</v>
      </c>
      <c r="B94" s="8">
        <v>24</v>
      </c>
      <c r="C94" s="8" t="s">
        <v>51</v>
      </c>
      <c r="D94" s="8" t="s">
        <v>46</v>
      </c>
      <c r="E94" s="34">
        <v>45783</v>
      </c>
      <c r="F94" s="8">
        <v>466</v>
      </c>
      <c r="G94" s="8">
        <v>159.11000000000001</v>
      </c>
      <c r="H94" s="10">
        <v>18.45</v>
      </c>
      <c r="I94" s="21">
        <f t="shared" si="5"/>
        <v>133.70588235294119</v>
      </c>
      <c r="J94" s="21">
        <f t="shared" si="6"/>
        <v>85.97699999999999</v>
      </c>
      <c r="K94" s="21">
        <f t="shared" si="7"/>
        <v>47.728882352941199</v>
      </c>
      <c r="L94" s="8">
        <f t="shared" si="8"/>
        <v>10.24224943196163</v>
      </c>
      <c r="M94" s="30" t="str">
        <f t="shared" si="9"/>
        <v>December</v>
      </c>
    </row>
    <row r="95" spans="1:13">
      <c r="A95" s="9" t="s">
        <v>216</v>
      </c>
      <c r="B95" s="8">
        <v>24</v>
      </c>
      <c r="C95" s="8" t="s">
        <v>35</v>
      </c>
      <c r="D95" s="8" t="s">
        <v>36</v>
      </c>
      <c r="E95" s="37">
        <v>45797</v>
      </c>
      <c r="F95" s="8">
        <v>191</v>
      </c>
      <c r="G95" s="8">
        <v>78.48</v>
      </c>
      <c r="H95" s="10">
        <v>26.17</v>
      </c>
      <c r="I95" s="21">
        <f t="shared" si="5"/>
        <v>65.94957983193278</v>
      </c>
      <c r="J95" s="21">
        <f t="shared" si="6"/>
        <v>49.984700000000004</v>
      </c>
      <c r="K95" s="21">
        <f t="shared" si="7"/>
        <v>15.964879831932777</v>
      </c>
      <c r="L95" s="8">
        <f t="shared" si="8"/>
        <v>8.3585758282370559</v>
      </c>
      <c r="M95" s="30" t="str">
        <f t="shared" si="9"/>
        <v>February</v>
      </c>
    </row>
    <row r="96" spans="1:13">
      <c r="A96" s="9" t="s">
        <v>218</v>
      </c>
      <c r="B96" s="8">
        <v>24</v>
      </c>
      <c r="C96" s="8" t="s">
        <v>35</v>
      </c>
      <c r="D96" s="8" t="s">
        <v>36</v>
      </c>
      <c r="E96" s="34">
        <v>45355</v>
      </c>
      <c r="F96" s="8">
        <v>228</v>
      </c>
      <c r="G96" s="8">
        <v>87.33</v>
      </c>
      <c r="H96" s="10">
        <v>25.87</v>
      </c>
      <c r="I96" s="21">
        <f t="shared" si="5"/>
        <v>73.386554621848745</v>
      </c>
      <c r="J96" s="21">
        <f t="shared" si="6"/>
        <v>58.983600000000003</v>
      </c>
      <c r="K96" s="21">
        <f t="shared" si="7"/>
        <v>14.402954621848743</v>
      </c>
      <c r="L96" s="8">
        <f t="shared" si="8"/>
        <v>6.3170853604599744</v>
      </c>
      <c r="M96" s="30" t="str">
        <f t="shared" si="9"/>
        <v>August</v>
      </c>
    </row>
    <row r="97" spans="1:13">
      <c r="A97" s="9" t="s">
        <v>220</v>
      </c>
      <c r="B97" s="8">
        <v>12</v>
      </c>
      <c r="C97" s="8" t="s">
        <v>39</v>
      </c>
      <c r="D97" s="8" t="s">
        <v>36</v>
      </c>
      <c r="E97" s="34" t="s">
        <v>221</v>
      </c>
      <c r="F97" s="8">
        <v>89</v>
      </c>
      <c r="G97" s="8">
        <v>40.93</v>
      </c>
      <c r="H97" s="10">
        <v>28.27</v>
      </c>
      <c r="I97" s="21">
        <f t="shared" si="5"/>
        <v>34.394957983193279</v>
      </c>
      <c r="J97" s="21">
        <f t="shared" si="6"/>
        <v>25.160299999999996</v>
      </c>
      <c r="K97" s="21">
        <f t="shared" si="7"/>
        <v>9.2346579831932836</v>
      </c>
      <c r="L97" s="8">
        <f t="shared" si="8"/>
        <v>10.37602020583515</v>
      </c>
      <c r="M97" s="30" t="str">
        <f t="shared" si="9"/>
        <v>February</v>
      </c>
    </row>
    <row r="98" spans="1:13">
      <c r="A98" s="9" t="s">
        <v>222</v>
      </c>
      <c r="B98" s="8">
        <v>12</v>
      </c>
      <c r="C98" s="8" t="s">
        <v>39</v>
      </c>
      <c r="D98" s="8" t="s">
        <v>46</v>
      </c>
      <c r="E98" s="37">
        <v>45404</v>
      </c>
      <c r="F98" s="8">
        <v>85</v>
      </c>
      <c r="G98" s="8">
        <v>38.65</v>
      </c>
      <c r="H98" s="10">
        <v>30.59</v>
      </c>
      <c r="I98" s="21">
        <f t="shared" si="5"/>
        <v>32.478991596638657</v>
      </c>
      <c r="J98" s="21">
        <f t="shared" si="6"/>
        <v>26.0015</v>
      </c>
      <c r="K98" s="21">
        <f t="shared" si="7"/>
        <v>6.4774915966386573</v>
      </c>
      <c r="L98" s="8">
        <f t="shared" si="8"/>
        <v>7.6205783489866548</v>
      </c>
      <c r="M98" s="30" t="str">
        <f t="shared" si="9"/>
        <v>May</v>
      </c>
    </row>
    <row r="99" spans="1:13">
      <c r="A99" s="9" t="s">
        <v>224</v>
      </c>
      <c r="B99" s="8">
        <v>12</v>
      </c>
      <c r="C99" s="8" t="s">
        <v>51</v>
      </c>
      <c r="D99" s="8" t="s">
        <v>56</v>
      </c>
      <c r="E99" s="37">
        <v>45448</v>
      </c>
      <c r="F99" s="8">
        <v>378</v>
      </c>
      <c r="G99" s="8">
        <v>122.25</v>
      </c>
      <c r="H99" s="10">
        <v>18.87</v>
      </c>
      <c r="I99" s="21">
        <f t="shared" si="5"/>
        <v>102.73109243697479</v>
      </c>
      <c r="J99" s="21">
        <f t="shared" si="6"/>
        <v>71.328600000000009</v>
      </c>
      <c r="K99" s="21">
        <f t="shared" si="7"/>
        <v>31.402492436974782</v>
      </c>
      <c r="L99" s="8">
        <f t="shared" si="8"/>
        <v>8.30753768173936</v>
      </c>
      <c r="M99" s="30" t="str">
        <f t="shared" si="9"/>
        <v>January</v>
      </c>
    </row>
    <row r="100" spans="1:13">
      <c r="A100" s="9" t="s">
        <v>226</v>
      </c>
      <c r="B100" s="8">
        <v>12</v>
      </c>
      <c r="C100" s="8" t="s">
        <v>39</v>
      </c>
      <c r="D100" s="8" t="s">
        <v>56</v>
      </c>
      <c r="E100" s="34">
        <v>45632</v>
      </c>
      <c r="F100" s="8">
        <v>164</v>
      </c>
      <c r="G100" s="8">
        <v>66.08</v>
      </c>
      <c r="H100" s="10">
        <v>31.5</v>
      </c>
      <c r="I100" s="21">
        <f t="shared" si="5"/>
        <v>55.529411764705884</v>
      </c>
      <c r="J100" s="21">
        <f t="shared" si="6"/>
        <v>51.66</v>
      </c>
      <c r="K100" s="21">
        <f t="shared" si="7"/>
        <v>3.8694117647058874</v>
      </c>
      <c r="L100" s="8">
        <f t="shared" si="8"/>
        <v>2.3593974175035899</v>
      </c>
      <c r="M100" s="30" t="str">
        <f t="shared" si="9"/>
        <v>September</v>
      </c>
    </row>
    <row r="101" spans="1:13">
      <c r="A101" s="9" t="s">
        <v>227</v>
      </c>
      <c r="B101" s="8">
        <v>12</v>
      </c>
      <c r="C101" s="8" t="s">
        <v>39</v>
      </c>
      <c r="D101" s="8" t="s">
        <v>36</v>
      </c>
      <c r="E101" s="34">
        <v>45872</v>
      </c>
      <c r="F101" s="8">
        <v>129</v>
      </c>
      <c r="G101" s="8">
        <v>57.02</v>
      </c>
      <c r="H101" s="10">
        <v>31.22</v>
      </c>
      <c r="I101" s="21">
        <f t="shared" si="5"/>
        <v>47.915966386554629</v>
      </c>
      <c r="J101" s="21">
        <f t="shared" si="6"/>
        <v>40.273799999999994</v>
      </c>
      <c r="K101" s="21">
        <f t="shared" si="7"/>
        <v>7.642166386554635</v>
      </c>
      <c r="L101" s="8">
        <f t="shared" si="8"/>
        <v>5.9241599895772366</v>
      </c>
      <c r="M101" s="30" t="str">
        <f t="shared" si="9"/>
        <v>January</v>
      </c>
    </row>
    <row r="102" spans="1:13">
      <c r="A102" s="9" t="s">
        <v>228</v>
      </c>
      <c r="B102" s="8">
        <v>12</v>
      </c>
      <c r="C102" s="8" t="s">
        <v>39</v>
      </c>
      <c r="D102" s="8" t="s">
        <v>56</v>
      </c>
      <c r="E102" s="34">
        <v>45446</v>
      </c>
      <c r="F102" s="8">
        <v>164</v>
      </c>
      <c r="G102" s="8">
        <v>67.91</v>
      </c>
      <c r="H102" s="10">
        <v>29.73</v>
      </c>
      <c r="I102" s="21">
        <f t="shared" si="5"/>
        <v>57.067226890756302</v>
      </c>
      <c r="J102" s="21">
        <f t="shared" si="6"/>
        <v>48.757200000000005</v>
      </c>
      <c r="K102" s="21">
        <f t="shared" si="7"/>
        <v>8.3100268907562977</v>
      </c>
      <c r="L102" s="8">
        <f t="shared" si="8"/>
        <v>5.0670895675343282</v>
      </c>
      <c r="M102" s="30" t="str">
        <f t="shared" si="9"/>
        <v>November</v>
      </c>
    </row>
    <row r="103" spans="1:13">
      <c r="A103" s="9" t="s">
        <v>230</v>
      </c>
      <c r="B103" s="8">
        <v>24</v>
      </c>
      <c r="C103" s="8" t="s">
        <v>39</v>
      </c>
      <c r="D103" s="8" t="s">
        <v>46</v>
      </c>
      <c r="E103" s="34" t="s">
        <v>231</v>
      </c>
      <c r="F103" s="8">
        <v>119</v>
      </c>
      <c r="G103" s="8">
        <v>53.4</v>
      </c>
      <c r="H103" s="10">
        <v>31.99</v>
      </c>
      <c r="I103" s="21">
        <f t="shared" si="5"/>
        <v>44.873949579831937</v>
      </c>
      <c r="J103" s="21">
        <f t="shared" si="6"/>
        <v>38.068100000000001</v>
      </c>
      <c r="K103" s="21">
        <f t="shared" si="7"/>
        <v>6.8058495798319356</v>
      </c>
      <c r="L103" s="8">
        <f t="shared" si="8"/>
        <v>5.7192013275898619</v>
      </c>
      <c r="M103" s="30" t="str">
        <f t="shared" si="9"/>
        <v>January</v>
      </c>
    </row>
    <row r="104" spans="1:13">
      <c r="A104" s="9" t="s">
        <v>230</v>
      </c>
      <c r="B104" s="8">
        <v>12</v>
      </c>
      <c r="C104" s="8" t="s">
        <v>39</v>
      </c>
      <c r="D104" s="8" t="s">
        <v>46</v>
      </c>
      <c r="E104" s="34" t="s">
        <v>232</v>
      </c>
      <c r="F104" s="8">
        <v>109</v>
      </c>
      <c r="G104" s="8">
        <v>48.62</v>
      </c>
      <c r="H104" s="10">
        <v>30.24</v>
      </c>
      <c r="I104" s="21">
        <f t="shared" si="5"/>
        <v>40.857142857142854</v>
      </c>
      <c r="J104" s="21">
        <f t="shared" si="6"/>
        <v>32.961599999999997</v>
      </c>
      <c r="K104" s="21">
        <f t="shared" si="7"/>
        <v>7.895542857142857</v>
      </c>
      <c r="L104" s="8">
        <f t="shared" si="8"/>
        <v>7.2436173001310609</v>
      </c>
      <c r="M104" s="30" t="str">
        <f t="shared" si="9"/>
        <v>January</v>
      </c>
    </row>
    <row r="105" spans="1:13">
      <c r="A105" s="9" t="s">
        <v>233</v>
      </c>
      <c r="B105" s="8">
        <v>12</v>
      </c>
      <c r="C105" s="8" t="s">
        <v>35</v>
      </c>
      <c r="D105" s="8" t="s">
        <v>56</v>
      </c>
      <c r="E105" s="34" t="s">
        <v>234</v>
      </c>
      <c r="F105" s="8">
        <v>251</v>
      </c>
      <c r="G105" s="8">
        <v>91.69</v>
      </c>
      <c r="H105" s="10">
        <v>23.28</v>
      </c>
      <c r="I105" s="21">
        <f t="shared" si="5"/>
        <v>77.050420168067234</v>
      </c>
      <c r="J105" s="21">
        <f t="shared" si="6"/>
        <v>58.432800000000007</v>
      </c>
      <c r="K105" s="21">
        <f t="shared" si="7"/>
        <v>18.617620168067226</v>
      </c>
      <c r="L105" s="8">
        <f t="shared" si="8"/>
        <v>7.4173785530148306</v>
      </c>
      <c r="M105" s="30" t="str">
        <f t="shared" si="9"/>
        <v>April</v>
      </c>
    </row>
    <row r="106" spans="1:13">
      <c r="A106" s="9" t="s">
        <v>235</v>
      </c>
      <c r="B106" s="8">
        <v>24</v>
      </c>
      <c r="C106" s="8" t="s">
        <v>35</v>
      </c>
      <c r="D106" s="8" t="s">
        <v>36</v>
      </c>
      <c r="E106" s="34" t="s">
        <v>236</v>
      </c>
      <c r="F106" s="8">
        <v>240</v>
      </c>
      <c r="G106" s="8">
        <v>93.58</v>
      </c>
      <c r="H106" s="10">
        <v>22.88</v>
      </c>
      <c r="I106" s="21">
        <f t="shared" si="5"/>
        <v>78.638655462184872</v>
      </c>
      <c r="J106" s="21">
        <f t="shared" si="6"/>
        <v>54.911999999999999</v>
      </c>
      <c r="K106" s="21">
        <f t="shared" si="7"/>
        <v>23.726655462184873</v>
      </c>
      <c r="L106" s="8">
        <f t="shared" si="8"/>
        <v>9.8861064425770309</v>
      </c>
      <c r="M106" s="30" t="str">
        <f t="shared" si="9"/>
        <v>June</v>
      </c>
    </row>
    <row r="107" spans="1:13">
      <c r="A107" s="9" t="s">
        <v>237</v>
      </c>
      <c r="B107" s="8">
        <v>12</v>
      </c>
      <c r="C107" s="8" t="s">
        <v>51</v>
      </c>
      <c r="D107" s="8" t="s">
        <v>36</v>
      </c>
      <c r="E107" s="34" t="s">
        <v>238</v>
      </c>
      <c r="F107" s="8">
        <v>368</v>
      </c>
      <c r="G107" s="8">
        <v>126.39</v>
      </c>
      <c r="H107" s="10">
        <v>18.25</v>
      </c>
      <c r="I107" s="21">
        <f t="shared" si="5"/>
        <v>106.21008403361346</v>
      </c>
      <c r="J107" s="21">
        <f t="shared" si="6"/>
        <v>67.16</v>
      </c>
      <c r="K107" s="21">
        <f t="shared" si="7"/>
        <v>39.050084033613459</v>
      </c>
      <c r="L107" s="8">
        <f t="shared" si="8"/>
        <v>10.611435878699309</v>
      </c>
      <c r="M107" s="30" t="str">
        <f t="shared" si="9"/>
        <v>September</v>
      </c>
    </row>
    <row r="108" spans="1:13">
      <c r="A108" s="9" t="s">
        <v>239</v>
      </c>
      <c r="B108" s="8">
        <v>12</v>
      </c>
      <c r="C108" s="8" t="s">
        <v>51</v>
      </c>
      <c r="D108" s="8" t="s">
        <v>56</v>
      </c>
      <c r="E108" s="34">
        <v>45627</v>
      </c>
      <c r="F108" s="8">
        <v>547</v>
      </c>
      <c r="G108" s="8">
        <v>192.47</v>
      </c>
      <c r="H108" s="10">
        <v>18.36</v>
      </c>
      <c r="I108" s="21">
        <f t="shared" si="5"/>
        <v>161.73949579831933</v>
      </c>
      <c r="J108" s="21">
        <f t="shared" si="6"/>
        <v>100.42919999999999</v>
      </c>
      <c r="K108" s="21">
        <f t="shared" si="7"/>
        <v>61.310295798319331</v>
      </c>
      <c r="L108" s="8">
        <f t="shared" si="8"/>
        <v>11.208463582873735</v>
      </c>
      <c r="M108" s="30" t="str">
        <f t="shared" si="9"/>
        <v>April</v>
      </c>
    </row>
    <row r="109" spans="1:13">
      <c r="A109" s="9" t="s">
        <v>241</v>
      </c>
      <c r="B109" s="8">
        <v>24</v>
      </c>
      <c r="C109" s="8" t="s">
        <v>39</v>
      </c>
      <c r="D109" s="8" t="s">
        <v>36</v>
      </c>
      <c r="E109" s="34" t="s">
        <v>242</v>
      </c>
      <c r="F109" s="8">
        <v>101</v>
      </c>
      <c r="G109" s="8">
        <v>44.36</v>
      </c>
      <c r="H109" s="10">
        <v>28.27</v>
      </c>
      <c r="I109" s="21">
        <f t="shared" si="5"/>
        <v>37.27731092436975</v>
      </c>
      <c r="J109" s="21">
        <f t="shared" si="6"/>
        <v>28.552700000000002</v>
      </c>
      <c r="K109" s="21">
        <f t="shared" si="7"/>
        <v>8.7246109243697489</v>
      </c>
      <c r="L109" s="8">
        <f t="shared" si="8"/>
        <v>8.638228637989851</v>
      </c>
      <c r="M109" s="30" t="str">
        <f t="shared" si="9"/>
        <v>April</v>
      </c>
    </row>
    <row r="110" spans="1:13">
      <c r="A110" s="9" t="s">
        <v>243</v>
      </c>
      <c r="B110" s="8">
        <v>12</v>
      </c>
      <c r="C110" s="8" t="s">
        <v>39</v>
      </c>
      <c r="D110" s="8" t="s">
        <v>56</v>
      </c>
      <c r="E110" s="34" t="s">
        <v>153</v>
      </c>
      <c r="F110" s="8">
        <v>135</v>
      </c>
      <c r="G110" s="8">
        <v>62.33</v>
      </c>
      <c r="H110" s="10">
        <v>29.48</v>
      </c>
      <c r="I110" s="21">
        <f t="shared" si="5"/>
        <v>52.378151260504204</v>
      </c>
      <c r="J110" s="21">
        <f t="shared" si="6"/>
        <v>39.798000000000002</v>
      </c>
      <c r="K110" s="21">
        <f t="shared" si="7"/>
        <v>12.580151260504202</v>
      </c>
      <c r="L110" s="8">
        <f t="shared" si="8"/>
        <v>9.3186305633364448</v>
      </c>
      <c r="M110" s="30" t="str">
        <f t="shared" si="9"/>
        <v>September</v>
      </c>
    </row>
    <row r="111" spans="1:13">
      <c r="A111" s="9" t="s">
        <v>244</v>
      </c>
      <c r="B111" s="8">
        <v>12</v>
      </c>
      <c r="C111" s="8" t="s">
        <v>35</v>
      </c>
      <c r="D111" s="8" t="s">
        <v>56</v>
      </c>
      <c r="E111" s="34" t="s">
        <v>88</v>
      </c>
      <c r="F111" s="8">
        <v>275</v>
      </c>
      <c r="G111" s="8">
        <v>104.48</v>
      </c>
      <c r="H111" s="10">
        <v>23.86</v>
      </c>
      <c r="I111" s="21">
        <f t="shared" si="5"/>
        <v>87.798319327731093</v>
      </c>
      <c r="J111" s="21">
        <f t="shared" si="6"/>
        <v>65.614999999999995</v>
      </c>
      <c r="K111" s="21">
        <f t="shared" si="7"/>
        <v>22.183319327731098</v>
      </c>
      <c r="L111" s="8">
        <f t="shared" si="8"/>
        <v>8.066661573720399</v>
      </c>
      <c r="M111" s="30" t="str">
        <f t="shared" si="9"/>
        <v>December</v>
      </c>
    </row>
    <row r="112" spans="1:13">
      <c r="A112" s="9" t="s">
        <v>245</v>
      </c>
      <c r="B112" s="8">
        <v>12</v>
      </c>
      <c r="C112" s="8" t="s">
        <v>35</v>
      </c>
      <c r="D112" s="8" t="s">
        <v>36</v>
      </c>
      <c r="E112" s="34" t="s">
        <v>37</v>
      </c>
      <c r="F112" s="8">
        <v>192</v>
      </c>
      <c r="G112" s="8">
        <v>78.209999999999994</v>
      </c>
      <c r="H112" s="10">
        <v>24.89</v>
      </c>
      <c r="I112" s="21">
        <f t="shared" si="5"/>
        <v>65.722689075630257</v>
      </c>
      <c r="J112" s="21">
        <f t="shared" si="6"/>
        <v>47.788800000000002</v>
      </c>
      <c r="K112" s="21">
        <f t="shared" si="7"/>
        <v>17.933889075630255</v>
      </c>
      <c r="L112" s="8">
        <f t="shared" si="8"/>
        <v>9.3405672268907569</v>
      </c>
      <c r="M112" s="30" t="str">
        <f t="shared" si="9"/>
        <v>April</v>
      </c>
    </row>
    <row r="113" spans="1:13">
      <c r="A113" s="9" t="s">
        <v>246</v>
      </c>
      <c r="B113" s="8">
        <v>12</v>
      </c>
      <c r="C113" s="8" t="s">
        <v>39</v>
      </c>
      <c r="D113" s="8" t="s">
        <v>56</v>
      </c>
      <c r="E113" s="34" t="s">
        <v>120</v>
      </c>
      <c r="F113" s="8">
        <v>88</v>
      </c>
      <c r="G113" s="8">
        <v>43.12</v>
      </c>
      <c r="H113" s="10">
        <v>30.63</v>
      </c>
      <c r="I113" s="21">
        <f t="shared" si="5"/>
        <v>36.235294117647058</v>
      </c>
      <c r="J113" s="21">
        <f t="shared" si="6"/>
        <v>26.9544</v>
      </c>
      <c r="K113" s="21">
        <f t="shared" si="7"/>
        <v>9.2808941176470583</v>
      </c>
      <c r="L113" s="8">
        <f t="shared" si="8"/>
        <v>10.546470588235293</v>
      </c>
      <c r="M113" s="30" t="str">
        <f t="shared" si="9"/>
        <v>October</v>
      </c>
    </row>
    <row r="114" spans="1:13">
      <c r="A114" s="9" t="s">
        <v>247</v>
      </c>
      <c r="B114" s="8">
        <v>24</v>
      </c>
      <c r="C114" s="8" t="s">
        <v>35</v>
      </c>
      <c r="D114" s="8" t="s">
        <v>36</v>
      </c>
      <c r="E114" s="34" t="s">
        <v>248</v>
      </c>
      <c r="F114" s="8">
        <v>297</v>
      </c>
      <c r="G114" s="8">
        <v>108.11</v>
      </c>
      <c r="H114" s="10">
        <v>24.84</v>
      </c>
      <c r="I114" s="21">
        <f t="shared" si="5"/>
        <v>90.848739495798327</v>
      </c>
      <c r="J114" s="21">
        <f t="shared" si="6"/>
        <v>73.774799999999999</v>
      </c>
      <c r="K114" s="21">
        <f t="shared" si="7"/>
        <v>17.073939495798328</v>
      </c>
      <c r="L114" s="8">
        <f t="shared" si="8"/>
        <v>5.7488011770364746</v>
      </c>
      <c r="M114" s="30" t="str">
        <f t="shared" si="9"/>
        <v>March</v>
      </c>
    </row>
    <row r="115" spans="1:13">
      <c r="A115" s="9" t="s">
        <v>249</v>
      </c>
      <c r="B115" s="8">
        <v>24</v>
      </c>
      <c r="C115" s="8" t="s">
        <v>35</v>
      </c>
      <c r="D115" s="8" t="s">
        <v>36</v>
      </c>
      <c r="E115" s="34">
        <v>45571</v>
      </c>
      <c r="F115" s="8">
        <v>243</v>
      </c>
      <c r="G115" s="8">
        <v>89.4</v>
      </c>
      <c r="H115" s="10">
        <v>24.03</v>
      </c>
      <c r="I115" s="21">
        <f t="shared" si="5"/>
        <v>75.12605042016807</v>
      </c>
      <c r="J115" s="21">
        <f t="shared" si="6"/>
        <v>58.392899999999997</v>
      </c>
      <c r="K115" s="21">
        <f t="shared" si="7"/>
        <v>16.733150420168073</v>
      </c>
      <c r="L115" s="8">
        <f t="shared" si="8"/>
        <v>6.8860701317564086</v>
      </c>
      <c r="M115" s="30" t="str">
        <f t="shared" si="9"/>
        <v>December</v>
      </c>
    </row>
    <row r="116" spans="1:13">
      <c r="A116" s="9" t="s">
        <v>251</v>
      </c>
      <c r="B116" s="8">
        <v>24</v>
      </c>
      <c r="C116" s="8" t="s">
        <v>35</v>
      </c>
      <c r="D116" s="8" t="s">
        <v>46</v>
      </c>
      <c r="E116" s="34">
        <v>45904</v>
      </c>
      <c r="F116" s="8">
        <v>177</v>
      </c>
      <c r="G116" s="8">
        <v>70.86</v>
      </c>
      <c r="H116" s="10">
        <v>22.87</v>
      </c>
      <c r="I116" s="21">
        <f t="shared" si="5"/>
        <v>59.54621848739496</v>
      </c>
      <c r="J116" s="21">
        <f t="shared" si="6"/>
        <v>40.479900000000001</v>
      </c>
      <c r="K116" s="21">
        <f t="shared" si="7"/>
        <v>19.066318487394959</v>
      </c>
      <c r="L116" s="8">
        <f t="shared" si="8"/>
        <v>10.77193134881071</v>
      </c>
      <c r="M116" s="30" t="str">
        <f t="shared" si="9"/>
        <v>May</v>
      </c>
    </row>
    <row r="117" spans="1:13">
      <c r="A117" s="9" t="s">
        <v>252</v>
      </c>
      <c r="B117" s="8">
        <v>24</v>
      </c>
      <c r="C117" s="8" t="s">
        <v>35</v>
      </c>
      <c r="D117" s="8" t="s">
        <v>56</v>
      </c>
      <c r="E117" s="34">
        <v>45383</v>
      </c>
      <c r="F117" s="8">
        <v>332</v>
      </c>
      <c r="G117" s="8">
        <v>124.62</v>
      </c>
      <c r="H117" s="10">
        <v>24.65</v>
      </c>
      <c r="I117" s="21">
        <f t="shared" si="5"/>
        <v>104.72268907563026</v>
      </c>
      <c r="J117" s="21">
        <f t="shared" si="6"/>
        <v>81.837999999999994</v>
      </c>
      <c r="K117" s="21">
        <f t="shared" si="7"/>
        <v>22.884689075630263</v>
      </c>
      <c r="L117" s="8">
        <f t="shared" si="8"/>
        <v>6.8929786372380315</v>
      </c>
      <c r="M117" s="30" t="str">
        <f t="shared" si="9"/>
        <v>December</v>
      </c>
    </row>
    <row r="118" spans="1:13">
      <c r="A118" s="9" t="s">
        <v>254</v>
      </c>
      <c r="B118" s="8">
        <v>24</v>
      </c>
      <c r="C118" s="8" t="s">
        <v>39</v>
      </c>
      <c r="D118" s="8" t="s">
        <v>36</v>
      </c>
      <c r="E118" s="34" t="s">
        <v>204</v>
      </c>
      <c r="F118" s="8">
        <v>88</v>
      </c>
      <c r="G118" s="8">
        <v>43.24</v>
      </c>
      <c r="H118" s="10">
        <v>29.94</v>
      </c>
      <c r="I118" s="21">
        <f t="shared" si="5"/>
        <v>36.336134453781519</v>
      </c>
      <c r="J118" s="21">
        <f t="shared" si="6"/>
        <v>26.347200000000001</v>
      </c>
      <c r="K118" s="21">
        <f t="shared" si="7"/>
        <v>9.9889344537815177</v>
      </c>
      <c r="L118" s="8">
        <f t="shared" si="8"/>
        <v>11.351061879297179</v>
      </c>
      <c r="M118" s="30" t="str">
        <f t="shared" si="9"/>
        <v>September</v>
      </c>
    </row>
    <row r="119" spans="1:13">
      <c r="A119" s="9" t="s">
        <v>255</v>
      </c>
      <c r="B119" s="8">
        <v>12</v>
      </c>
      <c r="C119" s="8" t="s">
        <v>51</v>
      </c>
      <c r="D119" s="8" t="s">
        <v>36</v>
      </c>
      <c r="E119" s="34" t="s">
        <v>256</v>
      </c>
      <c r="F119" s="8">
        <v>565</v>
      </c>
      <c r="G119" s="8">
        <v>184.25</v>
      </c>
      <c r="H119" s="10">
        <v>18.53</v>
      </c>
      <c r="I119" s="21">
        <f t="shared" si="5"/>
        <v>154.83193277310926</v>
      </c>
      <c r="J119" s="21">
        <f t="shared" si="6"/>
        <v>104.69450000000001</v>
      </c>
      <c r="K119" s="21">
        <f t="shared" si="7"/>
        <v>50.137432773109254</v>
      </c>
      <c r="L119" s="8">
        <f t="shared" si="8"/>
        <v>8.8738819067449999</v>
      </c>
      <c r="M119" s="30" t="str">
        <f t="shared" si="9"/>
        <v>May</v>
      </c>
    </row>
    <row r="120" spans="1:13">
      <c r="A120" s="9" t="s">
        <v>257</v>
      </c>
      <c r="B120" s="8">
        <v>24</v>
      </c>
      <c r="C120" s="8" t="s">
        <v>51</v>
      </c>
      <c r="D120" s="8" t="s">
        <v>46</v>
      </c>
      <c r="E120" s="34">
        <v>45298</v>
      </c>
      <c r="F120" s="8">
        <v>662</v>
      </c>
      <c r="G120" s="8">
        <v>213.32</v>
      </c>
      <c r="H120" s="10">
        <v>20.52</v>
      </c>
      <c r="I120" s="21">
        <f t="shared" si="5"/>
        <v>179.26050420168067</v>
      </c>
      <c r="J120" s="21">
        <f t="shared" si="6"/>
        <v>135.8424</v>
      </c>
      <c r="K120" s="21">
        <f t="shared" si="7"/>
        <v>43.418104201680677</v>
      </c>
      <c r="L120" s="8">
        <f t="shared" si="8"/>
        <v>6.558626012338471</v>
      </c>
      <c r="M120" s="30" t="str">
        <f t="shared" si="9"/>
        <v>March</v>
      </c>
    </row>
    <row r="121" spans="1:13">
      <c r="A121" s="9" t="s">
        <v>259</v>
      </c>
      <c r="B121" s="8">
        <v>12</v>
      </c>
      <c r="C121" s="8" t="s">
        <v>39</v>
      </c>
      <c r="D121" s="8" t="s">
        <v>46</v>
      </c>
      <c r="E121" s="34">
        <v>45722</v>
      </c>
      <c r="F121" s="8">
        <v>103</v>
      </c>
      <c r="G121" s="8">
        <v>48.12</v>
      </c>
      <c r="H121" s="10">
        <v>31.09</v>
      </c>
      <c r="I121" s="21">
        <f t="shared" si="5"/>
        <v>40.436974789915965</v>
      </c>
      <c r="J121" s="21">
        <f t="shared" si="6"/>
        <v>32.0227</v>
      </c>
      <c r="K121" s="21">
        <f t="shared" si="7"/>
        <v>8.4142747899159644</v>
      </c>
      <c r="L121" s="8">
        <f t="shared" si="8"/>
        <v>8.1691988251611303</v>
      </c>
      <c r="M121" s="30" t="str">
        <f t="shared" si="9"/>
        <v>November</v>
      </c>
    </row>
    <row r="122" spans="1:13">
      <c r="A122" s="9" t="s">
        <v>261</v>
      </c>
      <c r="B122" s="8">
        <v>24</v>
      </c>
      <c r="C122" s="8" t="s">
        <v>51</v>
      </c>
      <c r="D122" s="8" t="s">
        <v>46</v>
      </c>
      <c r="E122" s="34" t="s">
        <v>262</v>
      </c>
      <c r="F122" s="8">
        <v>380</v>
      </c>
      <c r="G122" s="8">
        <v>131.24</v>
      </c>
      <c r="H122" s="10">
        <v>19.239999999999998</v>
      </c>
      <c r="I122" s="21">
        <f t="shared" si="5"/>
        <v>110.28571428571429</v>
      </c>
      <c r="J122" s="21">
        <f t="shared" si="6"/>
        <v>73.111999999999995</v>
      </c>
      <c r="K122" s="21">
        <f t="shared" si="7"/>
        <v>37.173714285714297</v>
      </c>
      <c r="L122" s="8">
        <f t="shared" si="8"/>
        <v>9.7825563909774473</v>
      </c>
      <c r="M122" s="30" t="str">
        <f t="shared" si="9"/>
        <v>April</v>
      </c>
    </row>
    <row r="123" spans="1:13">
      <c r="A123" s="9" t="s">
        <v>263</v>
      </c>
      <c r="B123" s="8">
        <v>24</v>
      </c>
      <c r="C123" s="8" t="s">
        <v>35</v>
      </c>
      <c r="D123" s="8" t="s">
        <v>36</v>
      </c>
      <c r="E123" s="34">
        <v>45302</v>
      </c>
      <c r="F123" s="8">
        <v>187</v>
      </c>
      <c r="G123" s="8">
        <v>76.66</v>
      </c>
      <c r="H123" s="10">
        <v>22.27</v>
      </c>
      <c r="I123" s="21">
        <f t="shared" si="5"/>
        <v>64.420168067226896</v>
      </c>
      <c r="J123" s="21">
        <f t="shared" si="6"/>
        <v>41.6449</v>
      </c>
      <c r="K123" s="21">
        <f t="shared" si="7"/>
        <v>22.775268067226897</v>
      </c>
      <c r="L123" s="8">
        <f t="shared" si="8"/>
        <v>12.179287736484971</v>
      </c>
      <c r="M123" s="30" t="str">
        <f t="shared" si="9"/>
        <v>March</v>
      </c>
    </row>
    <row r="124" spans="1:13">
      <c r="A124" s="9" t="s">
        <v>265</v>
      </c>
      <c r="B124" s="8">
        <v>12</v>
      </c>
      <c r="C124" s="8" t="s">
        <v>51</v>
      </c>
      <c r="D124" s="8" t="s">
        <v>36</v>
      </c>
      <c r="E124" s="34">
        <v>45722</v>
      </c>
      <c r="F124" s="8">
        <v>434</v>
      </c>
      <c r="G124" s="8">
        <v>149.79</v>
      </c>
      <c r="H124" s="10">
        <v>20.329999999999998</v>
      </c>
      <c r="I124" s="21">
        <f t="shared" si="5"/>
        <v>125.87394957983193</v>
      </c>
      <c r="J124" s="21">
        <f t="shared" si="6"/>
        <v>88.232199999999992</v>
      </c>
      <c r="K124" s="21">
        <f t="shared" si="7"/>
        <v>37.641749579831938</v>
      </c>
      <c r="L124" s="8">
        <f t="shared" si="8"/>
        <v>8.673214188901369</v>
      </c>
      <c r="M124" s="30" t="str">
        <f t="shared" si="9"/>
        <v>November</v>
      </c>
    </row>
    <row r="125" spans="1:13">
      <c r="A125" s="9" t="s">
        <v>266</v>
      </c>
      <c r="B125" s="8">
        <v>12</v>
      </c>
      <c r="C125" s="8" t="s">
        <v>51</v>
      </c>
      <c r="D125" s="8" t="s">
        <v>36</v>
      </c>
      <c r="E125" s="34" t="s">
        <v>267</v>
      </c>
      <c r="F125" s="8">
        <v>367</v>
      </c>
      <c r="G125" s="8">
        <v>132.4</v>
      </c>
      <c r="H125" s="10">
        <v>19.420000000000002</v>
      </c>
      <c r="I125" s="21">
        <f t="shared" si="5"/>
        <v>111.26050420168069</v>
      </c>
      <c r="J125" s="21">
        <f t="shared" si="6"/>
        <v>71.2714</v>
      </c>
      <c r="K125" s="21">
        <f t="shared" si="7"/>
        <v>39.989104201680689</v>
      </c>
      <c r="L125" s="8">
        <f t="shared" si="8"/>
        <v>10.896213678932067</v>
      </c>
      <c r="M125" s="30" t="str">
        <f t="shared" si="9"/>
        <v>July</v>
      </c>
    </row>
    <row r="126" spans="1:13">
      <c r="A126" s="9" t="s">
        <v>268</v>
      </c>
      <c r="B126" s="8">
        <v>12</v>
      </c>
      <c r="C126" s="8" t="s">
        <v>35</v>
      </c>
      <c r="D126" s="8" t="s">
        <v>56</v>
      </c>
      <c r="E126" s="34">
        <v>45418</v>
      </c>
      <c r="F126" s="8">
        <v>282</v>
      </c>
      <c r="G126" s="8">
        <v>106.64</v>
      </c>
      <c r="H126" s="10">
        <v>27.13</v>
      </c>
      <c r="I126" s="21">
        <f t="shared" si="5"/>
        <v>89.613445378151269</v>
      </c>
      <c r="J126" s="21">
        <f t="shared" si="6"/>
        <v>76.506599999999992</v>
      </c>
      <c r="K126" s="21">
        <f t="shared" si="7"/>
        <v>13.106845378151277</v>
      </c>
      <c r="L126" s="8">
        <f t="shared" si="8"/>
        <v>4.6478175099827226</v>
      </c>
      <c r="M126" s="30" t="str">
        <f t="shared" si="9"/>
        <v>July</v>
      </c>
    </row>
    <row r="127" spans="1:13">
      <c r="A127" s="9" t="s">
        <v>270</v>
      </c>
      <c r="B127" s="8">
        <v>12</v>
      </c>
      <c r="C127" s="8" t="s">
        <v>39</v>
      </c>
      <c r="D127" s="8" t="s">
        <v>36</v>
      </c>
      <c r="E127" s="34" t="s">
        <v>271</v>
      </c>
      <c r="F127" s="8">
        <v>88</v>
      </c>
      <c r="G127" s="8">
        <v>42.26</v>
      </c>
      <c r="H127" s="10">
        <v>31.01</v>
      </c>
      <c r="I127" s="21">
        <f t="shared" si="5"/>
        <v>35.512605042016808</v>
      </c>
      <c r="J127" s="21">
        <f t="shared" si="6"/>
        <v>27.288800000000002</v>
      </c>
      <c r="K127" s="21">
        <f t="shared" si="7"/>
        <v>8.2238050420168065</v>
      </c>
      <c r="L127" s="8">
        <f t="shared" si="8"/>
        <v>9.3452330022918257</v>
      </c>
      <c r="M127" s="30" t="str">
        <f t="shared" si="9"/>
        <v>January</v>
      </c>
    </row>
    <row r="128" spans="1:13">
      <c r="A128" s="9" t="s">
        <v>272</v>
      </c>
      <c r="B128" s="8">
        <v>24</v>
      </c>
      <c r="C128" s="8" t="s">
        <v>39</v>
      </c>
      <c r="D128" s="8" t="s">
        <v>36</v>
      </c>
      <c r="E128" s="34" t="s">
        <v>273</v>
      </c>
      <c r="F128" s="8">
        <v>126</v>
      </c>
      <c r="G128" s="8">
        <v>56.7</v>
      </c>
      <c r="H128" s="10">
        <v>33.21</v>
      </c>
      <c r="I128" s="21">
        <f t="shared" si="5"/>
        <v>47.647058823529413</v>
      </c>
      <c r="J128" s="21">
        <f t="shared" si="6"/>
        <v>41.8446</v>
      </c>
      <c r="K128" s="21">
        <f t="shared" si="7"/>
        <v>5.8024588235294132</v>
      </c>
      <c r="L128" s="8">
        <f t="shared" si="8"/>
        <v>4.6051260504201688</v>
      </c>
      <c r="M128" s="30" t="str">
        <f t="shared" si="9"/>
        <v>June</v>
      </c>
    </row>
    <row r="129" spans="1:13">
      <c r="A129" s="9" t="s">
        <v>274</v>
      </c>
      <c r="B129" s="8">
        <v>24</v>
      </c>
      <c r="C129" s="8" t="s">
        <v>35</v>
      </c>
      <c r="D129" s="8" t="s">
        <v>56</v>
      </c>
      <c r="E129" s="34" t="s">
        <v>275</v>
      </c>
      <c r="F129" s="8">
        <v>332</v>
      </c>
      <c r="G129" s="8">
        <v>128.66999999999999</v>
      </c>
      <c r="H129" s="10">
        <v>24.07</v>
      </c>
      <c r="I129" s="21">
        <f t="shared" si="5"/>
        <v>108.12605042016806</v>
      </c>
      <c r="J129" s="21">
        <f t="shared" si="6"/>
        <v>79.912399999999991</v>
      </c>
      <c r="K129" s="21">
        <f t="shared" si="7"/>
        <v>28.213650420168065</v>
      </c>
      <c r="L129" s="8">
        <f t="shared" si="8"/>
        <v>8.4980874759542377</v>
      </c>
      <c r="M129" s="30" t="str">
        <f t="shared" si="9"/>
        <v>June</v>
      </c>
    </row>
    <row r="130" spans="1:13">
      <c r="A130" s="9" t="s">
        <v>276</v>
      </c>
      <c r="B130" s="8">
        <v>12</v>
      </c>
      <c r="C130" s="8" t="s">
        <v>35</v>
      </c>
      <c r="D130" s="8" t="s">
        <v>36</v>
      </c>
      <c r="E130" s="34">
        <v>45292</v>
      </c>
      <c r="F130" s="8">
        <v>302</v>
      </c>
      <c r="G130" s="8">
        <v>111.53</v>
      </c>
      <c r="H130" s="10">
        <v>22.56</v>
      </c>
      <c r="I130" s="21">
        <f t="shared" ref="I130:I193" si="10">G130/1.19</f>
        <v>93.722689075630257</v>
      </c>
      <c r="J130" s="21">
        <f t="shared" ref="J130:J193" si="11">F130*H130/100</f>
        <v>68.131199999999993</v>
      </c>
      <c r="K130" s="21">
        <f t="shared" ref="K130:K193" si="12">I130-J130</f>
        <v>25.591489075630264</v>
      </c>
      <c r="L130" s="8">
        <f t="shared" ref="L130:L193" si="13">IF(F130=0,"",K130/F130*100)</f>
        <v>8.4740030051755841</v>
      </c>
      <c r="M130" s="30" t="str">
        <f t="shared" ref="M130:M193" si="14">TEXT(DATE(RIGHT(E130,4),MID(E130,4,2),LEFT(E130,2)),"mmmm")</f>
        <v>September</v>
      </c>
    </row>
    <row r="131" spans="1:13">
      <c r="A131" s="9" t="s">
        <v>278</v>
      </c>
      <c r="B131" s="8">
        <v>12</v>
      </c>
      <c r="C131" s="8" t="s">
        <v>39</v>
      </c>
      <c r="D131" s="8" t="s">
        <v>56</v>
      </c>
      <c r="E131" s="34" t="s">
        <v>279</v>
      </c>
      <c r="F131" s="8">
        <v>135</v>
      </c>
      <c r="G131" s="8">
        <v>58.78</v>
      </c>
      <c r="H131" s="10">
        <v>30.68</v>
      </c>
      <c r="I131" s="21">
        <f t="shared" si="10"/>
        <v>49.394957983193279</v>
      </c>
      <c r="J131" s="21">
        <f t="shared" si="11"/>
        <v>41.417999999999999</v>
      </c>
      <c r="K131" s="21">
        <f t="shared" si="12"/>
        <v>7.9769579831932802</v>
      </c>
      <c r="L131" s="8">
        <f t="shared" si="13"/>
        <v>5.9088577653283556</v>
      </c>
      <c r="M131" s="30" t="str">
        <f t="shared" si="14"/>
        <v>November</v>
      </c>
    </row>
    <row r="132" spans="1:13">
      <c r="A132" s="9" t="s">
        <v>280</v>
      </c>
      <c r="B132" s="8">
        <v>12</v>
      </c>
      <c r="C132" s="8" t="s">
        <v>39</v>
      </c>
      <c r="D132" s="8" t="s">
        <v>46</v>
      </c>
      <c r="E132" s="34" t="s">
        <v>281</v>
      </c>
      <c r="F132" s="8">
        <v>109</v>
      </c>
      <c r="G132" s="8">
        <v>48.82</v>
      </c>
      <c r="H132" s="10">
        <v>32.479999999999997</v>
      </c>
      <c r="I132" s="21">
        <f t="shared" si="10"/>
        <v>41.025210084033617</v>
      </c>
      <c r="J132" s="21">
        <f t="shared" si="11"/>
        <v>35.403199999999998</v>
      </c>
      <c r="K132" s="21">
        <f t="shared" si="12"/>
        <v>5.6220100840336187</v>
      </c>
      <c r="L132" s="8">
        <f t="shared" si="13"/>
        <v>5.1578074165446042</v>
      </c>
      <c r="M132" s="30" t="str">
        <f t="shared" si="14"/>
        <v>May</v>
      </c>
    </row>
    <row r="133" spans="1:13">
      <c r="A133" s="9" t="s">
        <v>282</v>
      </c>
      <c r="B133" s="8">
        <v>12</v>
      </c>
      <c r="C133" s="8" t="s">
        <v>51</v>
      </c>
      <c r="D133" s="8" t="s">
        <v>56</v>
      </c>
      <c r="E133" s="34" t="s">
        <v>283</v>
      </c>
      <c r="F133" s="8">
        <v>541</v>
      </c>
      <c r="G133" s="8">
        <v>173.18</v>
      </c>
      <c r="H133" s="10">
        <v>20.21</v>
      </c>
      <c r="I133" s="21">
        <f t="shared" si="10"/>
        <v>145.52941176470588</v>
      </c>
      <c r="J133" s="21">
        <f t="shared" si="11"/>
        <v>109.3361</v>
      </c>
      <c r="K133" s="21">
        <f t="shared" si="12"/>
        <v>36.193311764705882</v>
      </c>
      <c r="L133" s="8">
        <f t="shared" si="13"/>
        <v>6.6900761117755794</v>
      </c>
      <c r="M133" s="30" t="str">
        <f t="shared" si="14"/>
        <v>January</v>
      </c>
    </row>
    <row r="134" spans="1:13">
      <c r="A134" s="9" t="s">
        <v>284</v>
      </c>
      <c r="B134" s="8">
        <v>12</v>
      </c>
      <c r="C134" s="8" t="s">
        <v>51</v>
      </c>
      <c r="D134" s="8" t="s">
        <v>36</v>
      </c>
      <c r="E134" s="34" t="s">
        <v>37</v>
      </c>
      <c r="F134" s="8">
        <v>509</v>
      </c>
      <c r="G134" s="8">
        <v>174.55</v>
      </c>
      <c r="H134" s="10">
        <v>17.350000000000001</v>
      </c>
      <c r="I134" s="21">
        <f t="shared" si="10"/>
        <v>146.68067226890759</v>
      </c>
      <c r="J134" s="21">
        <f t="shared" si="11"/>
        <v>88.311500000000009</v>
      </c>
      <c r="K134" s="21">
        <f t="shared" si="12"/>
        <v>58.369172268907576</v>
      </c>
      <c r="L134" s="8">
        <f t="shared" si="13"/>
        <v>11.467420877977913</v>
      </c>
      <c r="M134" s="30" t="str">
        <f t="shared" si="14"/>
        <v>April</v>
      </c>
    </row>
    <row r="135" spans="1:13">
      <c r="A135" s="9" t="s">
        <v>285</v>
      </c>
      <c r="B135" s="8">
        <v>12</v>
      </c>
      <c r="C135" s="8" t="s">
        <v>35</v>
      </c>
      <c r="D135" s="8" t="s">
        <v>36</v>
      </c>
      <c r="E135" s="37">
        <v>45663</v>
      </c>
      <c r="F135" s="8">
        <v>238</v>
      </c>
      <c r="G135" s="8">
        <v>91.97</v>
      </c>
      <c r="H135" s="10">
        <v>22.78</v>
      </c>
      <c r="I135" s="21">
        <f t="shared" si="10"/>
        <v>77.285714285714292</v>
      </c>
      <c r="J135" s="21">
        <f t="shared" si="11"/>
        <v>54.2164</v>
      </c>
      <c r="K135" s="21">
        <f t="shared" si="12"/>
        <v>23.069314285714292</v>
      </c>
      <c r="L135" s="8">
        <f t="shared" si="13"/>
        <v>9.6929891956782743</v>
      </c>
      <c r="M135" s="30" t="str">
        <f t="shared" si="14"/>
        <v>April</v>
      </c>
    </row>
    <row r="136" spans="1:13">
      <c r="A136" s="9" t="s">
        <v>287</v>
      </c>
      <c r="B136" s="8">
        <v>24</v>
      </c>
      <c r="C136" s="8" t="s">
        <v>39</v>
      </c>
      <c r="D136" s="8" t="s">
        <v>46</v>
      </c>
      <c r="E136" s="34">
        <v>45576</v>
      </c>
      <c r="F136" s="8">
        <v>94</v>
      </c>
      <c r="G136" s="8">
        <v>45.16</v>
      </c>
      <c r="H136" s="10">
        <v>31.56</v>
      </c>
      <c r="I136" s="21">
        <f t="shared" si="10"/>
        <v>37.949579831932773</v>
      </c>
      <c r="J136" s="21">
        <f t="shared" si="11"/>
        <v>29.666399999999999</v>
      </c>
      <c r="K136" s="21">
        <f t="shared" si="12"/>
        <v>8.2831798319327739</v>
      </c>
      <c r="L136" s="8">
        <f t="shared" si="13"/>
        <v>8.8118934382263543</v>
      </c>
      <c r="M136" s="30" t="str">
        <f t="shared" si="14"/>
        <v>May</v>
      </c>
    </row>
    <row r="137" spans="1:13">
      <c r="A137" s="9" t="s">
        <v>289</v>
      </c>
      <c r="B137" s="8">
        <v>12</v>
      </c>
      <c r="C137" s="8" t="s">
        <v>39</v>
      </c>
      <c r="D137" s="8" t="s">
        <v>56</v>
      </c>
      <c r="E137" s="34">
        <v>45331</v>
      </c>
      <c r="F137" s="8">
        <v>158</v>
      </c>
      <c r="G137" s="8">
        <v>63.77</v>
      </c>
      <c r="H137" s="10">
        <v>31</v>
      </c>
      <c r="I137" s="21">
        <f t="shared" si="10"/>
        <v>53.588235294117652</v>
      </c>
      <c r="J137" s="21">
        <f t="shared" si="11"/>
        <v>48.98</v>
      </c>
      <c r="K137" s="21">
        <f t="shared" si="12"/>
        <v>4.6082352941176552</v>
      </c>
      <c r="L137" s="8">
        <f t="shared" si="13"/>
        <v>2.9166046165301616</v>
      </c>
      <c r="M137" s="30" t="str">
        <f t="shared" si="14"/>
        <v>August</v>
      </c>
    </row>
    <row r="138" spans="1:13">
      <c r="A138" s="9" t="s">
        <v>291</v>
      </c>
      <c r="B138" s="8">
        <v>12</v>
      </c>
      <c r="C138" s="8" t="s">
        <v>39</v>
      </c>
      <c r="D138" s="8" t="s">
        <v>46</v>
      </c>
      <c r="E138" s="34" t="s">
        <v>292</v>
      </c>
      <c r="F138" s="8">
        <v>121</v>
      </c>
      <c r="G138" s="8">
        <v>57.25</v>
      </c>
      <c r="H138" s="10">
        <v>31.63</v>
      </c>
      <c r="I138" s="21">
        <f t="shared" si="10"/>
        <v>48.109243697478995</v>
      </c>
      <c r="J138" s="21">
        <f t="shared" si="11"/>
        <v>38.272300000000001</v>
      </c>
      <c r="K138" s="21">
        <f t="shared" si="12"/>
        <v>9.8369436974789934</v>
      </c>
      <c r="L138" s="8">
        <f t="shared" si="13"/>
        <v>8.1297055351066057</v>
      </c>
      <c r="M138" s="30" t="str">
        <f t="shared" si="14"/>
        <v>February</v>
      </c>
    </row>
    <row r="139" spans="1:13">
      <c r="A139" s="9" t="s">
        <v>291</v>
      </c>
      <c r="B139" s="8">
        <v>24</v>
      </c>
      <c r="C139" s="8" t="s">
        <v>51</v>
      </c>
      <c r="D139" s="8" t="s">
        <v>36</v>
      </c>
      <c r="E139" s="37">
        <v>45538</v>
      </c>
      <c r="F139" s="8">
        <v>398</v>
      </c>
      <c r="G139" s="8">
        <v>135.22999999999999</v>
      </c>
      <c r="H139" s="10">
        <v>20.29</v>
      </c>
      <c r="I139" s="21">
        <f t="shared" si="10"/>
        <v>113.63865546218487</v>
      </c>
      <c r="J139" s="21">
        <f t="shared" si="11"/>
        <v>80.754199999999997</v>
      </c>
      <c r="K139" s="21">
        <f t="shared" si="12"/>
        <v>32.884455462184874</v>
      </c>
      <c r="L139" s="8">
        <f t="shared" si="13"/>
        <v>8.2624259955238379</v>
      </c>
      <c r="M139" s="30" t="str">
        <f t="shared" si="14"/>
        <v>March</v>
      </c>
    </row>
    <row r="140" spans="1:13">
      <c r="A140" s="9" t="s">
        <v>294</v>
      </c>
      <c r="B140" s="8">
        <v>12</v>
      </c>
      <c r="C140" s="8" t="s">
        <v>39</v>
      </c>
      <c r="D140" s="8" t="s">
        <v>46</v>
      </c>
      <c r="E140" s="34" t="s">
        <v>118</v>
      </c>
      <c r="F140" s="8">
        <v>114</v>
      </c>
      <c r="G140" s="8">
        <v>53.81</v>
      </c>
      <c r="H140" s="10">
        <v>30.39</v>
      </c>
      <c r="I140" s="21">
        <f t="shared" si="10"/>
        <v>45.21848739495799</v>
      </c>
      <c r="J140" s="21">
        <f t="shared" si="11"/>
        <v>34.644599999999997</v>
      </c>
      <c r="K140" s="21">
        <f t="shared" si="12"/>
        <v>10.573887394957993</v>
      </c>
      <c r="L140" s="8">
        <f t="shared" si="13"/>
        <v>9.2753398201385888</v>
      </c>
      <c r="M140" s="30" t="str">
        <f t="shared" si="14"/>
        <v>March</v>
      </c>
    </row>
    <row r="141" spans="1:13">
      <c r="A141" s="9" t="s">
        <v>295</v>
      </c>
      <c r="B141" s="8">
        <v>24</v>
      </c>
      <c r="C141" s="8" t="s">
        <v>35</v>
      </c>
      <c r="D141" s="8" t="s">
        <v>46</v>
      </c>
      <c r="E141" s="34" t="s">
        <v>296</v>
      </c>
      <c r="F141" s="8">
        <v>236</v>
      </c>
      <c r="G141" s="8">
        <v>93.8</v>
      </c>
      <c r="H141" s="10">
        <v>24.62</v>
      </c>
      <c r="I141" s="21">
        <f t="shared" si="10"/>
        <v>78.82352941176471</v>
      </c>
      <c r="J141" s="21">
        <f t="shared" si="11"/>
        <v>58.103200000000008</v>
      </c>
      <c r="K141" s="21">
        <f t="shared" si="12"/>
        <v>20.720329411764702</v>
      </c>
      <c r="L141" s="8">
        <f t="shared" si="13"/>
        <v>8.7798005982053819</v>
      </c>
      <c r="M141" s="30" t="str">
        <f t="shared" si="14"/>
        <v>March</v>
      </c>
    </row>
    <row r="142" spans="1:13">
      <c r="A142" s="9" t="s">
        <v>297</v>
      </c>
      <c r="B142" s="8">
        <v>24</v>
      </c>
      <c r="C142" s="8" t="s">
        <v>39</v>
      </c>
      <c r="D142" s="8" t="s">
        <v>46</v>
      </c>
      <c r="E142" s="34">
        <v>45996</v>
      </c>
      <c r="F142" s="8">
        <v>152</v>
      </c>
      <c r="G142" s="8">
        <v>63.83</v>
      </c>
      <c r="H142" s="10">
        <v>33.56</v>
      </c>
      <c r="I142" s="21">
        <f t="shared" si="10"/>
        <v>53.638655462184872</v>
      </c>
      <c r="J142" s="21">
        <f t="shared" si="11"/>
        <v>51.011200000000009</v>
      </c>
      <c r="K142" s="21">
        <f t="shared" si="12"/>
        <v>2.6274554621848623</v>
      </c>
      <c r="L142" s="8">
        <f t="shared" si="13"/>
        <v>1.7285891198584618</v>
      </c>
      <c r="M142" s="30" t="str">
        <f t="shared" si="14"/>
        <v>January</v>
      </c>
    </row>
    <row r="143" spans="1:13">
      <c r="A143" s="9" t="s">
        <v>299</v>
      </c>
      <c r="B143" s="8">
        <v>12</v>
      </c>
      <c r="C143" s="8" t="s">
        <v>35</v>
      </c>
      <c r="D143" s="8" t="s">
        <v>46</v>
      </c>
      <c r="E143" s="34">
        <v>45599</v>
      </c>
      <c r="F143" s="8">
        <v>289</v>
      </c>
      <c r="G143" s="8">
        <v>104.03</v>
      </c>
      <c r="H143" s="10">
        <v>24.32</v>
      </c>
      <c r="I143" s="21">
        <f t="shared" si="10"/>
        <v>87.420168067226896</v>
      </c>
      <c r="J143" s="21">
        <f t="shared" si="11"/>
        <v>70.284800000000004</v>
      </c>
      <c r="K143" s="21">
        <f t="shared" si="12"/>
        <v>17.135368067226892</v>
      </c>
      <c r="L143" s="8">
        <f t="shared" si="13"/>
        <v>5.9291931028466758</v>
      </c>
      <c r="M143" s="30" t="str">
        <f t="shared" si="14"/>
        <v>April</v>
      </c>
    </row>
    <row r="144" spans="1:13">
      <c r="A144" s="9" t="s">
        <v>301</v>
      </c>
      <c r="B144" s="8">
        <v>12</v>
      </c>
      <c r="C144" s="8" t="s">
        <v>35</v>
      </c>
      <c r="D144" s="8" t="s">
        <v>56</v>
      </c>
      <c r="E144" s="34" t="s">
        <v>302</v>
      </c>
      <c r="F144" s="8">
        <v>295</v>
      </c>
      <c r="G144" s="8">
        <v>107.47</v>
      </c>
      <c r="H144" s="10">
        <v>24.53</v>
      </c>
      <c r="I144" s="21">
        <f t="shared" si="10"/>
        <v>90.310924369747909</v>
      </c>
      <c r="J144" s="21">
        <f t="shared" si="11"/>
        <v>72.363500000000002</v>
      </c>
      <c r="K144" s="21">
        <f t="shared" si="12"/>
        <v>17.947424369747907</v>
      </c>
      <c r="L144" s="8">
        <f t="shared" si="13"/>
        <v>6.0838726677111552</v>
      </c>
      <c r="M144" s="30" t="str">
        <f t="shared" si="14"/>
        <v>June</v>
      </c>
    </row>
    <row r="145" spans="1:13">
      <c r="A145" s="9" t="s">
        <v>303</v>
      </c>
      <c r="B145" s="8">
        <v>12</v>
      </c>
      <c r="C145" s="8" t="s">
        <v>51</v>
      </c>
      <c r="D145" s="8" t="s">
        <v>46</v>
      </c>
      <c r="E145" s="34">
        <v>45509</v>
      </c>
      <c r="F145" s="8">
        <v>337</v>
      </c>
      <c r="G145" s="8">
        <v>119.39</v>
      </c>
      <c r="H145" s="10">
        <v>17.28</v>
      </c>
      <c r="I145" s="21">
        <f t="shared" si="10"/>
        <v>100.32773109243698</v>
      </c>
      <c r="J145" s="21">
        <f t="shared" si="11"/>
        <v>58.233600000000003</v>
      </c>
      <c r="K145" s="21">
        <f t="shared" si="12"/>
        <v>42.094131092436974</v>
      </c>
      <c r="L145" s="8">
        <f t="shared" si="13"/>
        <v>12.490840086776551</v>
      </c>
      <c r="M145" s="30" t="str">
        <f t="shared" si="14"/>
        <v>October</v>
      </c>
    </row>
    <row r="146" spans="1:13">
      <c r="A146" s="9" t="s">
        <v>305</v>
      </c>
      <c r="B146" s="8">
        <v>12</v>
      </c>
      <c r="C146" s="8" t="s">
        <v>39</v>
      </c>
      <c r="D146" s="8" t="s">
        <v>36</v>
      </c>
      <c r="E146" s="34">
        <v>45601</v>
      </c>
      <c r="F146" s="8">
        <v>118</v>
      </c>
      <c r="G146" s="8">
        <v>56.5</v>
      </c>
      <c r="H146" s="10">
        <v>29.9</v>
      </c>
      <c r="I146" s="21">
        <f t="shared" si="10"/>
        <v>47.478991596638657</v>
      </c>
      <c r="J146" s="21">
        <f t="shared" si="11"/>
        <v>35.281999999999996</v>
      </c>
      <c r="K146" s="21">
        <f t="shared" si="12"/>
        <v>12.196991596638661</v>
      </c>
      <c r="L146" s="8">
        <f t="shared" si="13"/>
        <v>10.336433556473441</v>
      </c>
      <c r="M146" s="30" t="str">
        <f t="shared" si="14"/>
        <v>February</v>
      </c>
    </row>
    <row r="147" spans="1:13">
      <c r="A147" s="9" t="s">
        <v>307</v>
      </c>
      <c r="B147" s="8">
        <v>12</v>
      </c>
      <c r="C147" s="8" t="s">
        <v>39</v>
      </c>
      <c r="D147" s="8" t="s">
        <v>36</v>
      </c>
      <c r="E147" s="34">
        <v>45662</v>
      </c>
      <c r="F147" s="8">
        <v>123</v>
      </c>
      <c r="G147" s="8">
        <v>57.97</v>
      </c>
      <c r="H147" s="10">
        <v>32.869999999999997</v>
      </c>
      <c r="I147" s="21">
        <f t="shared" si="10"/>
        <v>48.714285714285715</v>
      </c>
      <c r="J147" s="21">
        <f t="shared" si="11"/>
        <v>40.430099999999996</v>
      </c>
      <c r="K147" s="21">
        <f t="shared" si="12"/>
        <v>8.2841857142857194</v>
      </c>
      <c r="L147" s="8">
        <f t="shared" si="13"/>
        <v>6.7351103368176579</v>
      </c>
      <c r="M147" s="30" t="str">
        <f t="shared" si="14"/>
        <v>March</v>
      </c>
    </row>
    <row r="148" spans="1:13">
      <c r="A148" s="9" t="s">
        <v>309</v>
      </c>
      <c r="B148" s="8">
        <v>24</v>
      </c>
      <c r="C148" s="8" t="s">
        <v>39</v>
      </c>
      <c r="D148" s="8" t="s">
        <v>36</v>
      </c>
      <c r="E148" s="34" t="s">
        <v>310</v>
      </c>
      <c r="F148" s="8">
        <v>85</v>
      </c>
      <c r="G148" s="8">
        <v>40.98</v>
      </c>
      <c r="H148" s="10">
        <v>31.08</v>
      </c>
      <c r="I148" s="21">
        <f t="shared" si="10"/>
        <v>34.436974789915965</v>
      </c>
      <c r="J148" s="21">
        <f t="shared" si="11"/>
        <v>26.417999999999996</v>
      </c>
      <c r="K148" s="21">
        <f t="shared" si="12"/>
        <v>8.0189747899159691</v>
      </c>
      <c r="L148" s="8">
        <f t="shared" si="13"/>
        <v>9.4340879881364348</v>
      </c>
      <c r="M148" s="30" t="str">
        <f t="shared" si="14"/>
        <v>June</v>
      </c>
    </row>
    <row r="149" spans="1:13">
      <c r="A149" s="9" t="s">
        <v>311</v>
      </c>
      <c r="B149" s="8">
        <v>12</v>
      </c>
      <c r="C149" s="8" t="s">
        <v>51</v>
      </c>
      <c r="D149" s="8" t="s">
        <v>36</v>
      </c>
      <c r="E149" s="34" t="s">
        <v>199</v>
      </c>
      <c r="F149" s="8">
        <v>420</v>
      </c>
      <c r="G149" s="8">
        <v>141.49</v>
      </c>
      <c r="H149" s="10">
        <v>17.510000000000002</v>
      </c>
      <c r="I149" s="21">
        <f t="shared" si="10"/>
        <v>118.89915966386556</v>
      </c>
      <c r="J149" s="21">
        <f t="shared" si="11"/>
        <v>73.542000000000002</v>
      </c>
      <c r="K149" s="21">
        <f t="shared" si="12"/>
        <v>45.357159663865559</v>
      </c>
      <c r="L149" s="8">
        <f t="shared" si="13"/>
        <v>10.7993237294918</v>
      </c>
      <c r="M149" s="30" t="str">
        <f t="shared" si="14"/>
        <v>September</v>
      </c>
    </row>
    <row r="150" spans="1:13">
      <c r="A150" s="9" t="s">
        <v>312</v>
      </c>
      <c r="B150" s="8">
        <v>12</v>
      </c>
      <c r="C150" s="8" t="s">
        <v>51</v>
      </c>
      <c r="D150" s="8" t="s">
        <v>36</v>
      </c>
      <c r="E150" s="34" t="s">
        <v>313</v>
      </c>
      <c r="F150" s="8">
        <v>587</v>
      </c>
      <c r="G150" s="8">
        <v>199.76</v>
      </c>
      <c r="H150" s="10">
        <v>18.07</v>
      </c>
      <c r="I150" s="21">
        <f t="shared" si="10"/>
        <v>167.8655462184874</v>
      </c>
      <c r="J150" s="21">
        <f t="shared" si="11"/>
        <v>106.07089999999999</v>
      </c>
      <c r="K150" s="21">
        <f t="shared" si="12"/>
        <v>61.794646218487401</v>
      </c>
      <c r="L150" s="8">
        <f t="shared" si="13"/>
        <v>10.5271969707815</v>
      </c>
      <c r="M150" s="30" t="str">
        <f t="shared" si="14"/>
        <v>June</v>
      </c>
    </row>
    <row r="151" spans="1:13">
      <c r="A151" s="9" t="s">
        <v>314</v>
      </c>
      <c r="B151" s="8">
        <v>12</v>
      </c>
      <c r="C151" s="8" t="s">
        <v>35</v>
      </c>
      <c r="D151" s="8" t="s">
        <v>36</v>
      </c>
      <c r="E151" s="34">
        <v>45903</v>
      </c>
      <c r="F151" s="8">
        <v>190</v>
      </c>
      <c r="G151" s="8">
        <v>78.680000000000007</v>
      </c>
      <c r="H151" s="10">
        <v>22.97</v>
      </c>
      <c r="I151" s="21">
        <f t="shared" si="10"/>
        <v>66.117647058823536</v>
      </c>
      <c r="J151" s="21">
        <f t="shared" si="11"/>
        <v>43.643000000000001</v>
      </c>
      <c r="K151" s="21">
        <f t="shared" si="12"/>
        <v>22.474647058823535</v>
      </c>
      <c r="L151" s="8">
        <f t="shared" si="13"/>
        <v>11.828761609907124</v>
      </c>
      <c r="M151" s="30" t="str">
        <f t="shared" si="14"/>
        <v>April</v>
      </c>
    </row>
    <row r="152" spans="1:13">
      <c r="A152" s="9" t="s">
        <v>316</v>
      </c>
      <c r="B152" s="8">
        <v>24</v>
      </c>
      <c r="C152" s="8" t="s">
        <v>35</v>
      </c>
      <c r="D152" s="8" t="s">
        <v>36</v>
      </c>
      <c r="E152" s="34">
        <v>45390</v>
      </c>
      <c r="F152" s="8">
        <v>256</v>
      </c>
      <c r="G152" s="8">
        <v>94.69</v>
      </c>
      <c r="H152" s="10">
        <v>22.86</v>
      </c>
      <c r="I152" s="21">
        <f t="shared" si="10"/>
        <v>79.571428571428569</v>
      </c>
      <c r="J152" s="21">
        <f t="shared" si="11"/>
        <v>58.521599999999999</v>
      </c>
      <c r="K152" s="21">
        <f t="shared" si="12"/>
        <v>21.04982857142857</v>
      </c>
      <c r="L152" s="8">
        <f t="shared" si="13"/>
        <v>8.2225892857142853</v>
      </c>
      <c r="M152" s="30" t="str">
        <f t="shared" si="14"/>
        <v>July</v>
      </c>
    </row>
    <row r="153" spans="1:13">
      <c r="A153" s="9" t="s">
        <v>317</v>
      </c>
      <c r="B153" s="8">
        <v>12</v>
      </c>
      <c r="C153" s="8" t="s">
        <v>35</v>
      </c>
      <c r="D153" s="8" t="s">
        <v>36</v>
      </c>
      <c r="E153" s="37">
        <v>45497</v>
      </c>
      <c r="F153" s="8">
        <v>203</v>
      </c>
      <c r="G153" s="8">
        <v>73.69</v>
      </c>
      <c r="H153" s="10">
        <v>23.7</v>
      </c>
      <c r="I153" s="21">
        <f t="shared" si="10"/>
        <v>61.924369747899163</v>
      </c>
      <c r="J153" s="21">
        <f t="shared" si="11"/>
        <v>48.110999999999997</v>
      </c>
      <c r="K153" s="21">
        <f t="shared" si="12"/>
        <v>13.813369747899166</v>
      </c>
      <c r="L153" s="8">
        <f t="shared" si="13"/>
        <v>6.804615639359195</v>
      </c>
      <c r="M153" s="30" t="str">
        <f t="shared" si="14"/>
        <v>February</v>
      </c>
    </row>
    <row r="154" spans="1:13">
      <c r="A154" s="9" t="s">
        <v>319</v>
      </c>
      <c r="B154" s="8">
        <v>12</v>
      </c>
      <c r="C154" s="8" t="s">
        <v>39</v>
      </c>
      <c r="D154" s="8" t="s">
        <v>56</v>
      </c>
      <c r="E154" s="34" t="s">
        <v>320</v>
      </c>
      <c r="F154" s="8">
        <v>84</v>
      </c>
      <c r="G154" s="8">
        <v>41.56</v>
      </c>
      <c r="H154" s="10">
        <v>31.63</v>
      </c>
      <c r="I154" s="21">
        <f t="shared" si="10"/>
        <v>34.924369747899163</v>
      </c>
      <c r="J154" s="21">
        <f t="shared" si="11"/>
        <v>26.569200000000002</v>
      </c>
      <c r="K154" s="21">
        <f t="shared" si="12"/>
        <v>8.3551697478991613</v>
      </c>
      <c r="L154" s="8">
        <f t="shared" si="13"/>
        <v>9.9466306522609056</v>
      </c>
      <c r="M154" s="30" t="str">
        <f t="shared" si="14"/>
        <v>November</v>
      </c>
    </row>
    <row r="155" spans="1:13">
      <c r="A155" s="9" t="s">
        <v>321</v>
      </c>
      <c r="B155" s="8">
        <v>12</v>
      </c>
      <c r="C155" s="8" t="s">
        <v>51</v>
      </c>
      <c r="D155" s="8" t="s">
        <v>56</v>
      </c>
      <c r="E155" s="34">
        <v>45993</v>
      </c>
      <c r="F155" s="8">
        <v>414</v>
      </c>
      <c r="G155" s="8">
        <v>138.58000000000001</v>
      </c>
      <c r="H155" s="10">
        <v>19.04</v>
      </c>
      <c r="I155" s="21">
        <f t="shared" si="10"/>
        <v>116.45378151260506</v>
      </c>
      <c r="J155" s="21">
        <f t="shared" si="11"/>
        <v>78.825599999999994</v>
      </c>
      <c r="K155" s="21">
        <f t="shared" si="12"/>
        <v>37.628181512605067</v>
      </c>
      <c r="L155" s="8">
        <f t="shared" si="13"/>
        <v>9.0889327325133014</v>
      </c>
      <c r="M155" s="30" t="str">
        <f t="shared" si="14"/>
        <v>October</v>
      </c>
    </row>
    <row r="156" spans="1:13">
      <c r="A156" s="9" t="s">
        <v>322</v>
      </c>
      <c r="B156" s="8">
        <v>24</v>
      </c>
      <c r="C156" s="8" t="s">
        <v>35</v>
      </c>
      <c r="D156" s="8" t="s">
        <v>36</v>
      </c>
      <c r="E156" s="37">
        <v>45674</v>
      </c>
      <c r="F156" s="8">
        <v>329</v>
      </c>
      <c r="G156" s="8">
        <v>120.35</v>
      </c>
      <c r="H156" s="10">
        <v>22.75</v>
      </c>
      <c r="I156" s="21">
        <f t="shared" si="10"/>
        <v>101.1344537815126</v>
      </c>
      <c r="J156" s="21">
        <f t="shared" si="11"/>
        <v>74.847499999999997</v>
      </c>
      <c r="K156" s="21">
        <f t="shared" si="12"/>
        <v>26.286953781512608</v>
      </c>
      <c r="L156" s="8">
        <f t="shared" si="13"/>
        <v>7.989955556690763</v>
      </c>
      <c r="M156" s="30" t="str">
        <f t="shared" si="14"/>
        <v>March</v>
      </c>
    </row>
    <row r="157" spans="1:13">
      <c r="A157" s="9" t="s">
        <v>324</v>
      </c>
      <c r="B157" s="8">
        <v>12</v>
      </c>
      <c r="C157" s="8" t="s">
        <v>35</v>
      </c>
      <c r="D157" s="8" t="s">
        <v>56</v>
      </c>
      <c r="E157" s="37">
        <v>45740</v>
      </c>
      <c r="F157" s="8">
        <v>300</v>
      </c>
      <c r="G157" s="8">
        <v>107.87</v>
      </c>
      <c r="H157" s="10">
        <v>22.31</v>
      </c>
      <c r="I157" s="21">
        <f t="shared" si="10"/>
        <v>90.64705882352942</v>
      </c>
      <c r="J157" s="21">
        <f t="shared" si="11"/>
        <v>66.930000000000007</v>
      </c>
      <c r="K157" s="21">
        <f t="shared" si="12"/>
        <v>23.717058823529413</v>
      </c>
      <c r="L157" s="8">
        <f t="shared" si="13"/>
        <v>7.9056862745098044</v>
      </c>
      <c r="M157" s="30" t="str">
        <f t="shared" si="14"/>
        <v>May</v>
      </c>
    </row>
    <row r="158" spans="1:13">
      <c r="A158" s="9" t="s">
        <v>326</v>
      </c>
      <c r="B158" s="8">
        <v>24</v>
      </c>
      <c r="C158" s="8" t="s">
        <v>35</v>
      </c>
      <c r="D158" s="8" t="s">
        <v>36</v>
      </c>
      <c r="E158" s="34" t="s">
        <v>327</v>
      </c>
      <c r="F158" s="8">
        <v>326</v>
      </c>
      <c r="G158" s="8">
        <v>122.35</v>
      </c>
      <c r="H158" s="10">
        <v>24.78</v>
      </c>
      <c r="I158" s="21">
        <f t="shared" si="10"/>
        <v>102.81512605042016</v>
      </c>
      <c r="J158" s="21">
        <f t="shared" si="11"/>
        <v>80.782800000000009</v>
      </c>
      <c r="K158" s="21">
        <f t="shared" si="12"/>
        <v>22.032326050420153</v>
      </c>
      <c r="L158" s="8">
        <f t="shared" si="13"/>
        <v>6.7583822240552625</v>
      </c>
      <c r="M158" s="30" t="str">
        <f t="shared" si="14"/>
        <v>June</v>
      </c>
    </row>
    <row r="159" spans="1:13">
      <c r="A159" s="9" t="s">
        <v>328</v>
      </c>
      <c r="B159" s="8">
        <v>24</v>
      </c>
      <c r="C159" s="8" t="s">
        <v>39</v>
      </c>
      <c r="D159" s="8" t="s">
        <v>36</v>
      </c>
      <c r="E159" s="34">
        <v>45842</v>
      </c>
      <c r="F159" s="8">
        <v>124</v>
      </c>
      <c r="G159" s="8">
        <v>57.62</v>
      </c>
      <c r="H159" s="10">
        <v>29.53</v>
      </c>
      <c r="I159" s="21">
        <f t="shared" si="10"/>
        <v>48.420168067226889</v>
      </c>
      <c r="J159" s="21">
        <f t="shared" si="11"/>
        <v>36.617200000000004</v>
      </c>
      <c r="K159" s="21">
        <f t="shared" si="12"/>
        <v>11.802968067226885</v>
      </c>
      <c r="L159" s="8">
        <f t="shared" si="13"/>
        <v>9.5185226348603909</v>
      </c>
      <c r="M159" s="30" t="str">
        <f t="shared" si="14"/>
        <v>July</v>
      </c>
    </row>
    <row r="160" spans="1:13">
      <c r="A160" s="9" t="s">
        <v>330</v>
      </c>
      <c r="B160" s="8">
        <v>12</v>
      </c>
      <c r="C160" s="8" t="s">
        <v>39</v>
      </c>
      <c r="D160" s="8" t="s">
        <v>36</v>
      </c>
      <c r="E160" s="34">
        <v>45356</v>
      </c>
      <c r="F160" s="8">
        <v>92</v>
      </c>
      <c r="G160" s="8">
        <v>44.28</v>
      </c>
      <c r="H160" s="10">
        <v>31.29</v>
      </c>
      <c r="I160" s="21">
        <f t="shared" si="10"/>
        <v>37.210084033613448</v>
      </c>
      <c r="J160" s="21">
        <f t="shared" si="11"/>
        <v>28.786799999999999</v>
      </c>
      <c r="K160" s="21">
        <f t="shared" si="12"/>
        <v>8.4232840336134487</v>
      </c>
      <c r="L160" s="8">
        <f t="shared" si="13"/>
        <v>9.1557435147972264</v>
      </c>
      <c r="M160" s="30" t="str">
        <f t="shared" si="14"/>
        <v>September</v>
      </c>
    </row>
    <row r="161" spans="1:13">
      <c r="A161" s="9" t="s">
        <v>332</v>
      </c>
      <c r="B161" s="8">
        <v>24</v>
      </c>
      <c r="C161" s="8" t="s">
        <v>35</v>
      </c>
      <c r="D161" s="8" t="s">
        <v>36</v>
      </c>
      <c r="E161" s="34">
        <v>45574</v>
      </c>
      <c r="F161" s="8">
        <v>258</v>
      </c>
      <c r="G161" s="8">
        <v>101.2</v>
      </c>
      <c r="H161" s="10">
        <v>24.64</v>
      </c>
      <c r="I161" s="21">
        <f t="shared" si="10"/>
        <v>85.0420168067227</v>
      </c>
      <c r="J161" s="21">
        <f t="shared" si="11"/>
        <v>63.571199999999997</v>
      </c>
      <c r="K161" s="21">
        <f t="shared" si="12"/>
        <v>21.470816806722702</v>
      </c>
      <c r="L161" s="8">
        <f t="shared" si="13"/>
        <v>8.3220220181095748</v>
      </c>
      <c r="M161" s="30" t="str">
        <f t="shared" si="14"/>
        <v>March</v>
      </c>
    </row>
    <row r="162" spans="1:13">
      <c r="A162" s="9" t="s">
        <v>334</v>
      </c>
      <c r="B162" s="8">
        <v>12</v>
      </c>
      <c r="C162" s="8" t="s">
        <v>39</v>
      </c>
      <c r="D162" s="8" t="s">
        <v>46</v>
      </c>
      <c r="E162" s="34" t="s">
        <v>335</v>
      </c>
      <c r="F162" s="8">
        <v>121</v>
      </c>
      <c r="G162" s="8">
        <v>54.72</v>
      </c>
      <c r="H162" s="10">
        <v>31.18</v>
      </c>
      <c r="I162" s="21">
        <f t="shared" si="10"/>
        <v>45.983193277310924</v>
      </c>
      <c r="J162" s="21">
        <f t="shared" si="11"/>
        <v>37.727799999999995</v>
      </c>
      <c r="K162" s="21">
        <f t="shared" si="12"/>
        <v>8.2553932773109295</v>
      </c>
      <c r="L162" s="8">
        <f t="shared" si="13"/>
        <v>6.8226390721577932</v>
      </c>
      <c r="M162" s="30" t="str">
        <f t="shared" si="14"/>
        <v>August</v>
      </c>
    </row>
    <row r="163" spans="1:13">
      <c r="A163" s="9" t="s">
        <v>336</v>
      </c>
      <c r="B163" s="8">
        <v>24</v>
      </c>
      <c r="C163" s="8" t="s">
        <v>35</v>
      </c>
      <c r="D163" s="8" t="s">
        <v>46</v>
      </c>
      <c r="E163" s="34">
        <v>45446</v>
      </c>
      <c r="F163" s="8">
        <v>307</v>
      </c>
      <c r="G163" s="8">
        <v>110.15</v>
      </c>
      <c r="H163" s="10">
        <v>23.09</v>
      </c>
      <c r="I163" s="21">
        <f t="shared" si="10"/>
        <v>92.563025210084049</v>
      </c>
      <c r="J163" s="21">
        <f t="shared" si="11"/>
        <v>70.886300000000006</v>
      </c>
      <c r="K163" s="21">
        <f t="shared" si="12"/>
        <v>21.676725210084044</v>
      </c>
      <c r="L163" s="8">
        <f t="shared" si="13"/>
        <v>7.0608225440013177</v>
      </c>
      <c r="M163" s="30" t="str">
        <f t="shared" si="14"/>
        <v>November</v>
      </c>
    </row>
    <row r="164" spans="1:13">
      <c r="A164" s="9" t="s">
        <v>337</v>
      </c>
      <c r="B164" s="8">
        <v>24</v>
      </c>
      <c r="C164" s="8" t="s">
        <v>39</v>
      </c>
      <c r="D164" s="8" t="s">
        <v>36</v>
      </c>
      <c r="E164" s="34">
        <v>45638</v>
      </c>
      <c r="F164" s="8">
        <v>91</v>
      </c>
      <c r="G164" s="8">
        <v>43.09</v>
      </c>
      <c r="H164" s="10">
        <v>30.77</v>
      </c>
      <c r="I164" s="21">
        <f t="shared" si="10"/>
        <v>36.210084033613448</v>
      </c>
      <c r="J164" s="21">
        <f t="shared" si="11"/>
        <v>28.000700000000002</v>
      </c>
      <c r="K164" s="21">
        <f t="shared" si="12"/>
        <v>8.2093840336134463</v>
      </c>
      <c r="L164" s="8">
        <f t="shared" si="13"/>
        <v>9.0213011358389519</v>
      </c>
      <c r="M164" s="30" t="str">
        <f t="shared" si="14"/>
        <v>March</v>
      </c>
    </row>
    <row r="165" spans="1:13">
      <c r="A165" s="9" t="s">
        <v>339</v>
      </c>
      <c r="B165" s="8">
        <v>12</v>
      </c>
      <c r="C165" s="8" t="s">
        <v>35</v>
      </c>
      <c r="D165" s="8" t="s">
        <v>36</v>
      </c>
      <c r="E165" s="34" t="s">
        <v>340</v>
      </c>
      <c r="F165" s="8">
        <v>248</v>
      </c>
      <c r="G165" s="8">
        <v>94.65</v>
      </c>
      <c r="H165" s="10">
        <v>23.06</v>
      </c>
      <c r="I165" s="21">
        <f t="shared" si="10"/>
        <v>79.537815126050432</v>
      </c>
      <c r="J165" s="21">
        <f t="shared" si="11"/>
        <v>57.188800000000001</v>
      </c>
      <c r="K165" s="21">
        <f t="shared" si="12"/>
        <v>22.349015126050432</v>
      </c>
      <c r="L165" s="8">
        <f t="shared" si="13"/>
        <v>9.011699647600981</v>
      </c>
      <c r="M165" s="30" t="str">
        <f t="shared" si="14"/>
        <v>January</v>
      </c>
    </row>
    <row r="166" spans="1:13">
      <c r="A166" s="9" t="s">
        <v>341</v>
      </c>
      <c r="B166" s="8">
        <v>12</v>
      </c>
      <c r="C166" s="8" t="s">
        <v>39</v>
      </c>
      <c r="D166" s="8" t="s">
        <v>36</v>
      </c>
      <c r="E166" s="34" t="s">
        <v>342</v>
      </c>
      <c r="F166" s="8">
        <v>96</v>
      </c>
      <c r="G166" s="8">
        <v>45.74</v>
      </c>
      <c r="H166" s="10">
        <v>31.76</v>
      </c>
      <c r="I166" s="21">
        <f t="shared" si="10"/>
        <v>38.436974789915972</v>
      </c>
      <c r="J166" s="21">
        <f t="shared" si="11"/>
        <v>30.489599999999999</v>
      </c>
      <c r="K166" s="21">
        <f t="shared" si="12"/>
        <v>7.9473747899159726</v>
      </c>
      <c r="L166" s="8">
        <f t="shared" si="13"/>
        <v>8.2785154061624713</v>
      </c>
      <c r="M166" s="30" t="str">
        <f t="shared" si="14"/>
        <v>August</v>
      </c>
    </row>
    <row r="167" spans="1:13">
      <c r="A167" s="9" t="s">
        <v>343</v>
      </c>
      <c r="B167" s="8">
        <v>24</v>
      </c>
      <c r="C167" s="8" t="s">
        <v>35</v>
      </c>
      <c r="D167" s="8" t="s">
        <v>36</v>
      </c>
      <c r="E167" s="34" t="s">
        <v>77</v>
      </c>
      <c r="F167" s="8">
        <v>221</v>
      </c>
      <c r="G167" s="8">
        <v>84.59</v>
      </c>
      <c r="H167" s="10">
        <v>24.55</v>
      </c>
      <c r="I167" s="21">
        <f t="shared" si="10"/>
        <v>71.084033613445385</v>
      </c>
      <c r="J167" s="21">
        <f t="shared" si="11"/>
        <v>54.255500000000005</v>
      </c>
      <c r="K167" s="21">
        <f t="shared" si="12"/>
        <v>16.82853361344538</v>
      </c>
      <c r="L167" s="8">
        <f t="shared" si="13"/>
        <v>7.6147210920567323</v>
      </c>
      <c r="M167" s="30" t="str">
        <f t="shared" si="14"/>
        <v>August</v>
      </c>
    </row>
    <row r="168" spans="1:13">
      <c r="A168" s="9" t="s">
        <v>344</v>
      </c>
      <c r="B168" s="8">
        <v>12</v>
      </c>
      <c r="C168" s="8" t="s">
        <v>35</v>
      </c>
      <c r="D168" s="8" t="s">
        <v>36</v>
      </c>
      <c r="E168" s="34">
        <v>45505</v>
      </c>
      <c r="F168" s="8">
        <v>289</v>
      </c>
      <c r="G168" s="8">
        <v>107.87</v>
      </c>
      <c r="H168" s="10">
        <v>23.3</v>
      </c>
      <c r="I168" s="21">
        <f t="shared" si="10"/>
        <v>90.64705882352942</v>
      </c>
      <c r="J168" s="21">
        <f t="shared" si="11"/>
        <v>67.337000000000003</v>
      </c>
      <c r="K168" s="21">
        <f t="shared" si="12"/>
        <v>23.310058823529417</v>
      </c>
      <c r="L168" s="8">
        <f t="shared" si="13"/>
        <v>8.0657642987991061</v>
      </c>
      <c r="M168" s="30" t="str">
        <f t="shared" si="14"/>
        <v>June</v>
      </c>
    </row>
    <row r="169" spans="1:13">
      <c r="A169" s="9" t="s">
        <v>346</v>
      </c>
      <c r="B169" s="8">
        <v>12</v>
      </c>
      <c r="C169" s="8" t="s">
        <v>39</v>
      </c>
      <c r="D169" s="8" t="s">
        <v>36</v>
      </c>
      <c r="E169" s="34" t="s">
        <v>347</v>
      </c>
      <c r="F169" s="8">
        <v>123</v>
      </c>
      <c r="G169" s="8">
        <v>54.32</v>
      </c>
      <c r="H169" s="10">
        <v>29.08</v>
      </c>
      <c r="I169" s="21">
        <f t="shared" si="10"/>
        <v>45.647058823529413</v>
      </c>
      <c r="J169" s="21">
        <f t="shared" si="11"/>
        <v>35.7684</v>
      </c>
      <c r="K169" s="21">
        <f t="shared" si="12"/>
        <v>9.8786588235294133</v>
      </c>
      <c r="L169" s="8">
        <f t="shared" si="13"/>
        <v>8.0314299378287899</v>
      </c>
      <c r="M169" s="30" t="str">
        <f t="shared" si="14"/>
        <v>March</v>
      </c>
    </row>
    <row r="170" spans="1:13">
      <c r="A170" s="9" t="s">
        <v>348</v>
      </c>
      <c r="B170" s="8">
        <v>12</v>
      </c>
      <c r="C170" s="8" t="s">
        <v>35</v>
      </c>
      <c r="D170" s="8" t="s">
        <v>56</v>
      </c>
      <c r="E170" s="34">
        <v>45294</v>
      </c>
      <c r="F170" s="8">
        <v>229</v>
      </c>
      <c r="G170" s="8">
        <v>88.99</v>
      </c>
      <c r="H170" s="10">
        <v>22.76</v>
      </c>
      <c r="I170" s="21">
        <f t="shared" si="10"/>
        <v>74.78151260504201</v>
      </c>
      <c r="J170" s="21">
        <f t="shared" si="11"/>
        <v>52.120399999999997</v>
      </c>
      <c r="K170" s="21">
        <f t="shared" si="12"/>
        <v>22.661112605042014</v>
      </c>
      <c r="L170" s="8">
        <f t="shared" si="13"/>
        <v>9.8956823602803556</v>
      </c>
      <c r="M170" s="30" t="str">
        <f t="shared" si="14"/>
        <v>November</v>
      </c>
    </row>
    <row r="171" spans="1:13">
      <c r="A171" s="9" t="s">
        <v>348</v>
      </c>
      <c r="B171" s="8">
        <v>24</v>
      </c>
      <c r="C171" s="8" t="s">
        <v>35</v>
      </c>
      <c r="D171" s="8" t="s">
        <v>56</v>
      </c>
      <c r="E171" s="34" t="s">
        <v>174</v>
      </c>
      <c r="F171" s="8">
        <v>232</v>
      </c>
      <c r="G171" s="8">
        <v>87.06</v>
      </c>
      <c r="H171" s="10">
        <v>24.78</v>
      </c>
      <c r="I171" s="21">
        <f t="shared" si="10"/>
        <v>73.159663865546221</v>
      </c>
      <c r="J171" s="21">
        <f t="shared" si="11"/>
        <v>57.489600000000003</v>
      </c>
      <c r="K171" s="21">
        <f t="shared" si="12"/>
        <v>15.670063865546219</v>
      </c>
      <c r="L171" s="8">
        <f t="shared" si="13"/>
        <v>6.7543378730802672</v>
      </c>
      <c r="M171" s="30" t="str">
        <f t="shared" si="14"/>
        <v>August</v>
      </c>
    </row>
    <row r="172" spans="1:13">
      <c r="A172" s="9" t="s">
        <v>350</v>
      </c>
      <c r="B172" s="8">
        <v>24</v>
      </c>
      <c r="C172" s="8" t="s">
        <v>35</v>
      </c>
      <c r="D172" s="8" t="s">
        <v>36</v>
      </c>
      <c r="E172" s="34">
        <v>45568</v>
      </c>
      <c r="F172" s="8">
        <v>243</v>
      </c>
      <c r="G172" s="8">
        <v>91.49</v>
      </c>
      <c r="H172" s="10">
        <v>22.87</v>
      </c>
      <c r="I172" s="21">
        <f t="shared" si="10"/>
        <v>76.882352941176464</v>
      </c>
      <c r="J172" s="21">
        <f t="shared" si="11"/>
        <v>55.574100000000001</v>
      </c>
      <c r="K172" s="21">
        <f t="shared" si="12"/>
        <v>21.308252941176463</v>
      </c>
      <c r="L172" s="8">
        <f t="shared" si="13"/>
        <v>8.7688283708545125</v>
      </c>
      <c r="M172" s="30" t="str">
        <f t="shared" si="14"/>
        <v>September</v>
      </c>
    </row>
    <row r="173" spans="1:13">
      <c r="A173" s="9" t="s">
        <v>352</v>
      </c>
      <c r="B173" s="8">
        <v>12</v>
      </c>
      <c r="C173" s="8" t="s">
        <v>51</v>
      </c>
      <c r="D173" s="8" t="s">
        <v>56</v>
      </c>
      <c r="E173" s="34">
        <v>45324</v>
      </c>
      <c r="F173" s="8">
        <v>595</v>
      </c>
      <c r="G173" s="8">
        <v>208.29</v>
      </c>
      <c r="H173" s="10">
        <v>19.48</v>
      </c>
      <c r="I173" s="21">
        <f t="shared" si="10"/>
        <v>175.03361344537817</v>
      </c>
      <c r="J173" s="21">
        <f t="shared" si="11"/>
        <v>115.90600000000001</v>
      </c>
      <c r="K173" s="21">
        <f t="shared" si="12"/>
        <v>59.127613445378159</v>
      </c>
      <c r="L173" s="8">
        <f t="shared" si="13"/>
        <v>9.9374140244333038</v>
      </c>
      <c r="M173" s="30" t="str">
        <f t="shared" si="14"/>
        <v>January</v>
      </c>
    </row>
    <row r="174" spans="1:13">
      <c r="A174" s="9" t="s">
        <v>353</v>
      </c>
      <c r="B174" s="8">
        <v>12</v>
      </c>
      <c r="C174" s="8" t="s">
        <v>35</v>
      </c>
      <c r="D174" s="8" t="s">
        <v>36</v>
      </c>
      <c r="E174" s="34">
        <v>45394</v>
      </c>
      <c r="F174" s="8">
        <v>315</v>
      </c>
      <c r="G174" s="8">
        <v>116.37</v>
      </c>
      <c r="H174" s="10">
        <v>23.06</v>
      </c>
      <c r="I174" s="21">
        <f t="shared" si="10"/>
        <v>97.789915966386559</v>
      </c>
      <c r="J174" s="21">
        <f t="shared" si="11"/>
        <v>72.638999999999996</v>
      </c>
      <c r="K174" s="21">
        <f t="shared" si="12"/>
        <v>25.150915966386563</v>
      </c>
      <c r="L174" s="8">
        <f t="shared" si="13"/>
        <v>7.9844177671068453</v>
      </c>
      <c r="M174" s="30" t="str">
        <f t="shared" si="14"/>
        <v>November</v>
      </c>
    </row>
    <row r="175" spans="1:13">
      <c r="A175" s="9" t="s">
        <v>355</v>
      </c>
      <c r="B175" s="8">
        <v>12</v>
      </c>
      <c r="C175" s="8" t="s">
        <v>39</v>
      </c>
      <c r="D175" s="8" t="s">
        <v>36</v>
      </c>
      <c r="E175" s="34" t="s">
        <v>347</v>
      </c>
      <c r="F175" s="8">
        <v>163</v>
      </c>
      <c r="G175" s="8">
        <v>70.37</v>
      </c>
      <c r="H175" s="10">
        <v>30.65</v>
      </c>
      <c r="I175" s="21">
        <f t="shared" si="10"/>
        <v>59.134453781512612</v>
      </c>
      <c r="J175" s="21">
        <f t="shared" si="11"/>
        <v>49.959499999999998</v>
      </c>
      <c r="K175" s="21">
        <f t="shared" si="12"/>
        <v>9.1749537815126132</v>
      </c>
      <c r="L175" s="8">
        <f t="shared" si="13"/>
        <v>5.6288060009279839</v>
      </c>
      <c r="M175" s="30" t="str">
        <f t="shared" si="14"/>
        <v>March</v>
      </c>
    </row>
    <row r="176" spans="1:13">
      <c r="A176" s="9" t="s">
        <v>356</v>
      </c>
      <c r="B176" s="8">
        <v>24</v>
      </c>
      <c r="C176" s="8" t="s">
        <v>39</v>
      </c>
      <c r="D176" s="8" t="s">
        <v>36</v>
      </c>
      <c r="E176" s="34">
        <v>45936</v>
      </c>
      <c r="F176" s="8">
        <v>149</v>
      </c>
      <c r="G176" s="8">
        <v>65.05</v>
      </c>
      <c r="H176" s="10">
        <v>31.26</v>
      </c>
      <c r="I176" s="21">
        <f t="shared" si="10"/>
        <v>54.663865546218489</v>
      </c>
      <c r="J176" s="21">
        <f t="shared" si="11"/>
        <v>46.577399999999997</v>
      </c>
      <c r="K176" s="21">
        <f t="shared" si="12"/>
        <v>8.0864655462184913</v>
      </c>
      <c r="L176" s="8">
        <f t="shared" si="13"/>
        <v>5.4271580847103973</v>
      </c>
      <c r="M176" s="30" t="str">
        <f t="shared" si="14"/>
        <v>January</v>
      </c>
    </row>
    <row r="177" spans="1:13">
      <c r="A177" s="9" t="s">
        <v>358</v>
      </c>
      <c r="B177" s="8">
        <v>12</v>
      </c>
      <c r="C177" s="8" t="s">
        <v>39</v>
      </c>
      <c r="D177" s="8" t="s">
        <v>46</v>
      </c>
      <c r="E177" s="34" t="s">
        <v>359</v>
      </c>
      <c r="F177" s="8">
        <v>110</v>
      </c>
      <c r="G177" s="8">
        <v>52.03</v>
      </c>
      <c r="H177" s="10">
        <v>31.11</v>
      </c>
      <c r="I177" s="21">
        <f t="shared" si="10"/>
        <v>43.722689075630257</v>
      </c>
      <c r="J177" s="21">
        <f t="shared" si="11"/>
        <v>34.220999999999997</v>
      </c>
      <c r="K177" s="21">
        <f t="shared" si="12"/>
        <v>9.5016890756302601</v>
      </c>
      <c r="L177" s="8">
        <f t="shared" si="13"/>
        <v>8.6378991596638723</v>
      </c>
      <c r="M177" s="30" t="str">
        <f t="shared" si="14"/>
        <v>August</v>
      </c>
    </row>
    <row r="178" spans="1:13">
      <c r="A178" s="9" t="s">
        <v>360</v>
      </c>
      <c r="B178" s="8">
        <v>24</v>
      </c>
      <c r="C178" s="8" t="s">
        <v>35</v>
      </c>
      <c r="D178" s="8" t="s">
        <v>56</v>
      </c>
      <c r="E178" s="34">
        <v>45636</v>
      </c>
      <c r="F178" s="8">
        <v>281</v>
      </c>
      <c r="G178" s="8">
        <v>106.31</v>
      </c>
      <c r="H178" s="10">
        <v>25.04</v>
      </c>
      <c r="I178" s="21">
        <f t="shared" si="10"/>
        <v>89.336134453781511</v>
      </c>
      <c r="J178" s="21">
        <f t="shared" si="11"/>
        <v>70.362399999999994</v>
      </c>
      <c r="K178" s="21">
        <f t="shared" si="12"/>
        <v>18.973734453781518</v>
      </c>
      <c r="L178" s="8">
        <f t="shared" si="13"/>
        <v>6.7522186668261623</v>
      </c>
      <c r="M178" s="30" t="str">
        <f t="shared" si="14"/>
        <v>January</v>
      </c>
    </row>
    <row r="179" spans="1:13">
      <c r="A179" s="9" t="s">
        <v>362</v>
      </c>
      <c r="B179" s="8">
        <v>12</v>
      </c>
      <c r="C179" s="8" t="s">
        <v>39</v>
      </c>
      <c r="D179" s="8" t="s">
        <v>46</v>
      </c>
      <c r="E179" s="37">
        <v>45789</v>
      </c>
      <c r="F179" s="8">
        <v>120</v>
      </c>
      <c r="G179" s="8">
        <v>53.89</v>
      </c>
      <c r="H179" s="10">
        <v>30.75</v>
      </c>
      <c r="I179" s="21">
        <f t="shared" si="10"/>
        <v>45.285714285714285</v>
      </c>
      <c r="J179" s="21">
        <f t="shared" si="11"/>
        <v>36.9</v>
      </c>
      <c r="K179" s="21">
        <f t="shared" si="12"/>
        <v>8.3857142857142861</v>
      </c>
      <c r="L179" s="8">
        <f t="shared" si="13"/>
        <v>6.988095238095239</v>
      </c>
      <c r="M179" s="30" t="str">
        <f t="shared" si="14"/>
        <v>June</v>
      </c>
    </row>
    <row r="180" spans="1:13">
      <c r="A180" s="9" t="s">
        <v>364</v>
      </c>
      <c r="B180" s="8">
        <v>24</v>
      </c>
      <c r="C180" s="8" t="s">
        <v>35</v>
      </c>
      <c r="D180" s="8" t="s">
        <v>36</v>
      </c>
      <c r="E180" s="34">
        <v>45481</v>
      </c>
      <c r="F180" s="8">
        <v>209</v>
      </c>
      <c r="G180" s="8">
        <v>79.209999999999994</v>
      </c>
      <c r="H180" s="10">
        <v>22.35</v>
      </c>
      <c r="I180" s="21">
        <f t="shared" si="10"/>
        <v>66.563025210084035</v>
      </c>
      <c r="J180" s="21">
        <f t="shared" si="11"/>
        <v>46.711500000000008</v>
      </c>
      <c r="K180" s="21">
        <f t="shared" si="12"/>
        <v>19.851525210084027</v>
      </c>
      <c r="L180" s="8">
        <f t="shared" si="13"/>
        <v>9.4983374210928346</v>
      </c>
      <c r="M180" s="30" t="str">
        <f t="shared" si="14"/>
        <v>October</v>
      </c>
    </row>
    <row r="181" spans="1:13">
      <c r="A181" s="9" t="s">
        <v>366</v>
      </c>
      <c r="B181" s="8">
        <v>12</v>
      </c>
      <c r="C181" s="8" t="s">
        <v>35</v>
      </c>
      <c r="D181" s="8" t="s">
        <v>46</v>
      </c>
      <c r="E181" s="34" t="s">
        <v>367</v>
      </c>
      <c r="F181" s="8">
        <v>307</v>
      </c>
      <c r="G181" s="8">
        <v>109.75</v>
      </c>
      <c r="H181" s="10">
        <v>24.8</v>
      </c>
      <c r="I181" s="21">
        <f t="shared" si="10"/>
        <v>92.226890756302524</v>
      </c>
      <c r="J181" s="21">
        <f t="shared" si="11"/>
        <v>76.13600000000001</v>
      </c>
      <c r="K181" s="21">
        <f t="shared" si="12"/>
        <v>16.090890756302514</v>
      </c>
      <c r="L181" s="8">
        <f t="shared" si="13"/>
        <v>5.2413324939096135</v>
      </c>
      <c r="M181" s="30" t="str">
        <f t="shared" si="14"/>
        <v>May</v>
      </c>
    </row>
    <row r="182" spans="1:13">
      <c r="A182" s="9" t="s">
        <v>368</v>
      </c>
      <c r="B182" s="8">
        <v>12</v>
      </c>
      <c r="C182" s="8" t="s">
        <v>39</v>
      </c>
      <c r="D182" s="8" t="s">
        <v>36</v>
      </c>
      <c r="E182" s="34" t="s">
        <v>369</v>
      </c>
      <c r="F182" s="8">
        <v>86</v>
      </c>
      <c r="G182" s="8">
        <v>44.14</v>
      </c>
      <c r="H182" s="10">
        <v>29.47</v>
      </c>
      <c r="I182" s="21">
        <f t="shared" si="10"/>
        <v>37.092436974789919</v>
      </c>
      <c r="J182" s="21">
        <f t="shared" si="11"/>
        <v>25.344200000000001</v>
      </c>
      <c r="K182" s="21">
        <f t="shared" si="12"/>
        <v>11.748236974789918</v>
      </c>
      <c r="L182" s="8">
        <f t="shared" si="13"/>
        <v>13.660740668360372</v>
      </c>
      <c r="M182" s="30" t="str">
        <f t="shared" si="14"/>
        <v>April</v>
      </c>
    </row>
    <row r="183" spans="1:13">
      <c r="A183" s="9" t="s">
        <v>370</v>
      </c>
      <c r="B183" s="8">
        <v>12</v>
      </c>
      <c r="C183" s="8" t="s">
        <v>51</v>
      </c>
      <c r="D183" s="8" t="s">
        <v>56</v>
      </c>
      <c r="E183" s="34">
        <v>45421</v>
      </c>
      <c r="F183" s="8">
        <v>634</v>
      </c>
      <c r="G183" s="8">
        <v>210.82</v>
      </c>
      <c r="H183" s="10">
        <v>18.66</v>
      </c>
      <c r="I183" s="21">
        <f t="shared" si="10"/>
        <v>177.15966386554621</v>
      </c>
      <c r="J183" s="21">
        <f t="shared" si="11"/>
        <v>118.3044</v>
      </c>
      <c r="K183" s="21">
        <f t="shared" si="12"/>
        <v>58.855263865546206</v>
      </c>
      <c r="L183" s="8">
        <f t="shared" si="13"/>
        <v>9.2831646475624936</v>
      </c>
      <c r="M183" s="30" t="str">
        <f t="shared" si="14"/>
        <v>October</v>
      </c>
    </row>
    <row r="184" spans="1:13">
      <c r="A184" s="9" t="s">
        <v>372</v>
      </c>
      <c r="B184" s="8">
        <v>24</v>
      </c>
      <c r="C184" s="8" t="s">
        <v>39</v>
      </c>
      <c r="D184" s="8" t="s">
        <v>36</v>
      </c>
      <c r="E184" s="34" t="s">
        <v>369</v>
      </c>
      <c r="F184" s="8">
        <v>122</v>
      </c>
      <c r="G184" s="8">
        <v>56.23</v>
      </c>
      <c r="H184" s="10">
        <v>28.12</v>
      </c>
      <c r="I184" s="21">
        <f t="shared" si="10"/>
        <v>47.252100840336134</v>
      </c>
      <c r="J184" s="21">
        <f t="shared" si="11"/>
        <v>34.306400000000004</v>
      </c>
      <c r="K184" s="21">
        <f t="shared" si="12"/>
        <v>12.94570084033613</v>
      </c>
      <c r="L184" s="8">
        <f t="shared" si="13"/>
        <v>10.611230196996829</v>
      </c>
      <c r="M184" s="30" t="str">
        <f t="shared" si="14"/>
        <v>April</v>
      </c>
    </row>
    <row r="185" spans="1:13">
      <c r="A185" s="9" t="s">
        <v>373</v>
      </c>
      <c r="B185" s="8">
        <v>24</v>
      </c>
      <c r="C185" s="8" t="s">
        <v>39</v>
      </c>
      <c r="D185" s="8" t="s">
        <v>36</v>
      </c>
      <c r="E185" s="34" t="s">
        <v>374</v>
      </c>
      <c r="F185" s="8">
        <v>136</v>
      </c>
      <c r="G185" s="8">
        <v>60.54</v>
      </c>
      <c r="H185" s="10">
        <v>29.04</v>
      </c>
      <c r="I185" s="21">
        <f t="shared" si="10"/>
        <v>50.873949579831937</v>
      </c>
      <c r="J185" s="21">
        <f t="shared" si="11"/>
        <v>39.494399999999999</v>
      </c>
      <c r="K185" s="21">
        <f t="shared" si="12"/>
        <v>11.379549579831938</v>
      </c>
      <c r="L185" s="8">
        <f t="shared" si="13"/>
        <v>8.3673158675234838</v>
      </c>
      <c r="M185" s="30" t="str">
        <f t="shared" si="14"/>
        <v>February</v>
      </c>
    </row>
    <row r="186" spans="1:13">
      <c r="A186" s="9" t="s">
        <v>375</v>
      </c>
      <c r="B186" s="8">
        <v>12</v>
      </c>
      <c r="C186" s="8" t="s">
        <v>35</v>
      </c>
      <c r="D186" s="8" t="s">
        <v>46</v>
      </c>
      <c r="E186" s="34" t="s">
        <v>376</v>
      </c>
      <c r="F186" s="8">
        <v>276</v>
      </c>
      <c r="G186" s="8">
        <v>100.65</v>
      </c>
      <c r="H186" s="10">
        <v>22.13</v>
      </c>
      <c r="I186" s="21">
        <f t="shared" si="10"/>
        <v>84.579831932773118</v>
      </c>
      <c r="J186" s="21">
        <f t="shared" si="11"/>
        <v>61.078800000000001</v>
      </c>
      <c r="K186" s="21">
        <f t="shared" si="12"/>
        <v>23.501031932773117</v>
      </c>
      <c r="L186" s="8">
        <f t="shared" si="13"/>
        <v>8.5148666423090997</v>
      </c>
      <c r="M186" s="30" t="str">
        <f t="shared" si="14"/>
        <v>July</v>
      </c>
    </row>
    <row r="187" spans="1:13">
      <c r="A187" s="9" t="s">
        <v>377</v>
      </c>
      <c r="B187" s="8">
        <v>24</v>
      </c>
      <c r="C187" s="8" t="s">
        <v>35</v>
      </c>
      <c r="D187" s="8" t="s">
        <v>46</v>
      </c>
      <c r="E187" s="34">
        <v>45447</v>
      </c>
      <c r="F187" s="8">
        <v>316</v>
      </c>
      <c r="G187" s="8">
        <v>118.78</v>
      </c>
      <c r="H187" s="10">
        <v>25.52</v>
      </c>
      <c r="I187" s="21">
        <f t="shared" si="10"/>
        <v>99.815126050420176</v>
      </c>
      <c r="J187" s="21">
        <f t="shared" si="11"/>
        <v>80.643199999999993</v>
      </c>
      <c r="K187" s="21">
        <f t="shared" si="12"/>
        <v>19.171926050420183</v>
      </c>
      <c r="L187" s="8">
        <f t="shared" si="13"/>
        <v>6.0670652058291719</v>
      </c>
      <c r="M187" s="30" t="str">
        <f t="shared" si="14"/>
        <v>December</v>
      </c>
    </row>
    <row r="188" spans="1:13">
      <c r="A188" s="9" t="s">
        <v>379</v>
      </c>
      <c r="B188" s="8">
        <v>24</v>
      </c>
      <c r="C188" s="8" t="s">
        <v>35</v>
      </c>
      <c r="D188" s="8" t="s">
        <v>36</v>
      </c>
      <c r="E188" s="34">
        <v>45539</v>
      </c>
      <c r="F188" s="8">
        <v>273</v>
      </c>
      <c r="G188" s="8">
        <v>101.83</v>
      </c>
      <c r="H188" s="10">
        <v>22.97</v>
      </c>
      <c r="I188" s="21">
        <f t="shared" si="10"/>
        <v>85.571428571428569</v>
      </c>
      <c r="J188" s="21">
        <f t="shared" si="11"/>
        <v>62.708099999999995</v>
      </c>
      <c r="K188" s="21">
        <f t="shared" si="12"/>
        <v>22.863328571428575</v>
      </c>
      <c r="L188" s="8">
        <f t="shared" si="13"/>
        <v>8.3748456305599177</v>
      </c>
      <c r="M188" s="30" t="str">
        <f t="shared" si="14"/>
        <v>April</v>
      </c>
    </row>
    <row r="189" spans="1:13">
      <c r="A189" s="9" t="s">
        <v>380</v>
      </c>
      <c r="B189" s="8">
        <v>24</v>
      </c>
      <c r="C189" s="8" t="s">
        <v>35</v>
      </c>
      <c r="D189" s="8" t="s">
        <v>46</v>
      </c>
      <c r="E189" s="34" t="s">
        <v>381</v>
      </c>
      <c r="F189" s="8">
        <v>269</v>
      </c>
      <c r="G189" s="8">
        <v>104.34</v>
      </c>
      <c r="H189" s="10">
        <v>24.23</v>
      </c>
      <c r="I189" s="21">
        <f t="shared" si="10"/>
        <v>87.680672268907571</v>
      </c>
      <c r="J189" s="21">
        <f t="shared" si="11"/>
        <v>65.178699999999992</v>
      </c>
      <c r="K189" s="21">
        <f t="shared" si="12"/>
        <v>22.501972268907579</v>
      </c>
      <c r="L189" s="8">
        <f t="shared" si="13"/>
        <v>8.3650454531254947</v>
      </c>
      <c r="M189" s="30" t="str">
        <f t="shared" si="14"/>
        <v>March</v>
      </c>
    </row>
    <row r="190" spans="1:13">
      <c r="A190" s="9" t="s">
        <v>382</v>
      </c>
      <c r="B190" s="8">
        <v>12</v>
      </c>
      <c r="C190" s="8" t="s">
        <v>39</v>
      </c>
      <c r="D190" s="8" t="s">
        <v>36</v>
      </c>
      <c r="E190" s="34" t="s">
        <v>383</v>
      </c>
      <c r="F190" s="8">
        <v>89</v>
      </c>
      <c r="G190" s="8">
        <v>44.72</v>
      </c>
      <c r="H190" s="10">
        <v>28.16</v>
      </c>
      <c r="I190" s="21">
        <f t="shared" si="10"/>
        <v>37.579831932773111</v>
      </c>
      <c r="J190" s="21">
        <f t="shared" si="11"/>
        <v>25.062400000000004</v>
      </c>
      <c r="K190" s="21">
        <f t="shared" si="12"/>
        <v>12.517431932773107</v>
      </c>
      <c r="L190" s="8">
        <f t="shared" si="13"/>
        <v>14.064530261542817</v>
      </c>
      <c r="M190" s="30" t="str">
        <f t="shared" si="14"/>
        <v>December</v>
      </c>
    </row>
    <row r="191" spans="1:13">
      <c r="A191" s="9" t="s">
        <v>384</v>
      </c>
      <c r="B191" s="8">
        <v>12</v>
      </c>
      <c r="C191" s="8" t="s">
        <v>51</v>
      </c>
      <c r="D191" s="8" t="s">
        <v>46</v>
      </c>
      <c r="E191" s="37">
        <v>45725</v>
      </c>
      <c r="F191" s="8">
        <v>506</v>
      </c>
      <c r="G191" s="8">
        <v>173.39</v>
      </c>
      <c r="H191" s="10">
        <v>19.829999999999998</v>
      </c>
      <c r="I191" s="21">
        <f t="shared" si="10"/>
        <v>145.70588235294116</v>
      </c>
      <c r="J191" s="21">
        <f t="shared" si="11"/>
        <v>100.3398</v>
      </c>
      <c r="K191" s="21">
        <f t="shared" si="12"/>
        <v>45.366082352941163</v>
      </c>
      <c r="L191" s="8">
        <f t="shared" si="13"/>
        <v>8.9656289235061575</v>
      </c>
      <c r="M191" s="30" t="str">
        <f t="shared" si="14"/>
        <v>February</v>
      </c>
    </row>
    <row r="192" spans="1:13">
      <c r="A192" s="9" t="s">
        <v>386</v>
      </c>
      <c r="B192" s="8">
        <v>12</v>
      </c>
      <c r="C192" s="8" t="s">
        <v>51</v>
      </c>
      <c r="D192" s="8" t="s">
        <v>56</v>
      </c>
      <c r="E192" s="34" t="s">
        <v>387</v>
      </c>
      <c r="F192" s="8">
        <v>383</v>
      </c>
      <c r="G192" s="8">
        <v>136.19</v>
      </c>
      <c r="H192" s="10">
        <v>18.12</v>
      </c>
      <c r="I192" s="21">
        <f t="shared" si="10"/>
        <v>114.44537815126051</v>
      </c>
      <c r="J192" s="21">
        <f t="shared" si="11"/>
        <v>69.399600000000007</v>
      </c>
      <c r="K192" s="21">
        <f t="shared" si="12"/>
        <v>45.045778151260507</v>
      </c>
      <c r="L192" s="8">
        <f t="shared" si="13"/>
        <v>11.761299778396999</v>
      </c>
      <c r="M192" s="30" t="str">
        <f t="shared" si="14"/>
        <v>February</v>
      </c>
    </row>
    <row r="193" spans="1:13">
      <c r="A193" s="9" t="s">
        <v>388</v>
      </c>
      <c r="B193" s="8">
        <v>24</v>
      </c>
      <c r="C193" s="8" t="s">
        <v>35</v>
      </c>
      <c r="D193" s="8" t="s">
        <v>56</v>
      </c>
      <c r="E193" s="34" t="s">
        <v>389</v>
      </c>
      <c r="F193" s="8">
        <v>289</v>
      </c>
      <c r="G193" s="8">
        <v>114.25</v>
      </c>
      <c r="H193" s="10">
        <v>25.59</v>
      </c>
      <c r="I193" s="21">
        <f t="shared" si="10"/>
        <v>96.008403361344548</v>
      </c>
      <c r="J193" s="21">
        <f t="shared" si="11"/>
        <v>73.955100000000002</v>
      </c>
      <c r="K193" s="21">
        <f t="shared" si="12"/>
        <v>22.053303361344547</v>
      </c>
      <c r="L193" s="8">
        <f t="shared" si="13"/>
        <v>7.6309008170742381</v>
      </c>
      <c r="M193" s="30" t="str">
        <f t="shared" si="14"/>
        <v>April</v>
      </c>
    </row>
    <row r="194" spans="1:13">
      <c r="A194" s="9" t="s">
        <v>390</v>
      </c>
      <c r="B194" s="8">
        <v>24</v>
      </c>
      <c r="C194" s="8" t="s">
        <v>39</v>
      </c>
      <c r="D194" s="8" t="s">
        <v>46</v>
      </c>
      <c r="E194" s="34" t="s">
        <v>391</v>
      </c>
      <c r="F194" s="8">
        <v>126</v>
      </c>
      <c r="G194" s="8">
        <v>55.38</v>
      </c>
      <c r="H194" s="10">
        <v>31.55</v>
      </c>
      <c r="I194" s="21">
        <f t="shared" ref="I194:I257" si="15">G194/1.19</f>
        <v>46.537815126050425</v>
      </c>
      <c r="J194" s="21">
        <f t="shared" ref="J194:J257" si="16">F194*H194/100</f>
        <v>39.753</v>
      </c>
      <c r="K194" s="21">
        <f t="shared" ref="K194:K257" si="17">I194-J194</f>
        <v>6.7848151260504252</v>
      </c>
      <c r="L194" s="8">
        <f t="shared" ref="L194:L257" si="18">IF(F194=0,"",K194/F194*100)</f>
        <v>5.3847739095638296</v>
      </c>
      <c r="M194" s="30" t="str">
        <f t="shared" ref="M194:M257" si="19">TEXT(DATE(RIGHT(E194,4),MID(E194,4,2),LEFT(E194,2)),"mmmm")</f>
        <v>February</v>
      </c>
    </row>
    <row r="195" spans="1:13">
      <c r="A195" s="9" t="s">
        <v>392</v>
      </c>
      <c r="B195" s="8">
        <v>24</v>
      </c>
      <c r="C195" s="8" t="s">
        <v>35</v>
      </c>
      <c r="D195" s="8" t="s">
        <v>36</v>
      </c>
      <c r="E195" s="34">
        <v>45569</v>
      </c>
      <c r="F195" s="8">
        <v>280</v>
      </c>
      <c r="G195" s="8">
        <v>109.83</v>
      </c>
      <c r="H195" s="10">
        <v>23.3</v>
      </c>
      <c r="I195" s="21">
        <f t="shared" si="15"/>
        <v>92.294117647058826</v>
      </c>
      <c r="J195" s="21">
        <f t="shared" si="16"/>
        <v>65.239999999999995</v>
      </c>
      <c r="K195" s="21">
        <f t="shared" si="17"/>
        <v>27.054117647058831</v>
      </c>
      <c r="L195" s="8">
        <f t="shared" si="18"/>
        <v>9.6621848739495828</v>
      </c>
      <c r="M195" s="30" t="str">
        <f t="shared" si="19"/>
        <v>October</v>
      </c>
    </row>
    <row r="196" spans="1:13">
      <c r="A196" s="9" t="s">
        <v>394</v>
      </c>
      <c r="B196" s="8">
        <v>12</v>
      </c>
      <c r="C196" s="8" t="s">
        <v>35</v>
      </c>
      <c r="D196" s="8" t="s">
        <v>36</v>
      </c>
      <c r="E196" s="34">
        <v>45354</v>
      </c>
      <c r="F196" s="8">
        <v>174</v>
      </c>
      <c r="G196" s="8">
        <v>68.53</v>
      </c>
      <c r="H196" s="10">
        <v>25.6</v>
      </c>
      <c r="I196" s="21">
        <f t="shared" si="15"/>
        <v>57.588235294117652</v>
      </c>
      <c r="J196" s="21">
        <f t="shared" si="16"/>
        <v>44.544000000000004</v>
      </c>
      <c r="K196" s="21">
        <f t="shared" si="17"/>
        <v>13.044235294117648</v>
      </c>
      <c r="L196" s="8">
        <f t="shared" si="18"/>
        <v>7.496686950642327</v>
      </c>
      <c r="M196" s="30" t="str">
        <f t="shared" si="19"/>
        <v>July</v>
      </c>
    </row>
    <row r="197" spans="1:13">
      <c r="A197" s="9" t="s">
        <v>396</v>
      </c>
      <c r="B197" s="8">
        <v>12</v>
      </c>
      <c r="C197" s="8" t="s">
        <v>39</v>
      </c>
      <c r="D197" s="8" t="s">
        <v>46</v>
      </c>
      <c r="E197" s="34" t="s">
        <v>397</v>
      </c>
      <c r="F197" s="8">
        <v>90</v>
      </c>
      <c r="G197" s="8">
        <v>44.41</v>
      </c>
      <c r="H197" s="10">
        <v>31.98</v>
      </c>
      <c r="I197" s="21">
        <f t="shared" si="15"/>
        <v>37.319327731092436</v>
      </c>
      <c r="J197" s="21">
        <f t="shared" si="16"/>
        <v>28.781999999999996</v>
      </c>
      <c r="K197" s="21">
        <f t="shared" si="17"/>
        <v>8.5373277310924394</v>
      </c>
      <c r="L197" s="8">
        <f t="shared" si="18"/>
        <v>9.4859197012138221</v>
      </c>
      <c r="M197" s="30" t="str">
        <f t="shared" si="19"/>
        <v>February</v>
      </c>
    </row>
    <row r="198" spans="1:13">
      <c r="A198" s="9" t="s">
        <v>398</v>
      </c>
      <c r="B198" s="8">
        <v>24</v>
      </c>
      <c r="C198" s="8" t="s">
        <v>51</v>
      </c>
      <c r="D198" s="8" t="s">
        <v>36</v>
      </c>
      <c r="E198" s="34" t="s">
        <v>399</v>
      </c>
      <c r="F198" s="8">
        <v>572</v>
      </c>
      <c r="G198" s="8">
        <v>180.9</v>
      </c>
      <c r="H198" s="10">
        <v>20.63</v>
      </c>
      <c r="I198" s="21">
        <f t="shared" si="15"/>
        <v>152.0168067226891</v>
      </c>
      <c r="J198" s="21">
        <f t="shared" si="16"/>
        <v>118.00359999999999</v>
      </c>
      <c r="K198" s="21">
        <f t="shared" si="17"/>
        <v>34.013206722689105</v>
      </c>
      <c r="L198" s="8">
        <f t="shared" si="18"/>
        <v>5.9463648116589347</v>
      </c>
      <c r="M198" s="30" t="str">
        <f t="shared" si="19"/>
        <v>December</v>
      </c>
    </row>
    <row r="199" spans="1:13">
      <c r="A199" s="9" t="s">
        <v>400</v>
      </c>
      <c r="B199" s="8">
        <v>24</v>
      </c>
      <c r="C199" s="8" t="s">
        <v>39</v>
      </c>
      <c r="D199" s="8" t="s">
        <v>36</v>
      </c>
      <c r="E199" s="34" t="s">
        <v>401</v>
      </c>
      <c r="F199" s="8">
        <v>89</v>
      </c>
      <c r="G199" s="8">
        <v>41.67</v>
      </c>
      <c r="H199" s="10">
        <v>31.38</v>
      </c>
      <c r="I199" s="21">
        <f t="shared" si="15"/>
        <v>35.016806722689076</v>
      </c>
      <c r="J199" s="21">
        <f t="shared" si="16"/>
        <v>27.928199999999997</v>
      </c>
      <c r="K199" s="21">
        <f t="shared" si="17"/>
        <v>7.0886067226890788</v>
      </c>
      <c r="L199" s="8">
        <f t="shared" si="18"/>
        <v>7.9647266547068298</v>
      </c>
      <c r="M199" s="30" t="str">
        <f t="shared" si="19"/>
        <v>April</v>
      </c>
    </row>
    <row r="200" spans="1:13">
      <c r="A200" s="9" t="s">
        <v>402</v>
      </c>
      <c r="B200" s="8">
        <v>24</v>
      </c>
      <c r="C200" s="8" t="s">
        <v>51</v>
      </c>
      <c r="D200" s="8" t="s">
        <v>36</v>
      </c>
      <c r="E200" s="34">
        <v>45605</v>
      </c>
      <c r="F200" s="8">
        <v>357</v>
      </c>
      <c r="G200" s="8">
        <v>125.19</v>
      </c>
      <c r="H200" s="10">
        <v>17.75</v>
      </c>
      <c r="I200" s="21">
        <f t="shared" si="15"/>
        <v>105.20168067226891</v>
      </c>
      <c r="J200" s="21">
        <f t="shared" si="16"/>
        <v>63.3675</v>
      </c>
      <c r="K200" s="21">
        <f t="shared" si="17"/>
        <v>41.834180672268907</v>
      </c>
      <c r="L200" s="8">
        <f t="shared" si="18"/>
        <v>11.71825789139185</v>
      </c>
      <c r="M200" s="30" t="str">
        <f t="shared" si="19"/>
        <v>June</v>
      </c>
    </row>
    <row r="201" spans="1:13">
      <c r="A201" s="9" t="s">
        <v>404</v>
      </c>
      <c r="B201" s="8">
        <v>24</v>
      </c>
      <c r="C201" s="8" t="s">
        <v>35</v>
      </c>
      <c r="D201" s="8" t="s">
        <v>36</v>
      </c>
      <c r="E201" s="34" t="s">
        <v>124</v>
      </c>
      <c r="F201" s="8">
        <v>169</v>
      </c>
      <c r="G201" s="8">
        <v>70.38</v>
      </c>
      <c r="H201" s="10">
        <v>24.31</v>
      </c>
      <c r="I201" s="21">
        <f t="shared" si="15"/>
        <v>59.142857142857139</v>
      </c>
      <c r="J201" s="21">
        <f t="shared" si="16"/>
        <v>41.083899999999993</v>
      </c>
      <c r="K201" s="21">
        <f t="shared" si="17"/>
        <v>18.058957142857146</v>
      </c>
      <c r="L201" s="8">
        <f t="shared" si="18"/>
        <v>10.685773457311921</v>
      </c>
      <c r="M201" s="30" t="str">
        <f t="shared" si="19"/>
        <v>July</v>
      </c>
    </row>
    <row r="202" spans="1:13">
      <c r="A202" s="9" t="s">
        <v>405</v>
      </c>
      <c r="B202" s="8">
        <v>24</v>
      </c>
      <c r="C202" s="8" t="s">
        <v>39</v>
      </c>
      <c r="D202" s="8" t="s">
        <v>46</v>
      </c>
      <c r="E202" s="34" t="s">
        <v>376</v>
      </c>
      <c r="F202" s="8">
        <v>163</v>
      </c>
      <c r="G202" s="8">
        <v>70.760000000000005</v>
      </c>
      <c r="H202" s="10">
        <v>28.27</v>
      </c>
      <c r="I202" s="21">
        <f t="shared" si="15"/>
        <v>59.462184873949589</v>
      </c>
      <c r="J202" s="21">
        <f t="shared" si="16"/>
        <v>46.080100000000002</v>
      </c>
      <c r="K202" s="21">
        <f t="shared" si="17"/>
        <v>13.382084873949587</v>
      </c>
      <c r="L202" s="8">
        <f t="shared" si="18"/>
        <v>8.2098680208279671</v>
      </c>
      <c r="M202" s="30" t="str">
        <f t="shared" si="19"/>
        <v>July</v>
      </c>
    </row>
    <row r="203" spans="1:13">
      <c r="A203" s="9" t="s">
        <v>406</v>
      </c>
      <c r="B203" s="8">
        <v>12</v>
      </c>
      <c r="C203" s="8" t="s">
        <v>35</v>
      </c>
      <c r="D203" s="8" t="s">
        <v>36</v>
      </c>
      <c r="E203" s="34">
        <v>45751</v>
      </c>
      <c r="F203" s="8">
        <v>289</v>
      </c>
      <c r="G203" s="8">
        <v>105.06</v>
      </c>
      <c r="H203" s="10">
        <v>22.38</v>
      </c>
      <c r="I203" s="21">
        <f t="shared" si="15"/>
        <v>88.285714285714292</v>
      </c>
      <c r="J203" s="21">
        <f t="shared" si="16"/>
        <v>64.678200000000004</v>
      </c>
      <c r="K203" s="21">
        <f t="shared" si="17"/>
        <v>23.607514285714288</v>
      </c>
      <c r="L203" s="8">
        <f t="shared" si="18"/>
        <v>8.1686900642609981</v>
      </c>
      <c r="M203" s="30" t="str">
        <f t="shared" si="19"/>
        <v>April</v>
      </c>
    </row>
    <row r="204" spans="1:13">
      <c r="A204" s="9" t="s">
        <v>407</v>
      </c>
      <c r="B204" s="8">
        <v>12</v>
      </c>
      <c r="C204" s="8" t="s">
        <v>51</v>
      </c>
      <c r="D204" s="8" t="s">
        <v>46</v>
      </c>
      <c r="E204" s="34" t="s">
        <v>408</v>
      </c>
      <c r="F204" s="8">
        <v>451</v>
      </c>
      <c r="G204" s="8">
        <v>147.12</v>
      </c>
      <c r="H204" s="10">
        <v>21.49</v>
      </c>
      <c r="I204" s="21">
        <f t="shared" si="15"/>
        <v>123.63025210084035</v>
      </c>
      <c r="J204" s="21">
        <f t="shared" si="16"/>
        <v>96.919899999999998</v>
      </c>
      <c r="K204" s="21">
        <f t="shared" si="17"/>
        <v>26.710352100840353</v>
      </c>
      <c r="L204" s="8">
        <f t="shared" si="18"/>
        <v>5.9224727496320071</v>
      </c>
      <c r="M204" s="30" t="str">
        <f t="shared" si="19"/>
        <v>May</v>
      </c>
    </row>
    <row r="205" spans="1:13">
      <c r="A205" s="9" t="s">
        <v>409</v>
      </c>
      <c r="B205" s="8">
        <v>24</v>
      </c>
      <c r="C205" s="8" t="s">
        <v>35</v>
      </c>
      <c r="D205" s="8" t="s">
        <v>36</v>
      </c>
      <c r="E205" s="34">
        <v>45872</v>
      </c>
      <c r="F205" s="8">
        <v>216</v>
      </c>
      <c r="G205" s="8">
        <v>88.04</v>
      </c>
      <c r="H205" s="10">
        <v>23.31</v>
      </c>
      <c r="I205" s="21">
        <f t="shared" si="15"/>
        <v>73.983193277310932</v>
      </c>
      <c r="J205" s="21">
        <f t="shared" si="16"/>
        <v>50.349600000000002</v>
      </c>
      <c r="K205" s="21">
        <f t="shared" si="17"/>
        <v>23.633593277310929</v>
      </c>
      <c r="L205" s="8">
        <f t="shared" si="18"/>
        <v>10.941478369125431</v>
      </c>
      <c r="M205" s="30" t="str">
        <f t="shared" si="19"/>
        <v>January</v>
      </c>
    </row>
    <row r="206" spans="1:13">
      <c r="A206" s="9" t="s">
        <v>410</v>
      </c>
      <c r="B206" s="8">
        <v>24</v>
      </c>
      <c r="C206" s="8" t="s">
        <v>51</v>
      </c>
      <c r="D206" s="8" t="s">
        <v>36</v>
      </c>
      <c r="E206" s="34">
        <v>45450</v>
      </c>
      <c r="F206" s="8">
        <v>450</v>
      </c>
      <c r="G206" s="8">
        <v>149.19</v>
      </c>
      <c r="H206" s="10">
        <v>20.239999999999998</v>
      </c>
      <c r="I206" s="21">
        <f t="shared" si="15"/>
        <v>125.36974789915966</v>
      </c>
      <c r="J206" s="21">
        <f t="shared" si="16"/>
        <v>91.08</v>
      </c>
      <c r="K206" s="21">
        <f t="shared" si="17"/>
        <v>34.289747899159664</v>
      </c>
      <c r="L206" s="8">
        <f t="shared" si="18"/>
        <v>7.6199439775910367</v>
      </c>
      <c r="M206" s="30" t="str">
        <f t="shared" si="19"/>
        <v>March</v>
      </c>
    </row>
    <row r="207" spans="1:13">
      <c r="A207" s="9" t="s">
        <v>412</v>
      </c>
      <c r="B207" s="8">
        <v>12</v>
      </c>
      <c r="C207" s="8" t="s">
        <v>35</v>
      </c>
      <c r="D207" s="8" t="s">
        <v>36</v>
      </c>
      <c r="E207" s="34">
        <v>45636</v>
      </c>
      <c r="F207" s="8">
        <v>296</v>
      </c>
      <c r="G207" s="8">
        <v>108.22</v>
      </c>
      <c r="H207" s="10">
        <v>25.23</v>
      </c>
      <c r="I207" s="21">
        <f t="shared" si="15"/>
        <v>90.941176470588232</v>
      </c>
      <c r="J207" s="21">
        <f t="shared" si="16"/>
        <v>74.680800000000005</v>
      </c>
      <c r="K207" s="21">
        <f t="shared" si="17"/>
        <v>16.260376470588227</v>
      </c>
      <c r="L207" s="8">
        <f t="shared" si="18"/>
        <v>5.4933704292527796</v>
      </c>
      <c r="M207" s="30" t="str">
        <f t="shared" si="19"/>
        <v>January</v>
      </c>
    </row>
    <row r="208" spans="1:13">
      <c r="A208" s="9" t="s">
        <v>413</v>
      </c>
      <c r="B208" s="8">
        <v>12</v>
      </c>
      <c r="C208" s="8" t="s">
        <v>35</v>
      </c>
      <c r="D208" s="8" t="s">
        <v>36</v>
      </c>
      <c r="E208" s="37">
        <v>45765</v>
      </c>
      <c r="F208" s="8">
        <v>277</v>
      </c>
      <c r="G208" s="8">
        <v>106.31</v>
      </c>
      <c r="H208" s="10">
        <v>25.43</v>
      </c>
      <c r="I208" s="21">
        <f t="shared" si="15"/>
        <v>89.336134453781511</v>
      </c>
      <c r="J208" s="21">
        <f t="shared" si="16"/>
        <v>70.441099999999992</v>
      </c>
      <c r="K208" s="21">
        <f t="shared" si="17"/>
        <v>18.89503445378152</v>
      </c>
      <c r="L208" s="8">
        <f t="shared" si="18"/>
        <v>6.8213120771774438</v>
      </c>
      <c r="M208" s="30" t="str">
        <f t="shared" si="19"/>
        <v>June</v>
      </c>
    </row>
    <row r="209" spans="1:13">
      <c r="A209" s="9" t="s">
        <v>415</v>
      </c>
      <c r="B209" s="8">
        <v>24</v>
      </c>
      <c r="C209" s="8" t="s">
        <v>51</v>
      </c>
      <c r="D209" s="8" t="s">
        <v>36</v>
      </c>
      <c r="E209" s="34">
        <v>45635</v>
      </c>
      <c r="F209" s="8">
        <v>395</v>
      </c>
      <c r="G209" s="8">
        <v>138.65</v>
      </c>
      <c r="H209" s="10">
        <v>21.49</v>
      </c>
      <c r="I209" s="21">
        <f t="shared" si="15"/>
        <v>116.51260504201682</v>
      </c>
      <c r="J209" s="21">
        <f t="shared" si="16"/>
        <v>84.885499999999993</v>
      </c>
      <c r="K209" s="21">
        <f t="shared" si="17"/>
        <v>31.627105042016822</v>
      </c>
      <c r="L209" s="8">
        <f t="shared" si="18"/>
        <v>8.0068620359536258</v>
      </c>
      <c r="M209" s="30" t="str">
        <f t="shared" si="19"/>
        <v>December</v>
      </c>
    </row>
    <row r="210" spans="1:13">
      <c r="A210" s="9" t="s">
        <v>417</v>
      </c>
      <c r="B210" s="8">
        <v>12</v>
      </c>
      <c r="C210" s="8" t="s">
        <v>39</v>
      </c>
      <c r="D210" s="8" t="s">
        <v>46</v>
      </c>
      <c r="E210" s="34" t="s">
        <v>418</v>
      </c>
      <c r="F210" s="8">
        <v>98</v>
      </c>
      <c r="G210" s="8">
        <v>43.21</v>
      </c>
      <c r="H210" s="10">
        <v>28.97</v>
      </c>
      <c r="I210" s="21">
        <f t="shared" si="15"/>
        <v>36.310924369747902</v>
      </c>
      <c r="J210" s="21">
        <f t="shared" si="16"/>
        <v>28.390599999999999</v>
      </c>
      <c r="K210" s="21">
        <f t="shared" si="17"/>
        <v>7.9203243697479024</v>
      </c>
      <c r="L210" s="8">
        <f t="shared" si="18"/>
        <v>8.0819636425999004</v>
      </c>
      <c r="M210" s="30" t="str">
        <f t="shared" si="19"/>
        <v>March</v>
      </c>
    </row>
    <row r="211" spans="1:13">
      <c r="A211" s="9" t="s">
        <v>419</v>
      </c>
      <c r="B211" s="8">
        <v>12</v>
      </c>
      <c r="C211" s="8" t="s">
        <v>35</v>
      </c>
      <c r="D211" s="8" t="s">
        <v>36</v>
      </c>
      <c r="E211" s="34" t="s">
        <v>420</v>
      </c>
      <c r="F211" s="8">
        <v>183</v>
      </c>
      <c r="G211" s="8">
        <v>69.739999999999995</v>
      </c>
      <c r="H211" s="10">
        <v>22.16</v>
      </c>
      <c r="I211" s="21">
        <f t="shared" si="15"/>
        <v>58.605042016806721</v>
      </c>
      <c r="J211" s="21">
        <f t="shared" si="16"/>
        <v>40.552800000000005</v>
      </c>
      <c r="K211" s="21">
        <f t="shared" si="17"/>
        <v>18.052242016806716</v>
      </c>
      <c r="L211" s="8">
        <f t="shared" si="18"/>
        <v>9.8646131239380956</v>
      </c>
      <c r="M211" s="30" t="str">
        <f t="shared" si="19"/>
        <v>March</v>
      </c>
    </row>
    <row r="212" spans="1:13">
      <c r="A212" s="9" t="s">
        <v>421</v>
      </c>
      <c r="B212" s="8">
        <v>12</v>
      </c>
      <c r="C212" s="8" t="s">
        <v>39</v>
      </c>
      <c r="D212" s="8" t="s">
        <v>56</v>
      </c>
      <c r="E212" s="34">
        <v>45569</v>
      </c>
      <c r="F212" s="8">
        <v>138</v>
      </c>
      <c r="G212" s="8">
        <v>56.98</v>
      </c>
      <c r="H212" s="10">
        <v>29.64</v>
      </c>
      <c r="I212" s="21">
        <f t="shared" si="15"/>
        <v>47.882352941176471</v>
      </c>
      <c r="J212" s="21">
        <f t="shared" si="16"/>
        <v>40.903199999999998</v>
      </c>
      <c r="K212" s="21">
        <f t="shared" si="17"/>
        <v>6.9791529411764728</v>
      </c>
      <c r="L212" s="8">
        <f t="shared" si="18"/>
        <v>5.0573572037510672</v>
      </c>
      <c r="M212" s="30" t="str">
        <f t="shared" si="19"/>
        <v>October</v>
      </c>
    </row>
    <row r="213" spans="1:13">
      <c r="A213" s="9" t="s">
        <v>422</v>
      </c>
      <c r="B213" s="8">
        <v>24</v>
      </c>
      <c r="C213" s="8" t="s">
        <v>51</v>
      </c>
      <c r="D213" s="8" t="s">
        <v>36</v>
      </c>
      <c r="E213" s="34" t="s">
        <v>423</v>
      </c>
      <c r="F213" s="8">
        <v>588</v>
      </c>
      <c r="G213" s="8">
        <v>200.23</v>
      </c>
      <c r="H213" s="10">
        <v>17.149999999999999</v>
      </c>
      <c r="I213" s="21">
        <f t="shared" si="15"/>
        <v>168.26050420168067</v>
      </c>
      <c r="J213" s="21">
        <f t="shared" si="16"/>
        <v>100.84199999999998</v>
      </c>
      <c r="K213" s="21">
        <f t="shared" si="17"/>
        <v>67.41850420168069</v>
      </c>
      <c r="L213" s="8">
        <f t="shared" si="18"/>
        <v>11.465732007088553</v>
      </c>
      <c r="M213" s="30" t="str">
        <f t="shared" si="19"/>
        <v>February</v>
      </c>
    </row>
    <row r="214" spans="1:13">
      <c r="A214" s="9" t="s">
        <v>424</v>
      </c>
      <c r="B214" s="8">
        <v>24</v>
      </c>
      <c r="C214" s="8" t="s">
        <v>51</v>
      </c>
      <c r="D214" s="8" t="s">
        <v>36</v>
      </c>
      <c r="E214" s="34" t="s">
        <v>425</v>
      </c>
      <c r="F214" s="8">
        <v>422</v>
      </c>
      <c r="G214" s="8">
        <v>145.63999999999999</v>
      </c>
      <c r="H214" s="10">
        <v>16.61</v>
      </c>
      <c r="I214" s="21">
        <f t="shared" si="15"/>
        <v>122.38655462184873</v>
      </c>
      <c r="J214" s="21">
        <f t="shared" si="16"/>
        <v>70.094200000000001</v>
      </c>
      <c r="K214" s="21">
        <f t="shared" si="17"/>
        <v>52.29235462184873</v>
      </c>
      <c r="L214" s="8">
        <f t="shared" si="18"/>
        <v>12.39155322792624</v>
      </c>
      <c r="M214" s="30" t="str">
        <f t="shared" si="19"/>
        <v>January</v>
      </c>
    </row>
    <row r="215" spans="1:13">
      <c r="A215" s="9" t="s">
        <v>426</v>
      </c>
      <c r="B215" s="8">
        <v>12</v>
      </c>
      <c r="C215" s="8" t="s">
        <v>39</v>
      </c>
      <c r="D215" s="8" t="s">
        <v>46</v>
      </c>
      <c r="E215" s="34">
        <v>45416</v>
      </c>
      <c r="F215" s="8">
        <v>85</v>
      </c>
      <c r="G215" s="8">
        <v>41.5</v>
      </c>
      <c r="H215" s="10">
        <v>29.44</v>
      </c>
      <c r="I215" s="21">
        <f t="shared" si="15"/>
        <v>34.873949579831937</v>
      </c>
      <c r="J215" s="21">
        <f t="shared" si="16"/>
        <v>25.024000000000001</v>
      </c>
      <c r="K215" s="21">
        <f t="shared" si="17"/>
        <v>9.8499495798319359</v>
      </c>
      <c r="L215" s="8">
        <f t="shared" si="18"/>
        <v>11.588175976272867</v>
      </c>
      <c r="M215" s="30" t="str">
        <f t="shared" si="19"/>
        <v>May</v>
      </c>
    </row>
    <row r="216" spans="1:13">
      <c r="A216" s="9" t="s">
        <v>427</v>
      </c>
      <c r="B216" s="8">
        <v>24</v>
      </c>
      <c r="C216" s="8" t="s">
        <v>35</v>
      </c>
      <c r="D216" s="8" t="s">
        <v>36</v>
      </c>
      <c r="E216" s="34" t="s">
        <v>428</v>
      </c>
      <c r="F216" s="8">
        <v>181</v>
      </c>
      <c r="G216" s="8">
        <v>72.59</v>
      </c>
      <c r="H216" s="10">
        <v>25.13</v>
      </c>
      <c r="I216" s="21">
        <f t="shared" si="15"/>
        <v>61.000000000000007</v>
      </c>
      <c r="J216" s="21">
        <f t="shared" si="16"/>
        <v>45.485299999999995</v>
      </c>
      <c r="K216" s="21">
        <f t="shared" si="17"/>
        <v>15.514700000000012</v>
      </c>
      <c r="L216" s="8">
        <f t="shared" si="18"/>
        <v>8.5716574585635428</v>
      </c>
      <c r="M216" s="30" t="str">
        <f t="shared" si="19"/>
        <v>August</v>
      </c>
    </row>
    <row r="217" spans="1:13">
      <c r="A217" s="9" t="s">
        <v>429</v>
      </c>
      <c r="B217" s="8">
        <v>12</v>
      </c>
      <c r="C217" s="8" t="s">
        <v>51</v>
      </c>
      <c r="D217" s="8" t="s">
        <v>36</v>
      </c>
      <c r="E217" s="37">
        <v>45462</v>
      </c>
      <c r="F217" s="8">
        <v>656</v>
      </c>
      <c r="G217" s="8">
        <v>221.09</v>
      </c>
      <c r="H217" s="10">
        <v>21.33</v>
      </c>
      <c r="I217" s="21">
        <f t="shared" si="15"/>
        <v>185.78991596638656</v>
      </c>
      <c r="J217" s="21">
        <f t="shared" si="16"/>
        <v>139.9248</v>
      </c>
      <c r="K217" s="21">
        <f t="shared" si="17"/>
        <v>45.865115966386554</v>
      </c>
      <c r="L217" s="8">
        <f t="shared" si="18"/>
        <v>6.9916335314613649</v>
      </c>
      <c r="M217" s="30" t="str">
        <f t="shared" si="19"/>
        <v>March</v>
      </c>
    </row>
    <row r="218" spans="1:13">
      <c r="A218" s="9" t="s">
        <v>431</v>
      </c>
      <c r="B218" s="8">
        <v>12</v>
      </c>
      <c r="C218" s="8" t="s">
        <v>39</v>
      </c>
      <c r="D218" s="8" t="s">
        <v>36</v>
      </c>
      <c r="E218" s="34" t="s">
        <v>374</v>
      </c>
      <c r="F218" s="8">
        <v>108</v>
      </c>
      <c r="G218" s="8">
        <v>45.8</v>
      </c>
      <c r="H218" s="10">
        <v>29.25</v>
      </c>
      <c r="I218" s="21">
        <f t="shared" si="15"/>
        <v>38.487394957983192</v>
      </c>
      <c r="J218" s="21">
        <f t="shared" si="16"/>
        <v>31.59</v>
      </c>
      <c r="K218" s="21">
        <f t="shared" si="17"/>
        <v>6.8973949579831917</v>
      </c>
      <c r="L218" s="8">
        <f t="shared" si="18"/>
        <v>6.3864768129474001</v>
      </c>
      <c r="M218" s="30" t="str">
        <f t="shared" si="19"/>
        <v>February</v>
      </c>
    </row>
    <row r="219" spans="1:13">
      <c r="A219" s="9" t="s">
        <v>432</v>
      </c>
      <c r="B219" s="8">
        <v>24</v>
      </c>
      <c r="C219" s="8" t="s">
        <v>35</v>
      </c>
      <c r="D219" s="8" t="s">
        <v>36</v>
      </c>
      <c r="E219" s="37">
        <v>45789</v>
      </c>
      <c r="F219" s="8">
        <v>295</v>
      </c>
      <c r="G219" s="8">
        <v>110.97</v>
      </c>
      <c r="H219" s="10">
        <v>26.62</v>
      </c>
      <c r="I219" s="21">
        <f t="shared" si="15"/>
        <v>93.252100840336141</v>
      </c>
      <c r="J219" s="21">
        <f t="shared" si="16"/>
        <v>78.529000000000011</v>
      </c>
      <c r="K219" s="21">
        <f t="shared" si="17"/>
        <v>14.72310084033613</v>
      </c>
      <c r="L219" s="8">
        <f t="shared" si="18"/>
        <v>4.9908816407919083</v>
      </c>
      <c r="M219" s="30" t="str">
        <f t="shared" si="19"/>
        <v>June</v>
      </c>
    </row>
    <row r="220" spans="1:13">
      <c r="A220" s="9" t="s">
        <v>433</v>
      </c>
      <c r="B220" s="8">
        <v>24</v>
      </c>
      <c r="C220" s="8" t="s">
        <v>51</v>
      </c>
      <c r="D220" s="8" t="s">
        <v>56</v>
      </c>
      <c r="E220" s="34">
        <v>45843</v>
      </c>
      <c r="F220" s="8">
        <v>542</v>
      </c>
      <c r="G220" s="8">
        <v>186.65</v>
      </c>
      <c r="H220" s="10">
        <v>19.66</v>
      </c>
      <c r="I220" s="21">
        <f t="shared" si="15"/>
        <v>156.84873949579833</v>
      </c>
      <c r="J220" s="21">
        <f t="shared" si="16"/>
        <v>106.55719999999999</v>
      </c>
      <c r="K220" s="21">
        <f t="shared" si="17"/>
        <v>50.291539495798332</v>
      </c>
      <c r="L220" s="8">
        <f t="shared" si="18"/>
        <v>9.2788818257930501</v>
      </c>
      <c r="M220" s="30" t="str">
        <f t="shared" si="19"/>
        <v>August</v>
      </c>
    </row>
    <row r="221" spans="1:13">
      <c r="A221" s="9" t="s">
        <v>435</v>
      </c>
      <c r="B221" s="8">
        <v>24</v>
      </c>
      <c r="C221" s="8" t="s">
        <v>39</v>
      </c>
      <c r="D221" s="8" t="s">
        <v>36</v>
      </c>
      <c r="E221" s="34">
        <v>45451</v>
      </c>
      <c r="F221" s="8">
        <v>115</v>
      </c>
      <c r="G221" s="8">
        <v>52.99</v>
      </c>
      <c r="H221" s="10">
        <v>28.06</v>
      </c>
      <c r="I221" s="21">
        <f t="shared" si="15"/>
        <v>44.529411764705884</v>
      </c>
      <c r="J221" s="21">
        <f t="shared" si="16"/>
        <v>32.268999999999998</v>
      </c>
      <c r="K221" s="21">
        <f t="shared" si="17"/>
        <v>12.260411764705886</v>
      </c>
      <c r="L221" s="8">
        <f t="shared" si="18"/>
        <v>10.661227621483379</v>
      </c>
      <c r="M221" s="30" t="str">
        <f t="shared" si="19"/>
        <v>April</v>
      </c>
    </row>
    <row r="222" spans="1:13">
      <c r="A222" s="9" t="s">
        <v>437</v>
      </c>
      <c r="B222" s="8">
        <v>24</v>
      </c>
      <c r="C222" s="8" t="s">
        <v>35</v>
      </c>
      <c r="D222" s="8" t="s">
        <v>46</v>
      </c>
      <c r="E222" s="34" t="s">
        <v>179</v>
      </c>
      <c r="F222" s="8">
        <v>201</v>
      </c>
      <c r="G222" s="8">
        <v>79.510000000000005</v>
      </c>
      <c r="H222" s="10">
        <v>25.06</v>
      </c>
      <c r="I222" s="21">
        <f t="shared" si="15"/>
        <v>66.815126050420176</v>
      </c>
      <c r="J222" s="21">
        <f t="shared" si="16"/>
        <v>50.370599999999996</v>
      </c>
      <c r="K222" s="21">
        <f t="shared" si="17"/>
        <v>16.44452605042018</v>
      </c>
      <c r="L222" s="8">
        <f t="shared" si="18"/>
        <v>8.1813562439901393</v>
      </c>
      <c r="M222" s="30" t="str">
        <f t="shared" si="19"/>
        <v>February</v>
      </c>
    </row>
    <row r="223" spans="1:13">
      <c r="A223" s="9" t="s">
        <v>438</v>
      </c>
      <c r="B223" s="8">
        <v>24</v>
      </c>
      <c r="C223" s="8" t="s">
        <v>39</v>
      </c>
      <c r="D223" s="8" t="s">
        <v>56</v>
      </c>
      <c r="E223" s="34">
        <v>45294</v>
      </c>
      <c r="F223" s="8">
        <v>93</v>
      </c>
      <c r="G223" s="8">
        <v>44.69</v>
      </c>
      <c r="H223" s="10">
        <v>30.49</v>
      </c>
      <c r="I223" s="21">
        <f t="shared" si="15"/>
        <v>37.554621848739494</v>
      </c>
      <c r="J223" s="21">
        <f t="shared" si="16"/>
        <v>28.355699999999999</v>
      </c>
      <c r="K223" s="21">
        <f t="shared" si="17"/>
        <v>9.198921848739495</v>
      </c>
      <c r="L223" s="8">
        <f t="shared" si="18"/>
        <v>9.8913138158489193</v>
      </c>
      <c r="M223" s="30" t="str">
        <f t="shared" si="19"/>
        <v>November</v>
      </c>
    </row>
    <row r="224" spans="1:13">
      <c r="A224" s="9" t="s">
        <v>439</v>
      </c>
      <c r="B224" s="8">
        <v>12</v>
      </c>
      <c r="C224" s="8" t="s">
        <v>51</v>
      </c>
      <c r="D224" s="8" t="s">
        <v>36</v>
      </c>
      <c r="E224" s="34" t="s">
        <v>440</v>
      </c>
      <c r="F224" s="8">
        <v>538</v>
      </c>
      <c r="G224" s="8">
        <v>188.26</v>
      </c>
      <c r="H224" s="10">
        <v>22.31</v>
      </c>
      <c r="I224" s="21">
        <f t="shared" si="15"/>
        <v>158.20168067226891</v>
      </c>
      <c r="J224" s="21">
        <f t="shared" si="16"/>
        <v>120.02779999999998</v>
      </c>
      <c r="K224" s="21">
        <f t="shared" si="17"/>
        <v>38.173880672268922</v>
      </c>
      <c r="L224" s="8">
        <f t="shared" si="18"/>
        <v>7.0955168535815831</v>
      </c>
      <c r="M224" s="30" t="str">
        <f t="shared" si="19"/>
        <v>June</v>
      </c>
    </row>
    <row r="225" spans="1:13">
      <c r="A225" s="9" t="s">
        <v>441</v>
      </c>
      <c r="B225" s="8">
        <v>12</v>
      </c>
      <c r="C225" s="8" t="s">
        <v>51</v>
      </c>
      <c r="D225" s="8" t="s">
        <v>56</v>
      </c>
      <c r="E225" s="34" t="s">
        <v>164</v>
      </c>
      <c r="F225" s="8">
        <v>592</v>
      </c>
      <c r="G225" s="8">
        <v>202.57</v>
      </c>
      <c r="H225" s="10">
        <v>16.690000000000001</v>
      </c>
      <c r="I225" s="21">
        <f t="shared" si="15"/>
        <v>170.22689075630251</v>
      </c>
      <c r="J225" s="21">
        <f t="shared" si="16"/>
        <v>98.804800000000014</v>
      </c>
      <c r="K225" s="21">
        <f t="shared" si="17"/>
        <v>71.422090756302495</v>
      </c>
      <c r="L225" s="8">
        <f t="shared" si="18"/>
        <v>12.064542357483528</v>
      </c>
      <c r="M225" s="30" t="str">
        <f t="shared" si="19"/>
        <v>January</v>
      </c>
    </row>
    <row r="226" spans="1:13">
      <c r="A226" s="9" t="s">
        <v>442</v>
      </c>
      <c r="B226" s="8">
        <v>12</v>
      </c>
      <c r="C226" s="8" t="s">
        <v>51</v>
      </c>
      <c r="D226" s="8" t="s">
        <v>36</v>
      </c>
      <c r="E226" s="34">
        <v>45352</v>
      </c>
      <c r="F226" s="8">
        <v>548</v>
      </c>
      <c r="G226" s="8">
        <v>185.16</v>
      </c>
      <c r="H226" s="10">
        <v>20.69</v>
      </c>
      <c r="I226" s="21">
        <f t="shared" si="15"/>
        <v>155.59663865546219</v>
      </c>
      <c r="J226" s="21">
        <f t="shared" si="16"/>
        <v>113.38120000000001</v>
      </c>
      <c r="K226" s="21">
        <f t="shared" si="17"/>
        <v>42.215438655462179</v>
      </c>
      <c r="L226" s="8">
        <f t="shared" si="18"/>
        <v>7.7035471999018572</v>
      </c>
      <c r="M226" s="30" t="str">
        <f t="shared" si="19"/>
        <v>May</v>
      </c>
    </row>
    <row r="227" spans="1:13">
      <c r="A227" s="9" t="s">
        <v>444</v>
      </c>
      <c r="B227" s="8">
        <v>12</v>
      </c>
      <c r="C227" s="8" t="s">
        <v>35</v>
      </c>
      <c r="D227" s="8" t="s">
        <v>56</v>
      </c>
      <c r="E227" s="34">
        <v>45718</v>
      </c>
      <c r="F227" s="8">
        <v>255</v>
      </c>
      <c r="G227" s="8">
        <v>99.09</v>
      </c>
      <c r="H227" s="10">
        <v>24.48</v>
      </c>
      <c r="I227" s="21">
        <f t="shared" si="15"/>
        <v>83.268907563025223</v>
      </c>
      <c r="J227" s="21">
        <f t="shared" si="16"/>
        <v>62.424000000000007</v>
      </c>
      <c r="K227" s="21">
        <f t="shared" si="17"/>
        <v>20.844907563025217</v>
      </c>
      <c r="L227" s="8">
        <f t="shared" si="18"/>
        <v>8.1744735541275357</v>
      </c>
      <c r="M227" s="30" t="str">
        <f t="shared" si="19"/>
        <v>July</v>
      </c>
    </row>
    <row r="228" spans="1:13">
      <c r="A228" s="9" t="s">
        <v>446</v>
      </c>
      <c r="B228" s="8">
        <v>24</v>
      </c>
      <c r="C228" s="8" t="s">
        <v>51</v>
      </c>
      <c r="D228" s="8" t="s">
        <v>36</v>
      </c>
      <c r="E228" s="34" t="s">
        <v>199</v>
      </c>
      <c r="F228" s="8">
        <v>-15</v>
      </c>
      <c r="G228" s="8">
        <v>118.49</v>
      </c>
      <c r="H228" s="10">
        <v>20.82</v>
      </c>
      <c r="I228" s="21">
        <f t="shared" si="15"/>
        <v>99.571428571428569</v>
      </c>
      <c r="J228" s="21">
        <f t="shared" si="16"/>
        <v>-3.1230000000000002</v>
      </c>
      <c r="K228" s="21">
        <f t="shared" si="17"/>
        <v>102.69442857142857</v>
      </c>
      <c r="L228" s="8">
        <f t="shared" si="18"/>
        <v>-684.62952380952379</v>
      </c>
      <c r="M228" s="30" t="str">
        <f t="shared" si="19"/>
        <v>September</v>
      </c>
    </row>
    <row r="229" spans="1:13">
      <c r="A229" s="9" t="s">
        <v>447</v>
      </c>
      <c r="B229" s="8">
        <v>12</v>
      </c>
      <c r="C229" s="8" t="s">
        <v>51</v>
      </c>
      <c r="D229" s="8" t="s">
        <v>46</v>
      </c>
      <c r="E229" s="34">
        <v>45934</v>
      </c>
      <c r="F229" s="8">
        <v>656</v>
      </c>
      <c r="G229" s="8">
        <v>216.17</v>
      </c>
      <c r="H229" s="10">
        <v>19.62</v>
      </c>
      <c r="I229" s="21">
        <f t="shared" si="15"/>
        <v>181.65546218487395</v>
      </c>
      <c r="J229" s="21">
        <f t="shared" si="16"/>
        <v>128.7072</v>
      </c>
      <c r="K229" s="21">
        <f t="shared" si="17"/>
        <v>52.948262184873954</v>
      </c>
      <c r="L229" s="8">
        <f t="shared" si="18"/>
        <v>8.071381430621031</v>
      </c>
      <c r="M229" s="30" t="str">
        <f t="shared" si="19"/>
        <v>November</v>
      </c>
    </row>
    <row r="230" spans="1:13">
      <c r="A230" s="9" t="s">
        <v>449</v>
      </c>
      <c r="B230" s="8">
        <v>24</v>
      </c>
      <c r="C230" s="8" t="s">
        <v>39</v>
      </c>
      <c r="D230" s="8" t="s">
        <v>36</v>
      </c>
      <c r="E230" s="34" t="s">
        <v>450</v>
      </c>
      <c r="F230" s="8">
        <v>150</v>
      </c>
      <c r="G230" s="8">
        <v>65.48</v>
      </c>
      <c r="H230" s="10">
        <v>31.46</v>
      </c>
      <c r="I230" s="21">
        <f t="shared" si="15"/>
        <v>55.025210084033617</v>
      </c>
      <c r="J230" s="21">
        <f t="shared" si="16"/>
        <v>47.19</v>
      </c>
      <c r="K230" s="21">
        <f t="shared" si="17"/>
        <v>7.8352100840336192</v>
      </c>
      <c r="L230" s="8">
        <f t="shared" si="18"/>
        <v>5.2234733893557461</v>
      </c>
      <c r="M230" s="30" t="str">
        <f t="shared" si="19"/>
        <v>October</v>
      </c>
    </row>
    <row r="231" spans="1:13">
      <c r="A231" s="9" t="s">
        <v>451</v>
      </c>
      <c r="B231" s="8">
        <v>24</v>
      </c>
      <c r="C231" s="8" t="s">
        <v>51</v>
      </c>
      <c r="D231" s="8" t="s">
        <v>36</v>
      </c>
      <c r="E231" s="34">
        <v>45903</v>
      </c>
      <c r="F231" s="8">
        <v>431</v>
      </c>
      <c r="G231" s="8">
        <v>141.19</v>
      </c>
      <c r="H231" s="10">
        <v>19.43</v>
      </c>
      <c r="I231" s="21">
        <f t="shared" si="15"/>
        <v>118.64705882352942</v>
      </c>
      <c r="J231" s="21">
        <f t="shared" si="16"/>
        <v>83.743300000000005</v>
      </c>
      <c r="K231" s="21">
        <f t="shared" si="17"/>
        <v>34.903758823529415</v>
      </c>
      <c r="L231" s="8">
        <f t="shared" si="18"/>
        <v>8.0983199126518368</v>
      </c>
      <c r="M231" s="30" t="str">
        <f t="shared" si="19"/>
        <v>April</v>
      </c>
    </row>
    <row r="232" spans="1:13">
      <c r="A232" s="9" t="s">
        <v>452</v>
      </c>
      <c r="B232" s="8">
        <v>24</v>
      </c>
      <c r="C232" s="8" t="s">
        <v>39</v>
      </c>
      <c r="D232" s="8" t="s">
        <v>46</v>
      </c>
      <c r="E232" s="37">
        <v>45790</v>
      </c>
      <c r="F232" s="8">
        <v>165</v>
      </c>
      <c r="G232" s="8">
        <v>70.19</v>
      </c>
      <c r="H232" s="10">
        <v>32.32</v>
      </c>
      <c r="I232" s="21">
        <f t="shared" si="15"/>
        <v>58.983193277310924</v>
      </c>
      <c r="J232" s="21">
        <f t="shared" si="16"/>
        <v>53.328000000000003</v>
      </c>
      <c r="K232" s="21">
        <f t="shared" si="17"/>
        <v>5.6551932773109215</v>
      </c>
      <c r="L232" s="8">
        <f t="shared" si="18"/>
        <v>3.4273898650369219</v>
      </c>
      <c r="M232" s="30" t="str">
        <f t="shared" si="19"/>
        <v>July</v>
      </c>
    </row>
    <row r="233" spans="1:13">
      <c r="A233" s="9" t="s">
        <v>454</v>
      </c>
      <c r="B233" s="8">
        <v>12</v>
      </c>
      <c r="C233" s="8" t="s">
        <v>35</v>
      </c>
      <c r="D233" s="8" t="s">
        <v>46</v>
      </c>
      <c r="E233" s="34">
        <v>45479</v>
      </c>
      <c r="F233" s="8">
        <v>267</v>
      </c>
      <c r="G233" s="8">
        <v>101.53</v>
      </c>
      <c r="H233" s="10">
        <v>27.96</v>
      </c>
      <c r="I233" s="21">
        <f t="shared" si="15"/>
        <v>85.319327731092443</v>
      </c>
      <c r="J233" s="21">
        <f t="shared" si="16"/>
        <v>74.653200000000012</v>
      </c>
      <c r="K233" s="21">
        <f t="shared" si="17"/>
        <v>10.666127731092431</v>
      </c>
      <c r="L233" s="8">
        <f t="shared" si="18"/>
        <v>3.9948043936675766</v>
      </c>
      <c r="M233" s="30" t="str">
        <f t="shared" si="19"/>
        <v>August</v>
      </c>
    </row>
    <row r="234" spans="1:13">
      <c r="A234" s="9" t="s">
        <v>456</v>
      </c>
      <c r="B234" s="8">
        <v>24</v>
      </c>
      <c r="C234" s="8" t="s">
        <v>39</v>
      </c>
      <c r="D234" s="8" t="s">
        <v>36</v>
      </c>
      <c r="E234" s="34" t="s">
        <v>376</v>
      </c>
      <c r="F234" s="8">
        <v>132</v>
      </c>
      <c r="G234" s="8">
        <v>57.85</v>
      </c>
      <c r="H234" s="10">
        <v>31.03</v>
      </c>
      <c r="I234" s="21">
        <f t="shared" si="15"/>
        <v>48.613445378151262</v>
      </c>
      <c r="J234" s="21">
        <f t="shared" si="16"/>
        <v>40.959600000000002</v>
      </c>
      <c r="K234" s="21">
        <f t="shared" si="17"/>
        <v>7.6538453781512601</v>
      </c>
      <c r="L234" s="8">
        <f t="shared" si="18"/>
        <v>5.7983677107206519</v>
      </c>
      <c r="M234" s="30" t="str">
        <f t="shared" si="19"/>
        <v>July</v>
      </c>
    </row>
    <row r="235" spans="1:13">
      <c r="A235" s="9" t="s">
        <v>457</v>
      </c>
      <c r="B235" s="8">
        <v>12</v>
      </c>
      <c r="C235" s="8" t="s">
        <v>39</v>
      </c>
      <c r="D235" s="8" t="s">
        <v>36</v>
      </c>
      <c r="E235" s="34" t="s">
        <v>458</v>
      </c>
      <c r="F235" s="8">
        <v>146</v>
      </c>
      <c r="G235" s="8">
        <v>65.69</v>
      </c>
      <c r="H235" s="10">
        <v>29.77</v>
      </c>
      <c r="I235" s="21">
        <f t="shared" si="15"/>
        <v>55.201680672268907</v>
      </c>
      <c r="J235" s="21">
        <f t="shared" si="16"/>
        <v>43.464199999999998</v>
      </c>
      <c r="K235" s="21">
        <f t="shared" si="17"/>
        <v>11.737480672268909</v>
      </c>
      <c r="L235" s="8">
        <f t="shared" si="18"/>
        <v>8.0393703234718554</v>
      </c>
      <c r="M235" s="30" t="str">
        <f t="shared" si="19"/>
        <v>October</v>
      </c>
    </row>
    <row r="236" spans="1:13">
      <c r="A236" s="9" t="s">
        <v>459</v>
      </c>
      <c r="B236" s="8">
        <v>12</v>
      </c>
      <c r="C236" s="8" t="s">
        <v>39</v>
      </c>
      <c r="D236" s="8" t="s">
        <v>46</v>
      </c>
      <c r="E236" s="34">
        <v>45573</v>
      </c>
      <c r="F236" s="8">
        <v>151</v>
      </c>
      <c r="G236" s="8">
        <v>60.81</v>
      </c>
      <c r="H236" s="10">
        <v>30.83</v>
      </c>
      <c r="I236" s="21">
        <f t="shared" si="15"/>
        <v>51.100840336134461</v>
      </c>
      <c r="J236" s="21">
        <f t="shared" si="16"/>
        <v>46.5533</v>
      </c>
      <c r="K236" s="21">
        <f t="shared" si="17"/>
        <v>4.5475403361344604</v>
      </c>
      <c r="L236" s="8">
        <f t="shared" si="18"/>
        <v>3.0116161166453379</v>
      </c>
      <c r="M236" s="30" t="str">
        <f t="shared" si="19"/>
        <v>February</v>
      </c>
    </row>
    <row r="237" spans="1:13">
      <c r="A237" s="9" t="s">
        <v>461</v>
      </c>
      <c r="B237" s="8">
        <v>24</v>
      </c>
      <c r="C237" s="8" t="s">
        <v>35</v>
      </c>
      <c r="D237" s="8" t="s">
        <v>46</v>
      </c>
      <c r="E237" s="34" t="s">
        <v>292</v>
      </c>
      <c r="F237" s="8">
        <v>276</v>
      </c>
      <c r="G237" s="8">
        <v>103.13</v>
      </c>
      <c r="H237" s="10">
        <v>23.56</v>
      </c>
      <c r="I237" s="21">
        <f t="shared" si="15"/>
        <v>86.663865546218489</v>
      </c>
      <c r="J237" s="21">
        <f t="shared" si="16"/>
        <v>65.025599999999997</v>
      </c>
      <c r="K237" s="21">
        <f t="shared" si="17"/>
        <v>21.638265546218491</v>
      </c>
      <c r="L237" s="8">
        <f t="shared" si="18"/>
        <v>7.8399512848617725</v>
      </c>
      <c r="M237" s="30" t="str">
        <f t="shared" si="19"/>
        <v>February</v>
      </c>
    </row>
    <row r="238" spans="1:13">
      <c r="A238" s="9" t="s">
        <v>462</v>
      </c>
      <c r="B238" s="8">
        <v>12</v>
      </c>
      <c r="C238" s="8" t="s">
        <v>39</v>
      </c>
      <c r="D238" s="8" t="s">
        <v>56</v>
      </c>
      <c r="E238" s="34">
        <v>45354</v>
      </c>
      <c r="F238" s="8">
        <v>94</v>
      </c>
      <c r="G238" s="8">
        <v>43.9</v>
      </c>
      <c r="H238" s="10">
        <v>28.92</v>
      </c>
      <c r="I238" s="21">
        <f t="shared" si="15"/>
        <v>36.890756302521012</v>
      </c>
      <c r="J238" s="21">
        <f t="shared" si="16"/>
        <v>27.184799999999999</v>
      </c>
      <c r="K238" s="21">
        <f t="shared" si="17"/>
        <v>9.7059563025210132</v>
      </c>
      <c r="L238" s="8">
        <f t="shared" si="18"/>
        <v>10.325485428213845</v>
      </c>
      <c r="M238" s="30" t="str">
        <f t="shared" si="19"/>
        <v>July</v>
      </c>
    </row>
    <row r="239" spans="1:13">
      <c r="A239" s="9" t="s">
        <v>463</v>
      </c>
      <c r="B239" s="8">
        <v>12</v>
      </c>
      <c r="C239" s="8" t="s">
        <v>35</v>
      </c>
      <c r="D239" s="8" t="s">
        <v>46</v>
      </c>
      <c r="E239" s="34" t="s">
        <v>464</v>
      </c>
      <c r="F239" s="8">
        <v>223</v>
      </c>
      <c r="G239" s="8">
        <v>90.63</v>
      </c>
      <c r="H239" s="10">
        <v>24.39</v>
      </c>
      <c r="I239" s="21">
        <f t="shared" si="15"/>
        <v>76.159663865546221</v>
      </c>
      <c r="J239" s="21">
        <f t="shared" si="16"/>
        <v>54.389700000000005</v>
      </c>
      <c r="K239" s="21">
        <f t="shared" si="17"/>
        <v>21.769963865546217</v>
      </c>
      <c r="L239" s="8">
        <f t="shared" si="18"/>
        <v>9.7623156347740885</v>
      </c>
      <c r="M239" s="30" t="str">
        <f t="shared" si="19"/>
        <v>November</v>
      </c>
    </row>
    <row r="240" spans="1:13">
      <c r="A240" s="9" t="s">
        <v>465</v>
      </c>
      <c r="B240" s="8">
        <v>24</v>
      </c>
      <c r="C240" s="8" t="s">
        <v>39</v>
      </c>
      <c r="D240" s="8" t="s">
        <v>56</v>
      </c>
      <c r="E240" s="34" t="s">
        <v>466</v>
      </c>
      <c r="F240" s="8">
        <v>161</v>
      </c>
      <c r="G240" s="8">
        <v>70.67</v>
      </c>
      <c r="H240" s="10">
        <v>31.71</v>
      </c>
      <c r="I240" s="21">
        <f t="shared" si="15"/>
        <v>59.386554621848745</v>
      </c>
      <c r="J240" s="21">
        <f t="shared" si="16"/>
        <v>51.053100000000001</v>
      </c>
      <c r="K240" s="21">
        <f t="shared" si="17"/>
        <v>8.3334546218487446</v>
      </c>
      <c r="L240" s="8">
        <f t="shared" si="18"/>
        <v>5.176058771334624</v>
      </c>
      <c r="M240" s="30" t="str">
        <f t="shared" si="19"/>
        <v>February</v>
      </c>
    </row>
    <row r="241" spans="1:13">
      <c r="A241" s="9" t="s">
        <v>467</v>
      </c>
      <c r="B241" s="8">
        <v>12</v>
      </c>
      <c r="C241" s="8" t="s">
        <v>39</v>
      </c>
      <c r="D241" s="8" t="s">
        <v>46</v>
      </c>
      <c r="E241" s="34" t="s">
        <v>423</v>
      </c>
      <c r="F241" s="8">
        <v>102</v>
      </c>
      <c r="G241" s="8">
        <v>49.06</v>
      </c>
      <c r="H241" s="10">
        <v>31.72</v>
      </c>
      <c r="I241" s="21">
        <f t="shared" si="15"/>
        <v>41.226890756302524</v>
      </c>
      <c r="J241" s="21">
        <f t="shared" si="16"/>
        <v>32.354399999999998</v>
      </c>
      <c r="K241" s="21">
        <f t="shared" si="17"/>
        <v>8.8724907563025255</v>
      </c>
      <c r="L241" s="8">
        <f t="shared" si="18"/>
        <v>8.6985203493162011</v>
      </c>
      <c r="M241" s="30" t="str">
        <f t="shared" si="19"/>
        <v>February</v>
      </c>
    </row>
    <row r="242" spans="1:13">
      <c r="A242" s="9" t="s">
        <v>468</v>
      </c>
      <c r="B242" s="8">
        <v>24</v>
      </c>
      <c r="C242" s="8" t="s">
        <v>35</v>
      </c>
      <c r="D242" s="8" t="s">
        <v>36</v>
      </c>
      <c r="E242" s="34">
        <v>45721</v>
      </c>
      <c r="F242" s="8">
        <v>229</v>
      </c>
      <c r="G242" s="8">
        <v>92.19</v>
      </c>
      <c r="H242" s="10">
        <v>25.37</v>
      </c>
      <c r="I242" s="21">
        <f t="shared" si="15"/>
        <v>77.470588235294116</v>
      </c>
      <c r="J242" s="21">
        <f t="shared" si="16"/>
        <v>58.097300000000004</v>
      </c>
      <c r="K242" s="21">
        <f t="shared" si="17"/>
        <v>19.373288235294112</v>
      </c>
      <c r="L242" s="8">
        <f t="shared" si="18"/>
        <v>8.4599511944515768</v>
      </c>
      <c r="M242" s="30" t="str">
        <f t="shared" si="19"/>
        <v>October</v>
      </c>
    </row>
    <row r="243" spans="1:13">
      <c r="A243" s="9" t="s">
        <v>470</v>
      </c>
      <c r="B243" s="8">
        <v>24</v>
      </c>
      <c r="C243" s="8" t="s">
        <v>51</v>
      </c>
      <c r="D243" s="8" t="s">
        <v>36</v>
      </c>
      <c r="E243" s="34" t="s">
        <v>471</v>
      </c>
      <c r="F243" s="8">
        <v>477</v>
      </c>
      <c r="G243" s="8">
        <v>161.1</v>
      </c>
      <c r="H243" s="10">
        <v>21.14</v>
      </c>
      <c r="I243" s="21">
        <f t="shared" si="15"/>
        <v>135.37815126050421</v>
      </c>
      <c r="J243" s="21">
        <f t="shared" si="16"/>
        <v>100.8378</v>
      </c>
      <c r="K243" s="21">
        <f t="shared" si="17"/>
        <v>34.54035126050421</v>
      </c>
      <c r="L243" s="8">
        <f t="shared" si="18"/>
        <v>7.2411637862692269</v>
      </c>
      <c r="M243" s="30" t="str">
        <f t="shared" si="19"/>
        <v>May</v>
      </c>
    </row>
    <row r="244" spans="1:13">
      <c r="A244" s="9" t="s">
        <v>472</v>
      </c>
      <c r="B244" s="8">
        <v>24</v>
      </c>
      <c r="C244" s="8" t="s">
        <v>39</v>
      </c>
      <c r="D244" s="8" t="s">
        <v>46</v>
      </c>
      <c r="E244" s="34" t="s">
        <v>275</v>
      </c>
      <c r="F244" s="8">
        <v>120</v>
      </c>
      <c r="G244" s="8">
        <v>53.63</v>
      </c>
      <c r="H244" s="10">
        <v>28.85</v>
      </c>
      <c r="I244" s="21">
        <f t="shared" si="15"/>
        <v>45.067226890756309</v>
      </c>
      <c r="J244" s="21">
        <f t="shared" si="16"/>
        <v>34.619999999999997</v>
      </c>
      <c r="K244" s="21">
        <f t="shared" si="17"/>
        <v>10.447226890756312</v>
      </c>
      <c r="L244" s="8">
        <f t="shared" si="18"/>
        <v>8.7060224089635927</v>
      </c>
      <c r="M244" s="30" t="str">
        <f t="shared" si="19"/>
        <v>June</v>
      </c>
    </row>
    <row r="245" spans="1:13">
      <c r="A245" s="9" t="s">
        <v>473</v>
      </c>
      <c r="B245" s="8">
        <v>12</v>
      </c>
      <c r="C245" s="8" t="s">
        <v>35</v>
      </c>
      <c r="D245" s="8" t="s">
        <v>46</v>
      </c>
      <c r="E245" s="34">
        <v>45571</v>
      </c>
      <c r="F245" s="8">
        <v>269</v>
      </c>
      <c r="G245" s="8">
        <v>101.78</v>
      </c>
      <c r="H245" s="10">
        <v>27.98</v>
      </c>
      <c r="I245" s="21">
        <f t="shared" si="15"/>
        <v>85.529411764705884</v>
      </c>
      <c r="J245" s="21">
        <f t="shared" si="16"/>
        <v>75.266199999999998</v>
      </c>
      <c r="K245" s="21">
        <f t="shared" si="17"/>
        <v>10.263211764705886</v>
      </c>
      <c r="L245" s="8">
        <f t="shared" si="18"/>
        <v>3.8153203586267233</v>
      </c>
      <c r="M245" s="30" t="str">
        <f t="shared" si="19"/>
        <v>December</v>
      </c>
    </row>
    <row r="246" spans="1:13">
      <c r="A246" s="9" t="s">
        <v>474</v>
      </c>
      <c r="B246" s="8">
        <v>12</v>
      </c>
      <c r="C246" s="8" t="s">
        <v>51</v>
      </c>
      <c r="D246" s="8" t="s">
        <v>36</v>
      </c>
      <c r="E246" s="34" t="s">
        <v>466</v>
      </c>
      <c r="F246" s="8">
        <v>648</v>
      </c>
      <c r="G246" s="8">
        <v>210.97</v>
      </c>
      <c r="H246" s="10">
        <v>21.41</v>
      </c>
      <c r="I246" s="21">
        <f t="shared" si="15"/>
        <v>177.28571428571431</v>
      </c>
      <c r="J246" s="21">
        <f t="shared" si="16"/>
        <v>138.73680000000002</v>
      </c>
      <c r="K246" s="21">
        <f t="shared" si="17"/>
        <v>38.548914285714289</v>
      </c>
      <c r="L246" s="8">
        <f t="shared" si="18"/>
        <v>5.948906525573193</v>
      </c>
      <c r="M246" s="30" t="str">
        <f t="shared" si="19"/>
        <v>February</v>
      </c>
    </row>
    <row r="247" spans="1:13">
      <c r="A247" s="9" t="s">
        <v>475</v>
      </c>
      <c r="B247" s="8">
        <v>24</v>
      </c>
      <c r="C247" s="8" t="s">
        <v>35</v>
      </c>
      <c r="D247" s="8" t="s">
        <v>36</v>
      </c>
      <c r="E247" s="34">
        <v>45753</v>
      </c>
      <c r="F247" s="8">
        <v>207</v>
      </c>
      <c r="G247" s="8">
        <v>85.79</v>
      </c>
      <c r="H247" s="10">
        <v>24.6</v>
      </c>
      <c r="I247" s="21">
        <f t="shared" si="15"/>
        <v>72.092436974789919</v>
      </c>
      <c r="J247" s="21">
        <f t="shared" si="16"/>
        <v>50.922000000000004</v>
      </c>
      <c r="K247" s="21">
        <f t="shared" si="17"/>
        <v>21.170436974789915</v>
      </c>
      <c r="L247" s="8">
        <f t="shared" si="18"/>
        <v>10.227264239028946</v>
      </c>
      <c r="M247" s="30" t="str">
        <f t="shared" si="19"/>
        <v>June</v>
      </c>
    </row>
    <row r="248" spans="1:13">
      <c r="A248" s="9" t="s">
        <v>477</v>
      </c>
      <c r="B248" s="8">
        <v>12</v>
      </c>
      <c r="C248" s="8" t="s">
        <v>39</v>
      </c>
      <c r="D248" s="8" t="s">
        <v>56</v>
      </c>
      <c r="E248" s="34" t="s">
        <v>478</v>
      </c>
      <c r="F248" s="8">
        <v>93</v>
      </c>
      <c r="G248" s="8">
        <v>43.74</v>
      </c>
      <c r="H248" s="10">
        <v>31.22</v>
      </c>
      <c r="I248" s="21">
        <f t="shared" si="15"/>
        <v>36.756302521008408</v>
      </c>
      <c r="J248" s="21">
        <f t="shared" si="16"/>
        <v>29.034600000000001</v>
      </c>
      <c r="K248" s="21">
        <f t="shared" si="17"/>
        <v>7.7217025210084067</v>
      </c>
      <c r="L248" s="8">
        <f t="shared" si="18"/>
        <v>8.3029059365681785</v>
      </c>
      <c r="M248" s="30" t="str">
        <f t="shared" si="19"/>
        <v>March</v>
      </c>
    </row>
    <row r="249" spans="1:13">
      <c r="A249" s="9" t="s">
        <v>479</v>
      </c>
      <c r="B249" s="8">
        <v>24</v>
      </c>
      <c r="C249" s="8" t="s">
        <v>39</v>
      </c>
      <c r="D249" s="8" t="s">
        <v>36</v>
      </c>
      <c r="E249" s="34">
        <v>45542</v>
      </c>
      <c r="F249" s="8">
        <v>100</v>
      </c>
      <c r="G249" s="8">
        <v>45.64</v>
      </c>
      <c r="H249" s="10">
        <v>30.86</v>
      </c>
      <c r="I249" s="21">
        <f t="shared" si="15"/>
        <v>38.352941176470587</v>
      </c>
      <c r="J249" s="21">
        <f t="shared" si="16"/>
        <v>30.86</v>
      </c>
      <c r="K249" s="21">
        <f t="shared" si="17"/>
        <v>7.4929411764705875</v>
      </c>
      <c r="L249" s="8">
        <f t="shared" si="18"/>
        <v>7.4929411764705867</v>
      </c>
      <c r="M249" s="30" t="str">
        <f t="shared" si="19"/>
        <v>July</v>
      </c>
    </row>
    <row r="250" spans="1:13">
      <c r="A250" s="9" t="s">
        <v>481</v>
      </c>
      <c r="B250" s="8">
        <v>24</v>
      </c>
      <c r="C250" s="8" t="s">
        <v>51</v>
      </c>
      <c r="D250" s="8" t="s">
        <v>36</v>
      </c>
      <c r="E250" s="34">
        <v>45599</v>
      </c>
      <c r="F250" s="8">
        <v>629</v>
      </c>
      <c r="G250" s="8">
        <v>211.4</v>
      </c>
      <c r="H250" s="10">
        <v>19.47</v>
      </c>
      <c r="I250" s="21">
        <f t="shared" si="15"/>
        <v>177.64705882352942</v>
      </c>
      <c r="J250" s="21">
        <f t="shared" si="16"/>
        <v>122.46629999999999</v>
      </c>
      <c r="K250" s="21">
        <f t="shared" si="17"/>
        <v>55.18075882352943</v>
      </c>
      <c r="L250" s="8">
        <f t="shared" si="18"/>
        <v>8.772775647619941</v>
      </c>
      <c r="M250" s="30" t="str">
        <f t="shared" si="19"/>
        <v>April</v>
      </c>
    </row>
    <row r="251" spans="1:13">
      <c r="A251" s="9" t="s">
        <v>482</v>
      </c>
      <c r="B251" s="8">
        <v>24</v>
      </c>
      <c r="C251" s="8" t="s">
        <v>39</v>
      </c>
      <c r="D251" s="8" t="s">
        <v>36</v>
      </c>
      <c r="E251" s="34">
        <v>45568</v>
      </c>
      <c r="F251" s="8">
        <v>137</v>
      </c>
      <c r="G251" s="8">
        <v>62.46</v>
      </c>
      <c r="H251" s="10">
        <v>28.21</v>
      </c>
      <c r="I251" s="21">
        <f t="shared" si="15"/>
        <v>52.487394957983199</v>
      </c>
      <c r="J251" s="21">
        <f t="shared" si="16"/>
        <v>38.6477</v>
      </c>
      <c r="K251" s="21">
        <f t="shared" si="17"/>
        <v>13.839694957983198</v>
      </c>
      <c r="L251" s="8">
        <f t="shared" si="18"/>
        <v>10.101967122615472</v>
      </c>
      <c r="M251" s="30" t="str">
        <f t="shared" si="19"/>
        <v>September</v>
      </c>
    </row>
    <row r="252" spans="1:13">
      <c r="A252" s="9" t="s">
        <v>483</v>
      </c>
      <c r="B252" s="8">
        <v>12</v>
      </c>
      <c r="C252" s="8" t="s">
        <v>51</v>
      </c>
      <c r="D252" s="8" t="s">
        <v>36</v>
      </c>
      <c r="E252" s="34" t="s">
        <v>484</v>
      </c>
      <c r="F252" s="8">
        <v>428</v>
      </c>
      <c r="G252" s="8">
        <v>141.15</v>
      </c>
      <c r="H252" s="10">
        <v>18.77</v>
      </c>
      <c r="I252" s="21">
        <f t="shared" si="15"/>
        <v>118.61344537815127</v>
      </c>
      <c r="J252" s="21">
        <f t="shared" si="16"/>
        <v>80.335599999999999</v>
      </c>
      <c r="K252" s="21">
        <f t="shared" si="17"/>
        <v>38.27784537815127</v>
      </c>
      <c r="L252" s="8">
        <f t="shared" si="18"/>
        <v>8.9434218173250635</v>
      </c>
      <c r="M252" s="30" t="str">
        <f t="shared" si="19"/>
        <v>August</v>
      </c>
    </row>
    <row r="253" spans="1:13">
      <c r="A253" s="9" t="s">
        <v>485</v>
      </c>
      <c r="B253" s="8">
        <v>12</v>
      </c>
      <c r="C253" s="8" t="s">
        <v>35</v>
      </c>
      <c r="D253" s="8" t="s">
        <v>36</v>
      </c>
      <c r="E253" s="34" t="s">
        <v>486</v>
      </c>
      <c r="F253" s="8">
        <v>302</v>
      </c>
      <c r="G253" s="8">
        <v>109.4</v>
      </c>
      <c r="H253" s="10">
        <v>24.7</v>
      </c>
      <c r="I253" s="21">
        <f t="shared" si="15"/>
        <v>91.932773109243712</v>
      </c>
      <c r="J253" s="21">
        <f t="shared" si="16"/>
        <v>74.593999999999994</v>
      </c>
      <c r="K253" s="21">
        <f t="shared" si="17"/>
        <v>17.338773109243718</v>
      </c>
      <c r="L253" s="8">
        <f t="shared" si="18"/>
        <v>5.7413155990873239</v>
      </c>
      <c r="M253" s="30" t="str">
        <f t="shared" si="19"/>
        <v>February</v>
      </c>
    </row>
    <row r="254" spans="1:13">
      <c r="A254" s="9" t="s">
        <v>487</v>
      </c>
      <c r="B254" s="8">
        <v>24</v>
      </c>
      <c r="C254" s="8" t="s">
        <v>51</v>
      </c>
      <c r="D254" s="8" t="s">
        <v>36</v>
      </c>
      <c r="E254" s="34">
        <v>45327</v>
      </c>
      <c r="F254" s="8">
        <v>621</v>
      </c>
      <c r="G254" s="8">
        <v>202.59</v>
      </c>
      <c r="H254" s="10">
        <v>19.89</v>
      </c>
      <c r="I254" s="21">
        <f t="shared" si="15"/>
        <v>170.24369747899161</v>
      </c>
      <c r="J254" s="21">
        <f t="shared" si="16"/>
        <v>123.51690000000001</v>
      </c>
      <c r="K254" s="21">
        <f t="shared" si="17"/>
        <v>46.7267974789916</v>
      </c>
      <c r="L254" s="8">
        <f t="shared" si="18"/>
        <v>7.5244440384849591</v>
      </c>
      <c r="M254" s="30" t="str">
        <f t="shared" si="19"/>
        <v>April</v>
      </c>
    </row>
    <row r="255" spans="1:13">
      <c r="A255" s="9" t="s">
        <v>489</v>
      </c>
      <c r="B255" s="8">
        <v>12</v>
      </c>
      <c r="C255" s="8" t="s">
        <v>51</v>
      </c>
      <c r="D255" s="8" t="s">
        <v>36</v>
      </c>
      <c r="E255" s="34">
        <v>45544</v>
      </c>
      <c r="F255" s="8">
        <v>616</v>
      </c>
      <c r="G255" s="8">
        <v>200.57</v>
      </c>
      <c r="H255" s="10">
        <v>18.37</v>
      </c>
      <c r="I255" s="21">
        <f t="shared" si="15"/>
        <v>168.54621848739495</v>
      </c>
      <c r="J255" s="21">
        <f t="shared" si="16"/>
        <v>113.1592</v>
      </c>
      <c r="K255" s="21">
        <f t="shared" si="17"/>
        <v>55.387018487394954</v>
      </c>
      <c r="L255" s="8">
        <f t="shared" si="18"/>
        <v>8.9913991050965834</v>
      </c>
      <c r="M255" s="30" t="str">
        <f t="shared" si="19"/>
        <v>September</v>
      </c>
    </row>
    <row r="256" spans="1:13">
      <c r="A256" s="9" t="s">
        <v>490</v>
      </c>
      <c r="B256" s="8">
        <v>12</v>
      </c>
      <c r="C256" s="8" t="s">
        <v>51</v>
      </c>
      <c r="D256" s="8" t="s">
        <v>46</v>
      </c>
      <c r="E256" s="34">
        <v>45567</v>
      </c>
      <c r="F256" s="8">
        <v>640</v>
      </c>
      <c r="G256" s="8">
        <v>201.88</v>
      </c>
      <c r="H256" s="10">
        <v>21.21</v>
      </c>
      <c r="I256" s="21">
        <f t="shared" si="15"/>
        <v>169.64705882352942</v>
      </c>
      <c r="J256" s="21">
        <f t="shared" si="16"/>
        <v>135.74400000000003</v>
      </c>
      <c r="K256" s="21">
        <f t="shared" si="17"/>
        <v>33.903058823529392</v>
      </c>
      <c r="L256" s="8">
        <f t="shared" si="18"/>
        <v>5.2973529411764675</v>
      </c>
      <c r="M256" s="30" t="str">
        <f t="shared" si="19"/>
        <v>August</v>
      </c>
    </row>
    <row r="257" spans="1:13">
      <c r="A257" s="9" t="s">
        <v>492</v>
      </c>
      <c r="B257" s="8">
        <v>24</v>
      </c>
      <c r="C257" s="8" t="s">
        <v>35</v>
      </c>
      <c r="D257" s="8" t="s">
        <v>36</v>
      </c>
      <c r="E257" s="34" t="s">
        <v>493</v>
      </c>
      <c r="F257" s="8">
        <v>209</v>
      </c>
      <c r="G257" s="8">
        <v>84.67</v>
      </c>
      <c r="H257" s="10">
        <v>22.67</v>
      </c>
      <c r="I257" s="21">
        <f t="shared" si="15"/>
        <v>71.151260504201687</v>
      </c>
      <c r="J257" s="21">
        <f t="shared" si="16"/>
        <v>47.380300000000005</v>
      </c>
      <c r="K257" s="21">
        <f t="shared" si="17"/>
        <v>23.770960504201682</v>
      </c>
      <c r="L257" s="8">
        <f t="shared" si="18"/>
        <v>11.373665313015159</v>
      </c>
      <c r="M257" s="30" t="str">
        <f t="shared" si="19"/>
        <v>March</v>
      </c>
    </row>
    <row r="258" spans="1:13">
      <c r="A258" s="9" t="s">
        <v>494</v>
      </c>
      <c r="B258" s="8">
        <v>24</v>
      </c>
      <c r="C258" s="8" t="s">
        <v>51</v>
      </c>
      <c r="D258" s="8" t="s">
        <v>56</v>
      </c>
      <c r="E258" s="34">
        <v>45780</v>
      </c>
      <c r="F258" s="8">
        <v>585</v>
      </c>
      <c r="G258" s="8">
        <v>206.52</v>
      </c>
      <c r="H258" s="10">
        <v>19</v>
      </c>
      <c r="I258" s="21">
        <f t="shared" ref="I258:I321" si="20">G258/1.19</f>
        <v>173.54621848739498</v>
      </c>
      <c r="J258" s="21">
        <f t="shared" ref="J258:J321" si="21">F258*H258/100</f>
        <v>111.15</v>
      </c>
      <c r="K258" s="21">
        <f t="shared" ref="K258:K321" si="22">I258-J258</f>
        <v>62.396218487394975</v>
      </c>
      <c r="L258" s="8">
        <f t="shared" ref="L258:L321" si="23">IF(F258=0,"",K258/F258*100)</f>
        <v>10.666020254255551</v>
      </c>
      <c r="M258" s="30" t="str">
        <f t="shared" ref="M258:M321" si="24">TEXT(DATE(RIGHT(E258,4),MID(E258,4,2),LEFT(E258,2)),"mmmm")</f>
        <v>September</v>
      </c>
    </row>
    <row r="259" spans="1:13">
      <c r="A259" s="9" t="s">
        <v>495</v>
      </c>
      <c r="B259" s="8">
        <v>24</v>
      </c>
      <c r="C259" s="8" t="s">
        <v>35</v>
      </c>
      <c r="D259" s="8" t="s">
        <v>56</v>
      </c>
      <c r="E259" s="34" t="s">
        <v>496</v>
      </c>
      <c r="F259" s="8">
        <v>243</v>
      </c>
      <c r="G259" s="8">
        <v>92.98</v>
      </c>
      <c r="H259" s="10">
        <v>24.76</v>
      </c>
      <c r="I259" s="21">
        <f t="shared" si="20"/>
        <v>78.134453781512619</v>
      </c>
      <c r="J259" s="21">
        <f t="shared" si="21"/>
        <v>60.166800000000002</v>
      </c>
      <c r="K259" s="21">
        <f t="shared" si="22"/>
        <v>17.967653781512617</v>
      </c>
      <c r="L259" s="8">
        <f t="shared" si="23"/>
        <v>7.3940962063837929</v>
      </c>
      <c r="M259" s="30" t="str">
        <f t="shared" si="24"/>
        <v>June</v>
      </c>
    </row>
    <row r="260" spans="1:13">
      <c r="A260" s="9" t="s">
        <v>497</v>
      </c>
      <c r="B260" s="8">
        <v>24</v>
      </c>
      <c r="C260" s="8" t="s">
        <v>35</v>
      </c>
      <c r="D260" s="8" t="s">
        <v>36</v>
      </c>
      <c r="E260" s="34" t="s">
        <v>177</v>
      </c>
      <c r="F260" s="8">
        <v>307</v>
      </c>
      <c r="G260" s="8">
        <v>114.62</v>
      </c>
      <c r="H260" s="10">
        <v>24.79</v>
      </c>
      <c r="I260" s="21">
        <f t="shared" si="20"/>
        <v>96.319327731092443</v>
      </c>
      <c r="J260" s="21">
        <f t="shared" si="21"/>
        <v>76.1053</v>
      </c>
      <c r="K260" s="21">
        <f t="shared" si="22"/>
        <v>20.214027731092443</v>
      </c>
      <c r="L260" s="8">
        <f t="shared" si="23"/>
        <v>6.5843738537760403</v>
      </c>
      <c r="M260" s="30" t="str">
        <f t="shared" si="24"/>
        <v>November</v>
      </c>
    </row>
    <row r="261" spans="1:13">
      <c r="A261" s="9" t="s">
        <v>498</v>
      </c>
      <c r="B261" s="8">
        <v>12</v>
      </c>
      <c r="C261" s="8" t="s">
        <v>35</v>
      </c>
      <c r="D261" s="8" t="s">
        <v>46</v>
      </c>
      <c r="E261" s="34" t="s">
        <v>499</v>
      </c>
      <c r="F261" s="8">
        <v>288</v>
      </c>
      <c r="G261" s="8">
        <v>106.07</v>
      </c>
      <c r="H261" s="10">
        <v>24.59</v>
      </c>
      <c r="I261" s="21">
        <f t="shared" si="20"/>
        <v>89.134453781512605</v>
      </c>
      <c r="J261" s="21">
        <f t="shared" si="21"/>
        <v>70.819199999999995</v>
      </c>
      <c r="K261" s="21">
        <f t="shared" si="22"/>
        <v>18.31525378151261</v>
      </c>
      <c r="L261" s="8">
        <f t="shared" si="23"/>
        <v>6.3594631185807673</v>
      </c>
      <c r="M261" s="30" t="str">
        <f t="shared" si="24"/>
        <v>September</v>
      </c>
    </row>
    <row r="262" spans="1:13">
      <c r="A262" s="9" t="s">
        <v>500</v>
      </c>
      <c r="B262" s="8">
        <v>24</v>
      </c>
      <c r="C262" s="8" t="s">
        <v>51</v>
      </c>
      <c r="D262" s="8" t="s">
        <v>36</v>
      </c>
      <c r="E262" s="34" t="s">
        <v>501</v>
      </c>
      <c r="F262" s="8">
        <v>592</v>
      </c>
      <c r="G262" s="8">
        <v>192.63</v>
      </c>
      <c r="H262" s="10">
        <v>17.88</v>
      </c>
      <c r="I262" s="21">
        <f t="shared" si="20"/>
        <v>161.87394957983193</v>
      </c>
      <c r="J262" s="21">
        <f t="shared" si="21"/>
        <v>105.8496</v>
      </c>
      <c r="K262" s="21">
        <f t="shared" si="22"/>
        <v>56.024349579831934</v>
      </c>
      <c r="L262" s="8">
        <f t="shared" si="23"/>
        <v>9.4635725641607991</v>
      </c>
      <c r="M262" s="30" t="str">
        <f t="shared" si="24"/>
        <v>July</v>
      </c>
    </row>
    <row r="263" spans="1:13">
      <c r="A263" s="9" t="s">
        <v>502</v>
      </c>
      <c r="B263" s="8">
        <v>24</v>
      </c>
      <c r="C263" s="8" t="s">
        <v>51</v>
      </c>
      <c r="D263" s="8" t="s">
        <v>56</v>
      </c>
      <c r="E263" s="34" t="s">
        <v>464</v>
      </c>
      <c r="F263" s="8">
        <v>552</v>
      </c>
      <c r="G263" s="8">
        <v>195.6</v>
      </c>
      <c r="H263" s="10">
        <v>17.28</v>
      </c>
      <c r="I263" s="21">
        <f t="shared" si="20"/>
        <v>164.36974789915968</v>
      </c>
      <c r="J263" s="21">
        <f t="shared" si="21"/>
        <v>95.385600000000011</v>
      </c>
      <c r="K263" s="21">
        <f t="shared" si="22"/>
        <v>68.984147899159666</v>
      </c>
      <c r="L263" s="8">
        <f t="shared" si="23"/>
        <v>12.49712824260139</v>
      </c>
      <c r="M263" s="30" t="str">
        <f t="shared" si="24"/>
        <v>November</v>
      </c>
    </row>
    <row r="264" spans="1:13">
      <c r="A264" s="9" t="s">
        <v>503</v>
      </c>
      <c r="B264" s="8">
        <v>12</v>
      </c>
      <c r="C264" s="8" t="s">
        <v>51</v>
      </c>
      <c r="D264" s="8" t="s">
        <v>36</v>
      </c>
      <c r="E264" s="34">
        <v>45300</v>
      </c>
      <c r="F264" s="8">
        <v>392</v>
      </c>
      <c r="G264" s="8">
        <v>132.08000000000001</v>
      </c>
      <c r="H264" s="10">
        <v>19.68</v>
      </c>
      <c r="I264" s="21">
        <f t="shared" si="20"/>
        <v>110.99159663865548</v>
      </c>
      <c r="J264" s="21">
        <f t="shared" si="21"/>
        <v>77.145600000000002</v>
      </c>
      <c r="K264" s="21">
        <f t="shared" si="22"/>
        <v>33.845996638655478</v>
      </c>
      <c r="L264" s="8">
        <f t="shared" si="23"/>
        <v>8.6341828159835412</v>
      </c>
      <c r="M264" s="30" t="str">
        <f t="shared" si="24"/>
        <v>January</v>
      </c>
    </row>
    <row r="265" spans="1:13">
      <c r="A265" s="9" t="s">
        <v>505</v>
      </c>
      <c r="B265" s="8">
        <v>12</v>
      </c>
      <c r="C265" s="8" t="s">
        <v>35</v>
      </c>
      <c r="D265" s="8" t="s">
        <v>46</v>
      </c>
      <c r="E265" s="34" t="s">
        <v>199</v>
      </c>
      <c r="F265" s="8">
        <v>258</v>
      </c>
      <c r="G265" s="8">
        <v>95.84</v>
      </c>
      <c r="H265" s="10">
        <v>24.4</v>
      </c>
      <c r="I265" s="21">
        <f t="shared" si="20"/>
        <v>80.537815126050432</v>
      </c>
      <c r="J265" s="21">
        <f t="shared" si="21"/>
        <v>62.951999999999998</v>
      </c>
      <c r="K265" s="21">
        <f t="shared" si="22"/>
        <v>17.585815126050434</v>
      </c>
      <c r="L265" s="8">
        <f t="shared" si="23"/>
        <v>6.8162074131978434</v>
      </c>
      <c r="M265" s="30" t="str">
        <f t="shared" si="24"/>
        <v>September</v>
      </c>
    </row>
    <row r="266" spans="1:13">
      <c r="A266" s="9" t="s">
        <v>506</v>
      </c>
      <c r="B266" s="8">
        <v>24</v>
      </c>
      <c r="C266" s="8" t="s">
        <v>35</v>
      </c>
      <c r="D266" s="8" t="s">
        <v>46</v>
      </c>
      <c r="E266" s="34">
        <v>45902</v>
      </c>
      <c r="F266" s="8">
        <v>330</v>
      </c>
      <c r="G266" s="8">
        <v>127.01</v>
      </c>
      <c r="H266" s="10">
        <v>22.72</v>
      </c>
      <c r="I266" s="21">
        <f t="shared" si="20"/>
        <v>106.73109243697481</v>
      </c>
      <c r="J266" s="21">
        <f t="shared" si="21"/>
        <v>74.975999999999999</v>
      </c>
      <c r="K266" s="21">
        <f t="shared" si="22"/>
        <v>31.755092436974806</v>
      </c>
      <c r="L266" s="8">
        <f t="shared" si="23"/>
        <v>9.6227552839317596</v>
      </c>
      <c r="M266" s="30" t="str">
        <f t="shared" si="24"/>
        <v>March</v>
      </c>
    </row>
    <row r="267" spans="1:13">
      <c r="A267" s="9" t="s">
        <v>507</v>
      </c>
      <c r="B267" s="8">
        <v>24</v>
      </c>
      <c r="C267" s="8" t="s">
        <v>35</v>
      </c>
      <c r="D267" s="8" t="s">
        <v>36</v>
      </c>
      <c r="E267" s="34" t="s">
        <v>508</v>
      </c>
      <c r="F267" s="8">
        <v>323</v>
      </c>
      <c r="G267" s="8">
        <v>118.46</v>
      </c>
      <c r="H267" s="10">
        <v>24.82</v>
      </c>
      <c r="I267" s="21">
        <f t="shared" si="20"/>
        <v>99.546218487394952</v>
      </c>
      <c r="J267" s="21">
        <f t="shared" si="21"/>
        <v>80.168599999999998</v>
      </c>
      <c r="K267" s="21">
        <f t="shared" si="22"/>
        <v>19.377618487394955</v>
      </c>
      <c r="L267" s="8">
        <f t="shared" si="23"/>
        <v>5.9992626895959615</v>
      </c>
      <c r="M267" s="30" t="str">
        <f t="shared" si="24"/>
        <v>May</v>
      </c>
    </row>
    <row r="268" spans="1:13">
      <c r="A268" s="9" t="s">
        <v>509</v>
      </c>
      <c r="B268" s="8">
        <v>24</v>
      </c>
      <c r="C268" s="8" t="s">
        <v>39</v>
      </c>
      <c r="D268" s="8" t="s">
        <v>36</v>
      </c>
      <c r="E268" s="34">
        <v>45362</v>
      </c>
      <c r="F268" s="8">
        <v>87</v>
      </c>
      <c r="G268" s="8">
        <v>42.64</v>
      </c>
      <c r="H268" s="10">
        <v>29.82</v>
      </c>
      <c r="I268" s="21">
        <f t="shared" si="20"/>
        <v>35.831932773109244</v>
      </c>
      <c r="J268" s="21">
        <f t="shared" si="21"/>
        <v>25.9434</v>
      </c>
      <c r="K268" s="21">
        <f t="shared" si="22"/>
        <v>9.8885327731092438</v>
      </c>
      <c r="L268" s="8">
        <f t="shared" si="23"/>
        <v>11.366129624263499</v>
      </c>
      <c r="M268" s="30" t="str">
        <f t="shared" si="24"/>
        <v>March</v>
      </c>
    </row>
    <row r="269" spans="1:13">
      <c r="A269" s="9" t="s">
        <v>511</v>
      </c>
      <c r="B269" s="8">
        <v>24</v>
      </c>
      <c r="C269" s="8" t="s">
        <v>39</v>
      </c>
      <c r="D269" s="8" t="s">
        <v>46</v>
      </c>
      <c r="E269" s="34" t="s">
        <v>512</v>
      </c>
      <c r="F269" s="8">
        <v>97</v>
      </c>
      <c r="G269" s="8">
        <v>43.59</v>
      </c>
      <c r="H269" s="10">
        <v>30.67</v>
      </c>
      <c r="I269" s="21">
        <f t="shared" si="20"/>
        <v>36.630252100840337</v>
      </c>
      <c r="J269" s="21">
        <f t="shared" si="21"/>
        <v>29.749900000000004</v>
      </c>
      <c r="K269" s="21">
        <f t="shared" si="22"/>
        <v>6.8803521008403337</v>
      </c>
      <c r="L269" s="8">
        <f t="shared" si="23"/>
        <v>7.0931464957116841</v>
      </c>
      <c r="M269" s="30" t="str">
        <f t="shared" si="24"/>
        <v>April</v>
      </c>
    </row>
    <row r="270" spans="1:13">
      <c r="A270" s="9" t="s">
        <v>513</v>
      </c>
      <c r="B270" s="8">
        <v>12</v>
      </c>
      <c r="C270" s="8" t="s">
        <v>35</v>
      </c>
      <c r="D270" s="8" t="s">
        <v>46</v>
      </c>
      <c r="E270" s="34" t="s">
        <v>177</v>
      </c>
      <c r="F270" s="8">
        <v>189</v>
      </c>
      <c r="G270" s="8">
        <v>78.95</v>
      </c>
      <c r="H270" s="10">
        <v>25.35</v>
      </c>
      <c r="I270" s="21">
        <f t="shared" si="20"/>
        <v>66.34453781512606</v>
      </c>
      <c r="J270" s="21">
        <f t="shared" si="21"/>
        <v>47.911500000000004</v>
      </c>
      <c r="K270" s="21">
        <f t="shared" si="22"/>
        <v>18.433037815126056</v>
      </c>
      <c r="L270" s="8">
        <f t="shared" si="23"/>
        <v>9.7529300609132576</v>
      </c>
      <c r="M270" s="30" t="str">
        <f t="shared" si="24"/>
        <v>November</v>
      </c>
    </row>
    <row r="271" spans="1:13">
      <c r="A271" s="9" t="s">
        <v>514</v>
      </c>
      <c r="B271" s="8">
        <v>12</v>
      </c>
      <c r="C271" s="8" t="s">
        <v>39</v>
      </c>
      <c r="D271" s="8" t="s">
        <v>36</v>
      </c>
      <c r="E271" s="34" t="s">
        <v>515</v>
      </c>
      <c r="F271" s="8">
        <v>144</v>
      </c>
      <c r="G271" s="8">
        <v>62.39</v>
      </c>
      <c r="H271" s="10">
        <v>28.68</v>
      </c>
      <c r="I271" s="21">
        <f t="shared" si="20"/>
        <v>52.428571428571431</v>
      </c>
      <c r="J271" s="21">
        <f t="shared" si="21"/>
        <v>41.299199999999999</v>
      </c>
      <c r="K271" s="21">
        <f t="shared" si="22"/>
        <v>11.129371428571432</v>
      </c>
      <c r="L271" s="8">
        <f t="shared" si="23"/>
        <v>7.7287301587301611</v>
      </c>
      <c r="M271" s="30" t="str">
        <f t="shared" si="24"/>
        <v>March</v>
      </c>
    </row>
    <row r="272" spans="1:13">
      <c r="A272" s="9" t="s">
        <v>516</v>
      </c>
      <c r="B272" s="8">
        <v>24</v>
      </c>
      <c r="C272" s="8" t="s">
        <v>39</v>
      </c>
      <c r="D272" s="8" t="s">
        <v>46</v>
      </c>
      <c r="E272" s="34">
        <v>45566</v>
      </c>
      <c r="F272" s="8">
        <v>152</v>
      </c>
      <c r="G272" s="8">
        <v>66.22</v>
      </c>
      <c r="H272" s="10">
        <v>28.08</v>
      </c>
      <c r="I272" s="21">
        <f t="shared" si="20"/>
        <v>55.647058823529413</v>
      </c>
      <c r="J272" s="21">
        <f t="shared" si="21"/>
        <v>42.681599999999996</v>
      </c>
      <c r="K272" s="21">
        <f t="shared" si="22"/>
        <v>12.965458823529417</v>
      </c>
      <c r="L272" s="8">
        <f t="shared" si="23"/>
        <v>8.5299071207430366</v>
      </c>
      <c r="M272" s="30" t="str">
        <f t="shared" si="24"/>
        <v>July</v>
      </c>
    </row>
    <row r="273" spans="1:13">
      <c r="A273" s="9" t="s">
        <v>518</v>
      </c>
      <c r="B273" s="8">
        <v>24</v>
      </c>
      <c r="C273" s="8" t="s">
        <v>39</v>
      </c>
      <c r="D273" s="8" t="s">
        <v>36</v>
      </c>
      <c r="E273" s="34" t="s">
        <v>195</v>
      </c>
      <c r="F273" s="8">
        <v>101</v>
      </c>
      <c r="G273" s="8">
        <v>50.1</v>
      </c>
      <c r="H273" s="10">
        <v>31.12</v>
      </c>
      <c r="I273" s="21">
        <f t="shared" si="20"/>
        <v>42.100840336134453</v>
      </c>
      <c r="J273" s="21">
        <f t="shared" si="21"/>
        <v>31.4312</v>
      </c>
      <c r="K273" s="21">
        <f t="shared" si="22"/>
        <v>10.669640336134453</v>
      </c>
      <c r="L273" s="8">
        <f t="shared" si="23"/>
        <v>10.564000332806389</v>
      </c>
      <c r="M273" s="30" t="str">
        <f t="shared" si="24"/>
        <v>April</v>
      </c>
    </row>
    <row r="274" spans="1:13">
      <c r="A274" s="9" t="s">
        <v>519</v>
      </c>
      <c r="B274" s="8">
        <v>24</v>
      </c>
      <c r="C274" s="8" t="s">
        <v>39</v>
      </c>
      <c r="D274" s="8" t="s">
        <v>46</v>
      </c>
      <c r="E274" s="34">
        <v>45630</v>
      </c>
      <c r="F274" s="8">
        <v>126</v>
      </c>
      <c r="G274" s="8">
        <v>54.32</v>
      </c>
      <c r="H274" s="10">
        <v>30.44</v>
      </c>
      <c r="I274" s="21">
        <f t="shared" si="20"/>
        <v>45.647058823529413</v>
      </c>
      <c r="J274" s="21">
        <f t="shared" si="21"/>
        <v>38.354399999999998</v>
      </c>
      <c r="K274" s="21">
        <f t="shared" si="22"/>
        <v>7.2926588235294147</v>
      </c>
      <c r="L274" s="8">
        <f t="shared" si="23"/>
        <v>5.7878244631185831</v>
      </c>
      <c r="M274" s="30" t="str">
        <f t="shared" si="24"/>
        <v>July</v>
      </c>
    </row>
    <row r="275" spans="1:13">
      <c r="A275" s="9" t="s">
        <v>521</v>
      </c>
      <c r="B275" s="8">
        <v>24</v>
      </c>
      <c r="C275" s="8" t="s">
        <v>39</v>
      </c>
      <c r="D275" s="8" t="s">
        <v>36</v>
      </c>
      <c r="E275" s="34" t="s">
        <v>522</v>
      </c>
      <c r="F275" s="8">
        <v>154</v>
      </c>
      <c r="G275" s="8">
        <v>63.72</v>
      </c>
      <c r="H275" s="10">
        <v>30.8</v>
      </c>
      <c r="I275" s="21">
        <f t="shared" si="20"/>
        <v>53.54621848739496</v>
      </c>
      <c r="J275" s="21">
        <f t="shared" si="21"/>
        <v>47.431999999999995</v>
      </c>
      <c r="K275" s="21">
        <f t="shared" si="22"/>
        <v>6.1142184873949645</v>
      </c>
      <c r="L275" s="8">
        <f t="shared" si="23"/>
        <v>3.9702717450616651</v>
      </c>
      <c r="M275" s="30" t="str">
        <f t="shared" si="24"/>
        <v>March</v>
      </c>
    </row>
    <row r="276" spans="1:13">
      <c r="A276" s="9" t="s">
        <v>523</v>
      </c>
      <c r="B276" s="8">
        <v>12</v>
      </c>
      <c r="C276" s="8" t="s">
        <v>51</v>
      </c>
      <c r="D276" s="8" t="s">
        <v>56</v>
      </c>
      <c r="E276" s="34">
        <v>45451</v>
      </c>
      <c r="F276" s="8">
        <v>578</v>
      </c>
      <c r="G276" s="8">
        <v>195.05</v>
      </c>
      <c r="H276" s="10">
        <v>20.69</v>
      </c>
      <c r="I276" s="21">
        <f t="shared" si="20"/>
        <v>163.9075630252101</v>
      </c>
      <c r="J276" s="21">
        <f t="shared" si="21"/>
        <v>119.58820000000001</v>
      </c>
      <c r="K276" s="21">
        <f t="shared" si="22"/>
        <v>44.31936302521008</v>
      </c>
      <c r="L276" s="8">
        <f t="shared" si="23"/>
        <v>7.6677098659533014</v>
      </c>
      <c r="M276" s="30" t="str">
        <f t="shared" si="24"/>
        <v>April</v>
      </c>
    </row>
    <row r="277" spans="1:13">
      <c r="A277" s="9" t="s">
        <v>524</v>
      </c>
      <c r="B277" s="8">
        <v>12</v>
      </c>
      <c r="C277" s="8" t="s">
        <v>35</v>
      </c>
      <c r="D277" s="8" t="s">
        <v>36</v>
      </c>
      <c r="E277" s="34">
        <v>45694</v>
      </c>
      <c r="F277" s="8">
        <v>257</v>
      </c>
      <c r="G277" s="8">
        <v>98.38</v>
      </c>
      <c r="H277" s="10">
        <v>25.21</v>
      </c>
      <c r="I277" s="21">
        <f t="shared" si="20"/>
        <v>82.672268907563023</v>
      </c>
      <c r="J277" s="21">
        <f t="shared" si="21"/>
        <v>64.789699999999996</v>
      </c>
      <c r="K277" s="21">
        <f t="shared" si="22"/>
        <v>17.882568907563027</v>
      </c>
      <c r="L277" s="8">
        <f t="shared" si="23"/>
        <v>6.958198018507014</v>
      </c>
      <c r="M277" s="30" t="str">
        <f t="shared" si="24"/>
        <v>November</v>
      </c>
    </row>
    <row r="278" spans="1:13">
      <c r="A278" s="9" t="s">
        <v>526</v>
      </c>
      <c r="B278" s="8">
        <v>24</v>
      </c>
      <c r="C278" s="8" t="s">
        <v>35</v>
      </c>
      <c r="D278" s="8" t="s">
        <v>36</v>
      </c>
      <c r="E278" s="34" t="s">
        <v>199</v>
      </c>
      <c r="F278" s="8">
        <v>265</v>
      </c>
      <c r="G278" s="8">
        <v>101.38</v>
      </c>
      <c r="H278" s="10">
        <v>25.84</v>
      </c>
      <c r="I278" s="21">
        <f t="shared" si="20"/>
        <v>85.193277310924373</v>
      </c>
      <c r="J278" s="21">
        <f t="shared" si="21"/>
        <v>68.475999999999999</v>
      </c>
      <c r="K278" s="21">
        <f t="shared" si="22"/>
        <v>16.717277310924374</v>
      </c>
      <c r="L278" s="8">
        <f t="shared" si="23"/>
        <v>6.3084065324242919</v>
      </c>
      <c r="M278" s="30" t="str">
        <f t="shared" si="24"/>
        <v>September</v>
      </c>
    </row>
    <row r="279" spans="1:13">
      <c r="A279" s="9" t="s">
        <v>527</v>
      </c>
      <c r="B279" s="8">
        <v>24</v>
      </c>
      <c r="C279" s="8" t="s">
        <v>35</v>
      </c>
      <c r="D279" s="8" t="s">
        <v>36</v>
      </c>
      <c r="E279" s="34" t="s">
        <v>367</v>
      </c>
      <c r="F279" s="8">
        <v>251</v>
      </c>
      <c r="G279" s="8">
        <v>94.45</v>
      </c>
      <c r="H279" s="10">
        <v>24.14</v>
      </c>
      <c r="I279" s="21">
        <f t="shared" si="20"/>
        <v>79.369747899159677</v>
      </c>
      <c r="J279" s="21">
        <f t="shared" si="21"/>
        <v>60.5914</v>
      </c>
      <c r="K279" s="21">
        <f t="shared" si="22"/>
        <v>18.778347899159677</v>
      </c>
      <c r="L279" s="8">
        <f t="shared" si="23"/>
        <v>7.4814135056413056</v>
      </c>
      <c r="M279" s="30" t="str">
        <f t="shared" si="24"/>
        <v>May</v>
      </c>
    </row>
    <row r="280" spans="1:13">
      <c r="A280" s="9" t="s">
        <v>528</v>
      </c>
      <c r="B280" s="8">
        <v>24</v>
      </c>
      <c r="C280" s="8" t="s">
        <v>39</v>
      </c>
      <c r="D280" s="8" t="s">
        <v>36</v>
      </c>
      <c r="E280" s="34" t="s">
        <v>529</v>
      </c>
      <c r="F280" s="8">
        <v>108</v>
      </c>
      <c r="G280" s="8">
        <v>48.29</v>
      </c>
      <c r="H280" s="10">
        <v>29.95</v>
      </c>
      <c r="I280" s="21">
        <f t="shared" si="20"/>
        <v>40.579831932773111</v>
      </c>
      <c r="J280" s="21">
        <f t="shared" si="21"/>
        <v>32.345999999999997</v>
      </c>
      <c r="K280" s="21">
        <f t="shared" si="22"/>
        <v>8.2338319327731142</v>
      </c>
      <c r="L280" s="8">
        <f t="shared" si="23"/>
        <v>7.6239184562714017</v>
      </c>
      <c r="M280" s="30" t="str">
        <f t="shared" si="24"/>
        <v>December</v>
      </c>
    </row>
    <row r="281" spans="1:13">
      <c r="A281" s="9" t="s">
        <v>530</v>
      </c>
      <c r="B281" s="8">
        <v>24</v>
      </c>
      <c r="C281" s="8" t="s">
        <v>51</v>
      </c>
      <c r="D281" s="8" t="s">
        <v>36</v>
      </c>
      <c r="E281" s="34">
        <v>45599</v>
      </c>
      <c r="F281" s="8">
        <v>522</v>
      </c>
      <c r="G281" s="8">
        <v>174.1</v>
      </c>
      <c r="H281" s="10">
        <v>18.510000000000002</v>
      </c>
      <c r="I281" s="21">
        <f t="shared" si="20"/>
        <v>146.30252100840337</v>
      </c>
      <c r="J281" s="21">
        <f t="shared" si="21"/>
        <v>96.622200000000007</v>
      </c>
      <c r="K281" s="21">
        <f t="shared" si="22"/>
        <v>49.680321008403368</v>
      </c>
      <c r="L281" s="8">
        <f t="shared" si="23"/>
        <v>9.5173028751730584</v>
      </c>
      <c r="M281" s="30" t="str">
        <f t="shared" si="24"/>
        <v>April</v>
      </c>
    </row>
    <row r="282" spans="1:13">
      <c r="A282" s="9" t="s">
        <v>531</v>
      </c>
      <c r="B282" s="8">
        <v>24</v>
      </c>
      <c r="C282" s="8" t="s">
        <v>51</v>
      </c>
      <c r="D282" s="8" t="s">
        <v>36</v>
      </c>
      <c r="E282" s="34">
        <v>45482</v>
      </c>
      <c r="F282" s="8">
        <v>563</v>
      </c>
      <c r="G282" s="8">
        <v>180.68</v>
      </c>
      <c r="H282" s="10">
        <v>17.27</v>
      </c>
      <c r="I282" s="21">
        <f t="shared" si="20"/>
        <v>151.83193277310926</v>
      </c>
      <c r="J282" s="21">
        <f t="shared" si="21"/>
        <v>97.230100000000007</v>
      </c>
      <c r="K282" s="21">
        <f t="shared" si="22"/>
        <v>54.601832773109251</v>
      </c>
      <c r="L282" s="8">
        <f t="shared" si="23"/>
        <v>9.6983717181366345</v>
      </c>
      <c r="M282" s="30" t="str">
        <f t="shared" si="24"/>
        <v>November</v>
      </c>
    </row>
    <row r="283" spans="1:13">
      <c r="A283" s="9" t="s">
        <v>532</v>
      </c>
      <c r="B283" s="8">
        <v>12</v>
      </c>
      <c r="C283" s="8" t="s">
        <v>39</v>
      </c>
      <c r="D283" s="8" t="s">
        <v>56</v>
      </c>
      <c r="E283" s="34" t="s">
        <v>533</v>
      </c>
      <c r="F283" s="8">
        <v>156</v>
      </c>
      <c r="G283" s="8">
        <v>66.23</v>
      </c>
      <c r="H283" s="10">
        <v>30.29</v>
      </c>
      <c r="I283" s="21">
        <f t="shared" si="20"/>
        <v>55.655462184873954</v>
      </c>
      <c r="J283" s="21">
        <f t="shared" si="21"/>
        <v>47.252399999999994</v>
      </c>
      <c r="K283" s="21">
        <f t="shared" si="22"/>
        <v>8.4030621848739599</v>
      </c>
      <c r="L283" s="8">
        <f t="shared" si="23"/>
        <v>5.3865783236371545</v>
      </c>
      <c r="M283" s="30" t="str">
        <f t="shared" si="24"/>
        <v>January</v>
      </c>
    </row>
    <row r="284" spans="1:13">
      <c r="A284" s="9" t="s">
        <v>534</v>
      </c>
      <c r="B284" s="8">
        <v>12</v>
      </c>
      <c r="C284" s="8" t="s">
        <v>35</v>
      </c>
      <c r="D284" s="8" t="s">
        <v>36</v>
      </c>
      <c r="E284" s="34" t="s">
        <v>535</v>
      </c>
      <c r="F284" s="8">
        <v>273</v>
      </c>
      <c r="G284" s="8">
        <v>101.51</v>
      </c>
      <c r="H284" s="10">
        <v>23.11</v>
      </c>
      <c r="I284" s="21">
        <f t="shared" si="20"/>
        <v>85.302521008403374</v>
      </c>
      <c r="J284" s="21">
        <f t="shared" si="21"/>
        <v>63.090299999999999</v>
      </c>
      <c r="K284" s="21">
        <f t="shared" si="22"/>
        <v>22.212221008403375</v>
      </c>
      <c r="L284" s="8">
        <f t="shared" si="23"/>
        <v>8.1363446917228472</v>
      </c>
      <c r="M284" s="30" t="str">
        <f t="shared" si="24"/>
        <v>October</v>
      </c>
    </row>
    <row r="285" spans="1:13">
      <c r="A285" s="9" t="s">
        <v>536</v>
      </c>
      <c r="B285" s="8">
        <v>12</v>
      </c>
      <c r="C285" s="8" t="s">
        <v>51</v>
      </c>
      <c r="D285" s="8" t="s">
        <v>36</v>
      </c>
      <c r="E285" s="37">
        <v>45453</v>
      </c>
      <c r="F285" s="8">
        <v>587</v>
      </c>
      <c r="G285" s="8">
        <v>183.12</v>
      </c>
      <c r="H285" s="10">
        <v>23.11</v>
      </c>
      <c r="I285" s="21">
        <f t="shared" si="20"/>
        <v>153.88235294117649</v>
      </c>
      <c r="J285" s="21">
        <f t="shared" si="21"/>
        <v>135.6557</v>
      </c>
      <c r="K285" s="21">
        <f t="shared" si="22"/>
        <v>18.226652941176496</v>
      </c>
      <c r="L285" s="8">
        <f t="shared" si="23"/>
        <v>3.1050516083775972</v>
      </c>
      <c r="M285" s="30" t="str">
        <f t="shared" si="24"/>
        <v>June</v>
      </c>
    </row>
    <row r="286" spans="1:13">
      <c r="A286" s="9" t="s">
        <v>538</v>
      </c>
      <c r="B286" s="8">
        <v>24</v>
      </c>
      <c r="C286" s="8" t="s">
        <v>51</v>
      </c>
      <c r="D286" s="8" t="s">
        <v>36</v>
      </c>
      <c r="E286" s="34" t="s">
        <v>539</v>
      </c>
      <c r="F286" s="8">
        <v>386</v>
      </c>
      <c r="G286" s="8">
        <v>133.07</v>
      </c>
      <c r="H286" s="10">
        <v>19.420000000000002</v>
      </c>
      <c r="I286" s="21">
        <f t="shared" si="20"/>
        <v>111.82352941176471</v>
      </c>
      <c r="J286" s="21">
        <f t="shared" si="21"/>
        <v>74.961200000000005</v>
      </c>
      <c r="K286" s="21">
        <f t="shared" si="22"/>
        <v>36.862329411764705</v>
      </c>
      <c r="L286" s="8">
        <f t="shared" si="23"/>
        <v>9.5498262724779028</v>
      </c>
      <c r="M286" s="30" t="str">
        <f t="shared" si="24"/>
        <v>March</v>
      </c>
    </row>
    <row r="287" spans="1:13">
      <c r="A287" s="9" t="s">
        <v>540</v>
      </c>
      <c r="B287" s="8">
        <v>12</v>
      </c>
      <c r="C287" s="8" t="s">
        <v>35</v>
      </c>
      <c r="D287" s="8" t="s">
        <v>36</v>
      </c>
      <c r="E287" s="34">
        <v>45423</v>
      </c>
      <c r="F287" s="8">
        <v>244</v>
      </c>
      <c r="G287" s="8">
        <v>93.93</v>
      </c>
      <c r="H287" s="10">
        <v>24.37</v>
      </c>
      <c r="I287" s="21">
        <f t="shared" si="20"/>
        <v>78.932773109243712</v>
      </c>
      <c r="J287" s="21">
        <f t="shared" si="21"/>
        <v>59.462800000000009</v>
      </c>
      <c r="K287" s="21">
        <f t="shared" si="22"/>
        <v>19.469973109243703</v>
      </c>
      <c r="L287" s="8">
        <f t="shared" si="23"/>
        <v>7.9794971759195503</v>
      </c>
      <c r="M287" s="30" t="str">
        <f t="shared" si="24"/>
        <v>December</v>
      </c>
    </row>
    <row r="288" spans="1:13">
      <c r="A288" s="9" t="s">
        <v>542</v>
      </c>
      <c r="B288" s="8">
        <v>12</v>
      </c>
      <c r="C288" s="8" t="s">
        <v>35</v>
      </c>
      <c r="D288" s="8" t="s">
        <v>36</v>
      </c>
      <c r="E288" s="34" t="s">
        <v>236</v>
      </c>
      <c r="F288" s="8">
        <v>168</v>
      </c>
      <c r="G288" s="8">
        <v>71.56</v>
      </c>
      <c r="H288" s="10">
        <v>23.42</v>
      </c>
      <c r="I288" s="21">
        <f t="shared" si="20"/>
        <v>60.134453781512612</v>
      </c>
      <c r="J288" s="21">
        <f t="shared" si="21"/>
        <v>39.345600000000005</v>
      </c>
      <c r="K288" s="21">
        <f t="shared" si="22"/>
        <v>20.788853781512607</v>
      </c>
      <c r="L288" s="8">
        <f t="shared" si="23"/>
        <v>12.374317727090837</v>
      </c>
      <c r="M288" s="30" t="str">
        <f t="shared" si="24"/>
        <v>June</v>
      </c>
    </row>
    <row r="289" spans="1:13">
      <c r="A289" s="9" t="s">
        <v>543</v>
      </c>
      <c r="B289" s="8">
        <v>12</v>
      </c>
      <c r="C289" s="8" t="s">
        <v>39</v>
      </c>
      <c r="D289" s="8" t="s">
        <v>36</v>
      </c>
      <c r="E289" s="34">
        <v>45536</v>
      </c>
      <c r="F289" s="8">
        <v>104</v>
      </c>
      <c r="G289" s="8">
        <v>46.51</v>
      </c>
      <c r="H289" s="10">
        <v>28.21</v>
      </c>
      <c r="I289" s="21">
        <f t="shared" si="20"/>
        <v>39.084033613445378</v>
      </c>
      <c r="J289" s="21">
        <f t="shared" si="21"/>
        <v>29.3384</v>
      </c>
      <c r="K289" s="21">
        <f t="shared" si="22"/>
        <v>9.7456336134453778</v>
      </c>
      <c r="L289" s="8">
        <f t="shared" si="23"/>
        <v>9.3708015513897855</v>
      </c>
      <c r="M289" s="30" t="str">
        <f t="shared" si="24"/>
        <v>January</v>
      </c>
    </row>
    <row r="290" spans="1:13">
      <c r="A290" s="9" t="s">
        <v>545</v>
      </c>
      <c r="B290" s="8">
        <v>12</v>
      </c>
      <c r="C290" s="8" t="s">
        <v>51</v>
      </c>
      <c r="D290" s="8" t="s">
        <v>36</v>
      </c>
      <c r="E290" s="34">
        <v>45333</v>
      </c>
      <c r="F290" s="8">
        <v>576</v>
      </c>
      <c r="G290" s="8">
        <v>187.21</v>
      </c>
      <c r="H290" s="10">
        <v>16.66</v>
      </c>
      <c r="I290" s="21">
        <f t="shared" si="20"/>
        <v>157.31932773109244</v>
      </c>
      <c r="J290" s="21">
        <f t="shared" si="21"/>
        <v>95.961600000000004</v>
      </c>
      <c r="K290" s="21">
        <f t="shared" si="22"/>
        <v>61.357727731092439</v>
      </c>
      <c r="L290" s="8">
        <f t="shared" si="23"/>
        <v>10.652383286647993</v>
      </c>
      <c r="M290" s="30" t="str">
        <f t="shared" si="24"/>
        <v>October</v>
      </c>
    </row>
    <row r="291" spans="1:13">
      <c r="A291" s="9" t="s">
        <v>547</v>
      </c>
      <c r="B291" s="8">
        <v>24</v>
      </c>
      <c r="C291" s="8" t="s">
        <v>39</v>
      </c>
      <c r="D291" s="8" t="s">
        <v>36</v>
      </c>
      <c r="E291" s="34" t="s">
        <v>548</v>
      </c>
      <c r="F291" s="8">
        <v>166</v>
      </c>
      <c r="G291" s="8">
        <v>70.27</v>
      </c>
      <c r="H291" s="10">
        <v>29.69</v>
      </c>
      <c r="I291" s="21">
        <f t="shared" si="20"/>
        <v>59.050420168067227</v>
      </c>
      <c r="J291" s="21">
        <f t="shared" si="21"/>
        <v>49.285400000000003</v>
      </c>
      <c r="K291" s="21">
        <f t="shared" si="22"/>
        <v>9.7650201680672239</v>
      </c>
      <c r="L291" s="8">
        <f t="shared" si="23"/>
        <v>5.8825422699200143</v>
      </c>
      <c r="M291" s="30" t="str">
        <f t="shared" si="24"/>
        <v>April</v>
      </c>
    </row>
    <row r="292" spans="1:13">
      <c r="A292" s="9" t="s">
        <v>549</v>
      </c>
      <c r="B292" s="8">
        <v>12</v>
      </c>
      <c r="C292" s="8" t="s">
        <v>51</v>
      </c>
      <c r="D292" s="8" t="s">
        <v>36</v>
      </c>
      <c r="E292" s="34" t="s">
        <v>550</v>
      </c>
      <c r="F292" s="8">
        <v>366</v>
      </c>
      <c r="G292" s="8">
        <v>123.49</v>
      </c>
      <c r="H292" s="10">
        <v>16.920000000000002</v>
      </c>
      <c r="I292" s="21">
        <f t="shared" si="20"/>
        <v>103.77310924369748</v>
      </c>
      <c r="J292" s="21">
        <f t="shared" si="21"/>
        <v>61.927199999999999</v>
      </c>
      <c r="K292" s="21">
        <f t="shared" si="22"/>
        <v>41.845909243697477</v>
      </c>
      <c r="L292" s="8">
        <f t="shared" si="23"/>
        <v>11.433308536529365</v>
      </c>
      <c r="M292" s="30" t="str">
        <f t="shared" si="24"/>
        <v>May</v>
      </c>
    </row>
    <row r="293" spans="1:13">
      <c r="A293" s="9" t="s">
        <v>551</v>
      </c>
      <c r="B293" s="8">
        <v>12</v>
      </c>
      <c r="C293" s="8" t="s">
        <v>35</v>
      </c>
      <c r="D293" s="8" t="s">
        <v>46</v>
      </c>
      <c r="E293" s="34" t="s">
        <v>108</v>
      </c>
      <c r="F293" s="8">
        <v>234</v>
      </c>
      <c r="G293" s="8">
        <v>84.1</v>
      </c>
      <c r="H293" s="10">
        <v>24.43</v>
      </c>
      <c r="I293" s="21">
        <f t="shared" si="20"/>
        <v>70.672268907563023</v>
      </c>
      <c r="J293" s="21">
        <f t="shared" si="21"/>
        <v>57.166199999999996</v>
      </c>
      <c r="K293" s="21">
        <f t="shared" si="22"/>
        <v>13.506068907563026</v>
      </c>
      <c r="L293" s="8">
        <f t="shared" si="23"/>
        <v>5.7718243194713788</v>
      </c>
      <c r="M293" s="30" t="str">
        <f t="shared" si="24"/>
        <v>September</v>
      </c>
    </row>
    <row r="294" spans="1:13">
      <c r="A294" s="9" t="s">
        <v>552</v>
      </c>
      <c r="B294" s="8">
        <v>24</v>
      </c>
      <c r="C294" s="8" t="s">
        <v>35</v>
      </c>
      <c r="D294" s="8" t="s">
        <v>36</v>
      </c>
      <c r="E294" s="34" t="s">
        <v>553</v>
      </c>
      <c r="F294" s="8">
        <v>300</v>
      </c>
      <c r="G294" s="8">
        <v>115.89</v>
      </c>
      <c r="H294" s="10">
        <v>25.52</v>
      </c>
      <c r="I294" s="21">
        <f t="shared" si="20"/>
        <v>97.386554621848745</v>
      </c>
      <c r="J294" s="21">
        <f t="shared" si="21"/>
        <v>76.56</v>
      </c>
      <c r="K294" s="21">
        <f t="shared" si="22"/>
        <v>20.826554621848743</v>
      </c>
      <c r="L294" s="8">
        <f t="shared" si="23"/>
        <v>6.9421848739495804</v>
      </c>
      <c r="M294" s="30" t="str">
        <f t="shared" si="24"/>
        <v>April</v>
      </c>
    </row>
    <row r="295" spans="1:13">
      <c r="A295" s="9" t="s">
        <v>554</v>
      </c>
      <c r="B295" s="8">
        <v>12</v>
      </c>
      <c r="C295" s="8" t="s">
        <v>35</v>
      </c>
      <c r="D295" s="8" t="s">
        <v>36</v>
      </c>
      <c r="E295" s="34" t="s">
        <v>555</v>
      </c>
      <c r="F295" s="8">
        <v>201</v>
      </c>
      <c r="G295" s="8">
        <v>79.94</v>
      </c>
      <c r="H295" s="10">
        <v>25.53</v>
      </c>
      <c r="I295" s="21">
        <f t="shared" si="20"/>
        <v>67.17647058823529</v>
      </c>
      <c r="J295" s="21">
        <f t="shared" si="21"/>
        <v>51.315300000000008</v>
      </c>
      <c r="K295" s="21">
        <f t="shared" si="22"/>
        <v>15.861170588235282</v>
      </c>
      <c r="L295" s="8">
        <f t="shared" si="23"/>
        <v>7.891129645888201</v>
      </c>
      <c r="M295" s="30" t="str">
        <f t="shared" si="24"/>
        <v>April</v>
      </c>
    </row>
    <row r="296" spans="1:13">
      <c r="A296" s="9" t="s">
        <v>556</v>
      </c>
      <c r="B296" s="8">
        <v>12</v>
      </c>
      <c r="C296" s="8" t="s">
        <v>39</v>
      </c>
      <c r="D296" s="8" t="s">
        <v>56</v>
      </c>
      <c r="E296" s="34">
        <v>45510</v>
      </c>
      <c r="F296" s="8">
        <v>130</v>
      </c>
      <c r="G296" s="8">
        <v>54.75</v>
      </c>
      <c r="H296" s="10">
        <v>32.64</v>
      </c>
      <c r="I296" s="21">
        <f t="shared" si="20"/>
        <v>46.008403361344541</v>
      </c>
      <c r="J296" s="21">
        <f t="shared" si="21"/>
        <v>42.431999999999995</v>
      </c>
      <c r="K296" s="21">
        <f t="shared" si="22"/>
        <v>3.5764033613445463</v>
      </c>
      <c r="L296" s="8">
        <f t="shared" si="23"/>
        <v>2.751079508726574</v>
      </c>
      <c r="M296" s="30" t="str">
        <f t="shared" si="24"/>
        <v>November</v>
      </c>
    </row>
    <row r="297" spans="1:13">
      <c r="A297" s="9" t="s">
        <v>557</v>
      </c>
      <c r="B297" s="8">
        <v>12</v>
      </c>
      <c r="C297" s="8" t="s">
        <v>39</v>
      </c>
      <c r="D297" s="8" t="s">
        <v>36</v>
      </c>
      <c r="E297" s="34">
        <v>45422</v>
      </c>
      <c r="F297" s="8">
        <v>145</v>
      </c>
      <c r="G297" s="8">
        <v>61.31</v>
      </c>
      <c r="H297" s="10">
        <v>28.84</v>
      </c>
      <c r="I297" s="21">
        <f t="shared" si="20"/>
        <v>51.52100840336135</v>
      </c>
      <c r="J297" s="21">
        <f t="shared" si="21"/>
        <v>41.818000000000005</v>
      </c>
      <c r="K297" s="21">
        <f t="shared" si="22"/>
        <v>9.7030084033613448</v>
      </c>
      <c r="L297" s="8">
        <f t="shared" si="23"/>
        <v>6.6917299333526508</v>
      </c>
      <c r="M297" s="30" t="str">
        <f t="shared" si="24"/>
        <v>November</v>
      </c>
    </row>
    <row r="298" spans="1:13">
      <c r="A298" s="9" t="s">
        <v>559</v>
      </c>
      <c r="B298" s="8">
        <v>24</v>
      </c>
      <c r="C298" s="8" t="s">
        <v>39</v>
      </c>
      <c r="D298" s="8" t="s">
        <v>46</v>
      </c>
      <c r="E298" s="34" t="s">
        <v>560</v>
      </c>
      <c r="F298" s="8">
        <v>135</v>
      </c>
      <c r="G298" s="8">
        <v>59.11</v>
      </c>
      <c r="H298" s="10">
        <v>31.45</v>
      </c>
      <c r="I298" s="21">
        <f t="shared" si="20"/>
        <v>49.67226890756303</v>
      </c>
      <c r="J298" s="21">
        <f t="shared" si="21"/>
        <v>42.457500000000003</v>
      </c>
      <c r="K298" s="21">
        <f t="shared" si="22"/>
        <v>7.2147689075630268</v>
      </c>
      <c r="L298" s="8">
        <f t="shared" si="23"/>
        <v>5.3442732648615019</v>
      </c>
      <c r="M298" s="30" t="str">
        <f t="shared" si="24"/>
        <v>October</v>
      </c>
    </row>
    <row r="299" spans="1:13">
      <c r="A299" s="9" t="s">
        <v>561</v>
      </c>
      <c r="B299" s="8">
        <v>12</v>
      </c>
      <c r="C299" s="8" t="s">
        <v>39</v>
      </c>
      <c r="D299" s="8" t="s">
        <v>36</v>
      </c>
      <c r="E299" s="34">
        <v>45359</v>
      </c>
      <c r="F299" s="8">
        <v>99</v>
      </c>
      <c r="G299" s="8">
        <v>44.22</v>
      </c>
      <c r="H299" s="10">
        <v>31.54</v>
      </c>
      <c r="I299" s="21">
        <f t="shared" si="20"/>
        <v>37.159663865546221</v>
      </c>
      <c r="J299" s="21">
        <f t="shared" si="21"/>
        <v>31.224599999999999</v>
      </c>
      <c r="K299" s="21">
        <f t="shared" si="22"/>
        <v>5.9350638655462227</v>
      </c>
      <c r="L299" s="8">
        <f t="shared" si="23"/>
        <v>5.9950140056022452</v>
      </c>
      <c r="M299" s="30" t="str">
        <f t="shared" si="24"/>
        <v>December</v>
      </c>
    </row>
    <row r="300" spans="1:13">
      <c r="A300" s="9" t="s">
        <v>563</v>
      </c>
      <c r="B300" s="8">
        <v>24</v>
      </c>
      <c r="C300" s="8" t="s">
        <v>51</v>
      </c>
      <c r="D300" s="8" t="s">
        <v>46</v>
      </c>
      <c r="E300" s="34" t="s">
        <v>564</v>
      </c>
      <c r="F300" s="8">
        <v>452</v>
      </c>
      <c r="G300" s="8">
        <v>152.9</v>
      </c>
      <c r="H300" s="10">
        <v>17.48</v>
      </c>
      <c r="I300" s="21">
        <f t="shared" si="20"/>
        <v>128.48739495798321</v>
      </c>
      <c r="J300" s="21">
        <f t="shared" si="21"/>
        <v>79.009600000000006</v>
      </c>
      <c r="K300" s="21">
        <f t="shared" si="22"/>
        <v>49.477794957983207</v>
      </c>
      <c r="L300" s="8">
        <f t="shared" si="23"/>
        <v>10.946414813713098</v>
      </c>
      <c r="M300" s="30" t="str">
        <f t="shared" si="24"/>
        <v>December</v>
      </c>
    </row>
    <row r="301" spans="1:13">
      <c r="A301" s="9" t="s">
        <v>565</v>
      </c>
      <c r="B301" s="8">
        <v>12</v>
      </c>
      <c r="C301" s="8" t="s">
        <v>35</v>
      </c>
      <c r="D301" s="8" t="s">
        <v>46</v>
      </c>
      <c r="E301" s="34" t="s">
        <v>566</v>
      </c>
      <c r="F301" s="8">
        <v>297</v>
      </c>
      <c r="G301" s="8">
        <v>109.73</v>
      </c>
      <c r="H301" s="10">
        <v>24.95</v>
      </c>
      <c r="I301" s="21">
        <f t="shared" si="20"/>
        <v>92.210084033613455</v>
      </c>
      <c r="J301" s="21">
        <f t="shared" si="21"/>
        <v>74.101500000000001</v>
      </c>
      <c r="K301" s="21">
        <f t="shared" si="22"/>
        <v>18.108584033613454</v>
      </c>
      <c r="L301" s="8">
        <f t="shared" si="23"/>
        <v>6.0971663412839909</v>
      </c>
      <c r="M301" s="30" t="str">
        <f t="shared" si="24"/>
        <v>July</v>
      </c>
    </row>
    <row r="302" spans="1:13">
      <c r="A302" s="9" t="s">
        <v>567</v>
      </c>
      <c r="B302" s="8">
        <v>12</v>
      </c>
      <c r="C302" s="8" t="s">
        <v>39</v>
      </c>
      <c r="D302" s="8" t="s">
        <v>36</v>
      </c>
      <c r="E302" s="34" t="s">
        <v>108</v>
      </c>
      <c r="F302" s="8">
        <v>130</v>
      </c>
      <c r="G302" s="8">
        <v>55.21</v>
      </c>
      <c r="H302" s="10">
        <v>29.15</v>
      </c>
      <c r="I302" s="21">
        <f t="shared" si="20"/>
        <v>46.394957983193279</v>
      </c>
      <c r="J302" s="21">
        <f t="shared" si="21"/>
        <v>37.895000000000003</v>
      </c>
      <c r="K302" s="21">
        <f t="shared" si="22"/>
        <v>8.4999579831932763</v>
      </c>
      <c r="L302" s="8">
        <f t="shared" si="23"/>
        <v>6.5384292178409815</v>
      </c>
      <c r="M302" s="30" t="str">
        <f t="shared" si="24"/>
        <v>September</v>
      </c>
    </row>
    <row r="303" spans="1:13">
      <c r="A303" s="9" t="s">
        <v>568</v>
      </c>
      <c r="B303" s="8">
        <v>12</v>
      </c>
      <c r="C303" s="8" t="s">
        <v>51</v>
      </c>
      <c r="D303" s="8" t="s">
        <v>56</v>
      </c>
      <c r="E303" s="34">
        <v>45663</v>
      </c>
      <c r="F303" s="8">
        <v>335</v>
      </c>
      <c r="G303" s="8">
        <v>121.08</v>
      </c>
      <c r="H303" s="10">
        <v>20.51</v>
      </c>
      <c r="I303" s="21">
        <f t="shared" si="20"/>
        <v>101.74789915966387</v>
      </c>
      <c r="J303" s="21">
        <f t="shared" si="21"/>
        <v>68.708500000000001</v>
      </c>
      <c r="K303" s="21">
        <f t="shared" si="22"/>
        <v>33.039399159663873</v>
      </c>
      <c r="L303" s="8">
        <f t="shared" si="23"/>
        <v>9.8625072118399615</v>
      </c>
      <c r="M303" s="30" t="str">
        <f t="shared" si="24"/>
        <v>April</v>
      </c>
    </row>
    <row r="304" spans="1:13">
      <c r="A304" s="9" t="s">
        <v>569</v>
      </c>
      <c r="B304" s="8">
        <v>12</v>
      </c>
      <c r="C304" s="8" t="s">
        <v>51</v>
      </c>
      <c r="D304" s="8" t="s">
        <v>36</v>
      </c>
      <c r="E304" s="34" t="s">
        <v>281</v>
      </c>
      <c r="F304" s="8">
        <v>587</v>
      </c>
      <c r="G304" s="8">
        <v>199.29</v>
      </c>
      <c r="H304" s="10">
        <v>23.49</v>
      </c>
      <c r="I304" s="21">
        <f t="shared" si="20"/>
        <v>167.47058823529412</v>
      </c>
      <c r="J304" s="21">
        <f t="shared" si="21"/>
        <v>137.88630000000001</v>
      </c>
      <c r="K304" s="21">
        <f t="shared" si="22"/>
        <v>29.58428823529411</v>
      </c>
      <c r="L304" s="8">
        <f t="shared" si="23"/>
        <v>5.0399128169155212</v>
      </c>
      <c r="M304" s="30" t="str">
        <f t="shared" si="24"/>
        <v>May</v>
      </c>
    </row>
    <row r="305" spans="1:13">
      <c r="A305" s="9" t="s">
        <v>570</v>
      </c>
      <c r="B305" s="8">
        <v>24</v>
      </c>
      <c r="C305" s="8" t="s">
        <v>51</v>
      </c>
      <c r="D305" s="8" t="s">
        <v>36</v>
      </c>
      <c r="E305" s="34" t="s">
        <v>238</v>
      </c>
      <c r="F305" s="8">
        <v>345</v>
      </c>
      <c r="G305" s="8">
        <v>120.9</v>
      </c>
      <c r="H305" s="10">
        <v>16.649999999999999</v>
      </c>
      <c r="I305" s="21">
        <f t="shared" si="20"/>
        <v>101.5966386554622</v>
      </c>
      <c r="J305" s="21">
        <f t="shared" si="21"/>
        <v>57.442499999999988</v>
      </c>
      <c r="K305" s="21">
        <f t="shared" si="22"/>
        <v>44.154138655462212</v>
      </c>
      <c r="L305" s="8">
        <f t="shared" si="23"/>
        <v>12.798301059554266</v>
      </c>
      <c r="M305" s="30" t="str">
        <f t="shared" si="24"/>
        <v>September</v>
      </c>
    </row>
    <row r="306" spans="1:13">
      <c r="A306" s="9" t="s">
        <v>571</v>
      </c>
      <c r="B306" s="8">
        <v>24</v>
      </c>
      <c r="C306" s="8" t="s">
        <v>51</v>
      </c>
      <c r="D306" s="8" t="s">
        <v>46</v>
      </c>
      <c r="E306" s="34" t="s">
        <v>572</v>
      </c>
      <c r="F306" s="8">
        <v>-15</v>
      </c>
      <c r="G306" s="8">
        <v>201.44</v>
      </c>
      <c r="H306" s="10">
        <v>22.49</v>
      </c>
      <c r="I306" s="21">
        <f t="shared" si="20"/>
        <v>169.27731092436974</v>
      </c>
      <c r="J306" s="21">
        <f t="shared" si="21"/>
        <v>-3.3734999999999995</v>
      </c>
      <c r="K306" s="21">
        <f t="shared" si="22"/>
        <v>172.65081092436975</v>
      </c>
      <c r="L306" s="8">
        <f t="shared" si="23"/>
        <v>-1151.0054061624651</v>
      </c>
      <c r="M306" s="30" t="str">
        <f t="shared" si="24"/>
        <v>February</v>
      </c>
    </row>
    <row r="307" spans="1:13">
      <c r="A307" s="9" t="s">
        <v>573</v>
      </c>
      <c r="B307" s="8">
        <v>24</v>
      </c>
      <c r="C307" s="8" t="s">
        <v>39</v>
      </c>
      <c r="D307" s="8" t="s">
        <v>56</v>
      </c>
      <c r="E307" s="37">
        <v>45386</v>
      </c>
      <c r="F307" s="8">
        <v>100</v>
      </c>
      <c r="G307" s="8">
        <v>43.64</v>
      </c>
      <c r="H307" s="10">
        <v>30.49</v>
      </c>
      <c r="I307" s="21">
        <f t="shared" si="20"/>
        <v>36.67226890756303</v>
      </c>
      <c r="J307" s="21">
        <f t="shared" si="21"/>
        <v>30.49</v>
      </c>
      <c r="K307" s="21">
        <f t="shared" si="22"/>
        <v>6.1822689075630315</v>
      </c>
      <c r="L307" s="8">
        <f t="shared" si="23"/>
        <v>6.1822689075630315</v>
      </c>
      <c r="M307" s="30" t="str">
        <f t="shared" si="24"/>
        <v>March</v>
      </c>
    </row>
    <row r="308" spans="1:13">
      <c r="A308" s="9" t="s">
        <v>575</v>
      </c>
      <c r="B308" s="8">
        <v>12</v>
      </c>
      <c r="C308" s="8" t="s">
        <v>35</v>
      </c>
      <c r="D308" s="8" t="s">
        <v>36</v>
      </c>
      <c r="E308" s="34">
        <v>45903</v>
      </c>
      <c r="F308" s="8">
        <v>326</v>
      </c>
      <c r="G308" s="8">
        <v>119.62</v>
      </c>
      <c r="H308" s="10">
        <v>25.89</v>
      </c>
      <c r="I308" s="21">
        <f t="shared" si="20"/>
        <v>100.52100840336135</v>
      </c>
      <c r="J308" s="21">
        <f t="shared" si="21"/>
        <v>84.401399999999995</v>
      </c>
      <c r="K308" s="21">
        <f t="shared" si="22"/>
        <v>16.119608403361354</v>
      </c>
      <c r="L308" s="8">
        <f t="shared" si="23"/>
        <v>4.9446651544053237</v>
      </c>
      <c r="M308" s="30" t="str">
        <f t="shared" si="24"/>
        <v>April</v>
      </c>
    </row>
    <row r="309" spans="1:13">
      <c r="A309" s="9" t="s">
        <v>576</v>
      </c>
      <c r="B309" s="8">
        <v>12</v>
      </c>
      <c r="C309" s="8" t="s">
        <v>51</v>
      </c>
      <c r="D309" s="8" t="s">
        <v>36</v>
      </c>
      <c r="E309" s="34">
        <v>45575</v>
      </c>
      <c r="F309" s="8">
        <v>456</v>
      </c>
      <c r="G309" s="8">
        <v>153.16999999999999</v>
      </c>
      <c r="H309" s="10">
        <v>18.829999999999998</v>
      </c>
      <c r="I309" s="21">
        <f t="shared" si="20"/>
        <v>128.71428571428572</v>
      </c>
      <c r="J309" s="21">
        <f t="shared" si="21"/>
        <v>85.864800000000002</v>
      </c>
      <c r="K309" s="21">
        <f t="shared" si="22"/>
        <v>42.84948571428572</v>
      </c>
      <c r="L309" s="8">
        <f t="shared" si="23"/>
        <v>9.3968170426065178</v>
      </c>
      <c r="M309" s="30" t="str">
        <f t="shared" si="24"/>
        <v>April</v>
      </c>
    </row>
    <row r="310" spans="1:13">
      <c r="A310" s="9" t="s">
        <v>578</v>
      </c>
      <c r="B310" s="8">
        <v>24</v>
      </c>
      <c r="C310" s="8" t="s">
        <v>35</v>
      </c>
      <c r="D310" s="8" t="s">
        <v>36</v>
      </c>
      <c r="E310" s="34" t="s">
        <v>579</v>
      </c>
      <c r="F310" s="8">
        <v>221</v>
      </c>
      <c r="G310" s="8">
        <v>90.83</v>
      </c>
      <c r="H310" s="10">
        <v>25.39</v>
      </c>
      <c r="I310" s="21">
        <f t="shared" si="20"/>
        <v>76.327731092436977</v>
      </c>
      <c r="J310" s="21">
        <f t="shared" si="21"/>
        <v>56.111900000000006</v>
      </c>
      <c r="K310" s="21">
        <f t="shared" si="22"/>
        <v>20.215831092436972</v>
      </c>
      <c r="L310" s="8">
        <f t="shared" si="23"/>
        <v>9.1474348834556434</v>
      </c>
      <c r="M310" s="30" t="str">
        <f t="shared" si="24"/>
        <v>February</v>
      </c>
    </row>
    <row r="311" spans="1:13">
      <c r="A311" s="9" t="s">
        <v>580</v>
      </c>
      <c r="B311" s="8">
        <v>12</v>
      </c>
      <c r="C311" s="8" t="s">
        <v>39</v>
      </c>
      <c r="D311" s="8" t="s">
        <v>36</v>
      </c>
      <c r="E311" s="37">
        <v>45295</v>
      </c>
      <c r="F311" s="8">
        <v>96</v>
      </c>
      <c r="G311" s="8">
        <v>48.62</v>
      </c>
      <c r="H311" s="10">
        <v>28.25</v>
      </c>
      <c r="I311" s="21">
        <f t="shared" si="20"/>
        <v>40.857142857142854</v>
      </c>
      <c r="J311" s="21">
        <f t="shared" si="21"/>
        <v>27.12</v>
      </c>
      <c r="K311" s="21">
        <f t="shared" si="22"/>
        <v>13.737142857142853</v>
      </c>
      <c r="L311" s="8">
        <f t="shared" si="23"/>
        <v>14.309523809523805</v>
      </c>
      <c r="M311" s="30" t="str">
        <f t="shared" si="24"/>
        <v>December</v>
      </c>
    </row>
    <row r="312" spans="1:13">
      <c r="A312" s="9" t="s">
        <v>582</v>
      </c>
      <c r="B312" s="8">
        <v>12</v>
      </c>
      <c r="C312" s="8" t="s">
        <v>51</v>
      </c>
      <c r="D312" s="8" t="s">
        <v>46</v>
      </c>
      <c r="E312" s="34">
        <v>45485</v>
      </c>
      <c r="F312" s="8">
        <v>435</v>
      </c>
      <c r="G312" s="8">
        <v>145.29</v>
      </c>
      <c r="H312" s="10">
        <v>18.18</v>
      </c>
      <c r="I312" s="21">
        <f t="shared" si="20"/>
        <v>122.09243697478992</v>
      </c>
      <c r="J312" s="21">
        <f t="shared" si="21"/>
        <v>79.082999999999998</v>
      </c>
      <c r="K312" s="21">
        <f t="shared" si="22"/>
        <v>43.009436974789921</v>
      </c>
      <c r="L312" s="8">
        <f t="shared" si="23"/>
        <v>9.8872268907563043</v>
      </c>
      <c r="M312" s="30" t="str">
        <f t="shared" si="24"/>
        <v>February</v>
      </c>
    </row>
    <row r="313" spans="1:13">
      <c r="A313" s="9" t="s">
        <v>584</v>
      </c>
      <c r="B313" s="8">
        <v>12</v>
      </c>
      <c r="C313" s="8" t="s">
        <v>39</v>
      </c>
      <c r="D313" s="8" t="s">
        <v>36</v>
      </c>
      <c r="E313" s="34" t="s">
        <v>585</v>
      </c>
      <c r="F313" s="8">
        <v>157</v>
      </c>
      <c r="G313" s="8">
        <v>71.069999999999993</v>
      </c>
      <c r="H313" s="10">
        <v>28.27</v>
      </c>
      <c r="I313" s="21">
        <f t="shared" si="20"/>
        <v>59.72268907563025</v>
      </c>
      <c r="J313" s="21">
        <f t="shared" si="21"/>
        <v>44.383900000000004</v>
      </c>
      <c r="K313" s="21">
        <f t="shared" si="22"/>
        <v>15.338789075630245</v>
      </c>
      <c r="L313" s="8">
        <f t="shared" si="23"/>
        <v>9.7699293475351876</v>
      </c>
      <c r="M313" s="30" t="str">
        <f t="shared" si="24"/>
        <v>May</v>
      </c>
    </row>
    <row r="314" spans="1:13">
      <c r="A314" s="9" t="s">
        <v>586</v>
      </c>
      <c r="B314" s="8">
        <v>12</v>
      </c>
      <c r="C314" s="8" t="s">
        <v>39</v>
      </c>
      <c r="D314" s="8" t="s">
        <v>36</v>
      </c>
      <c r="E314" s="34" t="s">
        <v>587</v>
      </c>
      <c r="F314" s="8">
        <v>167</v>
      </c>
      <c r="G314" s="8">
        <v>68.650000000000006</v>
      </c>
      <c r="H314" s="10">
        <v>31.9</v>
      </c>
      <c r="I314" s="21">
        <f t="shared" si="20"/>
        <v>57.689075630252105</v>
      </c>
      <c r="J314" s="21">
        <f t="shared" si="21"/>
        <v>53.273000000000003</v>
      </c>
      <c r="K314" s="21">
        <f t="shared" si="22"/>
        <v>4.4160756302521023</v>
      </c>
      <c r="L314" s="8">
        <f t="shared" si="23"/>
        <v>2.6443566648216179</v>
      </c>
      <c r="M314" s="30" t="str">
        <f t="shared" si="24"/>
        <v>September</v>
      </c>
    </row>
    <row r="315" spans="1:13">
      <c r="A315" s="9" t="s">
        <v>588</v>
      </c>
      <c r="B315" s="8">
        <v>24</v>
      </c>
      <c r="C315" s="8" t="s">
        <v>35</v>
      </c>
      <c r="D315" s="8" t="s">
        <v>36</v>
      </c>
      <c r="E315" s="37">
        <v>45457</v>
      </c>
      <c r="F315" s="8">
        <v>228</v>
      </c>
      <c r="G315" s="8">
        <v>93.28</v>
      </c>
      <c r="H315" s="10">
        <v>27.27</v>
      </c>
      <c r="I315" s="21">
        <f t="shared" si="20"/>
        <v>78.386554621848745</v>
      </c>
      <c r="J315" s="21">
        <f t="shared" si="21"/>
        <v>62.175599999999996</v>
      </c>
      <c r="K315" s="21">
        <f t="shared" si="22"/>
        <v>16.210954621848749</v>
      </c>
      <c r="L315" s="8">
        <f t="shared" si="23"/>
        <v>7.1100678166003277</v>
      </c>
      <c r="M315" s="30" t="str">
        <f t="shared" si="24"/>
        <v>October</v>
      </c>
    </row>
    <row r="316" spans="1:13">
      <c r="A316" s="9" t="s">
        <v>590</v>
      </c>
      <c r="B316" s="8">
        <v>24</v>
      </c>
      <c r="C316" s="8" t="s">
        <v>35</v>
      </c>
      <c r="D316" s="8" t="s">
        <v>36</v>
      </c>
      <c r="E316" s="34" t="s">
        <v>591</v>
      </c>
      <c r="F316" s="8">
        <v>242</v>
      </c>
      <c r="G316" s="8">
        <v>96.83</v>
      </c>
      <c r="H316" s="10">
        <v>25.41</v>
      </c>
      <c r="I316" s="21">
        <f t="shared" si="20"/>
        <v>81.369747899159663</v>
      </c>
      <c r="J316" s="21">
        <f t="shared" si="21"/>
        <v>61.492200000000004</v>
      </c>
      <c r="K316" s="21">
        <f t="shared" si="22"/>
        <v>19.877547899159659</v>
      </c>
      <c r="L316" s="8">
        <f t="shared" si="23"/>
        <v>8.2138627682477932</v>
      </c>
      <c r="M316" s="30" t="str">
        <f t="shared" si="24"/>
        <v>March</v>
      </c>
    </row>
    <row r="317" spans="1:13">
      <c r="A317" s="9" t="s">
        <v>592</v>
      </c>
      <c r="B317" s="8">
        <v>24</v>
      </c>
      <c r="C317" s="8" t="s">
        <v>35</v>
      </c>
      <c r="D317" s="8" t="s">
        <v>36</v>
      </c>
      <c r="E317" s="34" t="s">
        <v>593</v>
      </c>
      <c r="F317" s="8">
        <v>287</v>
      </c>
      <c r="G317" s="8">
        <v>106.51</v>
      </c>
      <c r="H317" s="10">
        <v>25.75</v>
      </c>
      <c r="I317" s="21">
        <f t="shared" si="20"/>
        <v>89.504201680672281</v>
      </c>
      <c r="J317" s="21">
        <f t="shared" si="21"/>
        <v>73.902500000000003</v>
      </c>
      <c r="K317" s="21">
        <f t="shared" si="22"/>
        <v>15.601701680672278</v>
      </c>
      <c r="L317" s="8">
        <f t="shared" si="23"/>
        <v>5.4361329897812816</v>
      </c>
      <c r="M317" s="30" t="str">
        <f t="shared" si="24"/>
        <v>March</v>
      </c>
    </row>
    <row r="318" spans="1:13">
      <c r="A318" s="9" t="s">
        <v>594</v>
      </c>
      <c r="B318" s="8">
        <v>12</v>
      </c>
      <c r="C318" s="8" t="s">
        <v>39</v>
      </c>
      <c r="D318" s="8" t="s">
        <v>46</v>
      </c>
      <c r="E318" s="34">
        <v>45566</v>
      </c>
      <c r="F318" s="8">
        <v>157</v>
      </c>
      <c r="G318" s="8">
        <v>68.2</v>
      </c>
      <c r="H318" s="10">
        <v>28.34</v>
      </c>
      <c r="I318" s="21">
        <f t="shared" si="20"/>
        <v>57.310924369747902</v>
      </c>
      <c r="J318" s="21">
        <f t="shared" si="21"/>
        <v>44.4938</v>
      </c>
      <c r="K318" s="21">
        <f t="shared" si="22"/>
        <v>12.817124369747901</v>
      </c>
      <c r="L318" s="8">
        <f t="shared" si="23"/>
        <v>8.1637734839158611</v>
      </c>
      <c r="M318" s="30" t="str">
        <f t="shared" si="24"/>
        <v>July</v>
      </c>
    </row>
    <row r="319" spans="1:13">
      <c r="A319" s="9" t="s">
        <v>595</v>
      </c>
      <c r="B319" s="8">
        <v>12</v>
      </c>
      <c r="C319" s="8" t="s">
        <v>51</v>
      </c>
      <c r="D319" s="8" t="s">
        <v>56</v>
      </c>
      <c r="E319" s="34" t="s">
        <v>37</v>
      </c>
      <c r="F319" s="8">
        <v>531</v>
      </c>
      <c r="G319" s="8">
        <v>167.42</v>
      </c>
      <c r="H319" s="10">
        <v>18.43</v>
      </c>
      <c r="I319" s="21">
        <f t="shared" si="20"/>
        <v>140.68907563025209</v>
      </c>
      <c r="J319" s="21">
        <f t="shared" si="21"/>
        <v>97.863299999999995</v>
      </c>
      <c r="K319" s="21">
        <f t="shared" si="22"/>
        <v>42.825775630252096</v>
      </c>
      <c r="L319" s="8">
        <f t="shared" si="23"/>
        <v>8.0651178211397543</v>
      </c>
      <c r="M319" s="30" t="str">
        <f t="shared" si="24"/>
        <v>April</v>
      </c>
    </row>
    <row r="320" spans="1:13">
      <c r="A320" s="9" t="s">
        <v>596</v>
      </c>
      <c r="B320" s="8">
        <v>12</v>
      </c>
      <c r="C320" s="8" t="s">
        <v>39</v>
      </c>
      <c r="D320" s="8" t="s">
        <v>56</v>
      </c>
      <c r="E320" s="34" t="s">
        <v>418</v>
      </c>
      <c r="F320" s="8">
        <v>116</v>
      </c>
      <c r="G320" s="8">
        <v>53.43</v>
      </c>
      <c r="H320" s="10">
        <v>28.28</v>
      </c>
      <c r="I320" s="21">
        <f t="shared" si="20"/>
        <v>44.899159663865547</v>
      </c>
      <c r="J320" s="21">
        <f t="shared" si="21"/>
        <v>32.8048</v>
      </c>
      <c r="K320" s="21">
        <f t="shared" si="22"/>
        <v>12.094359663865546</v>
      </c>
      <c r="L320" s="8">
        <f t="shared" si="23"/>
        <v>10.426172124022024</v>
      </c>
      <c r="M320" s="30" t="str">
        <f t="shared" si="24"/>
        <v>March</v>
      </c>
    </row>
    <row r="321" spans="1:13">
      <c r="A321" s="9" t="s">
        <v>597</v>
      </c>
      <c r="B321" s="8">
        <v>12</v>
      </c>
      <c r="C321" s="8" t="s">
        <v>39</v>
      </c>
      <c r="D321" s="8" t="s">
        <v>36</v>
      </c>
      <c r="E321" s="34">
        <v>45297</v>
      </c>
      <c r="F321" s="8">
        <v>118</v>
      </c>
      <c r="G321" s="8">
        <v>52.25</v>
      </c>
      <c r="H321" s="10">
        <v>30.84</v>
      </c>
      <c r="I321" s="21">
        <f t="shared" si="20"/>
        <v>43.907563025210088</v>
      </c>
      <c r="J321" s="21">
        <f t="shared" si="21"/>
        <v>36.391199999999998</v>
      </c>
      <c r="K321" s="21">
        <f t="shared" si="22"/>
        <v>7.5163630252100901</v>
      </c>
      <c r="L321" s="8">
        <f t="shared" si="23"/>
        <v>6.3697991739068565</v>
      </c>
      <c r="M321" s="30" t="str">
        <f t="shared" si="24"/>
        <v>February</v>
      </c>
    </row>
    <row r="322" spans="1:13">
      <c r="A322" s="9" t="s">
        <v>599</v>
      </c>
      <c r="B322" s="8">
        <v>12</v>
      </c>
      <c r="C322" s="8" t="s">
        <v>51</v>
      </c>
      <c r="D322" s="8" t="s">
        <v>56</v>
      </c>
      <c r="E322" s="37">
        <v>45328</v>
      </c>
      <c r="F322" s="8">
        <v>565</v>
      </c>
      <c r="G322" s="8">
        <v>187.55</v>
      </c>
      <c r="H322" s="10">
        <v>17.649999999999999</v>
      </c>
      <c r="I322" s="21">
        <f t="shared" ref="I322:I385" si="25">G322/1.19</f>
        <v>157.60504201680675</v>
      </c>
      <c r="J322" s="21">
        <f t="shared" ref="J322:J385" si="26">F322*H322/100</f>
        <v>99.722499999999997</v>
      </c>
      <c r="K322" s="21">
        <f t="shared" ref="K322:K385" si="27">I322-J322</f>
        <v>57.882542016806752</v>
      </c>
      <c r="L322" s="8">
        <f t="shared" ref="L322:L385" si="28">IF(F322=0,"",K322/F322*100)</f>
        <v>10.24469770208969</v>
      </c>
      <c r="M322" s="30" t="str">
        <f t="shared" ref="M322:M385" si="29">TEXT(DATE(RIGHT(E322,4),MID(E322,4,2),LEFT(E322,2)),"mmmm")</f>
        <v>May</v>
      </c>
    </row>
    <row r="323" spans="1:13">
      <c r="A323" s="9" t="s">
        <v>601</v>
      </c>
      <c r="B323" s="8">
        <v>24</v>
      </c>
      <c r="C323" s="8" t="s">
        <v>51</v>
      </c>
      <c r="D323" s="8" t="s">
        <v>46</v>
      </c>
      <c r="E323" s="34" t="s">
        <v>533</v>
      </c>
      <c r="F323" s="8">
        <v>334</v>
      </c>
      <c r="G323" s="8">
        <v>124.49</v>
      </c>
      <c r="H323" s="10">
        <v>18.850000000000001</v>
      </c>
      <c r="I323" s="21">
        <f t="shared" si="25"/>
        <v>104.61344537815125</v>
      </c>
      <c r="J323" s="21">
        <f t="shared" si="26"/>
        <v>62.959000000000003</v>
      </c>
      <c r="K323" s="21">
        <f t="shared" si="27"/>
        <v>41.654445378151252</v>
      </c>
      <c r="L323" s="8">
        <f t="shared" si="28"/>
        <v>12.471390831781811</v>
      </c>
      <c r="M323" s="30" t="str">
        <f t="shared" si="29"/>
        <v>January</v>
      </c>
    </row>
    <row r="324" spans="1:13">
      <c r="A324" s="9" t="s">
        <v>602</v>
      </c>
      <c r="B324" s="8">
        <v>24</v>
      </c>
      <c r="C324" s="8" t="s">
        <v>51</v>
      </c>
      <c r="D324" s="8" t="s">
        <v>46</v>
      </c>
      <c r="E324" s="34" t="s">
        <v>603</v>
      </c>
      <c r="F324" s="8">
        <v>540</v>
      </c>
      <c r="G324" s="8">
        <v>183.38</v>
      </c>
      <c r="H324" s="10">
        <v>17.84</v>
      </c>
      <c r="I324" s="21">
        <f t="shared" si="25"/>
        <v>154.10084033613447</v>
      </c>
      <c r="J324" s="21">
        <f t="shared" si="26"/>
        <v>96.335999999999999</v>
      </c>
      <c r="K324" s="21">
        <f t="shared" si="27"/>
        <v>57.764840336134469</v>
      </c>
      <c r="L324" s="8">
        <f t="shared" si="28"/>
        <v>10.697192654839718</v>
      </c>
      <c r="M324" s="30" t="str">
        <f t="shared" si="29"/>
        <v>May</v>
      </c>
    </row>
    <row r="325" spans="1:13">
      <c r="A325" s="9" t="s">
        <v>604</v>
      </c>
      <c r="B325" s="8">
        <v>12</v>
      </c>
      <c r="C325" s="8" t="s">
        <v>51</v>
      </c>
      <c r="D325" s="8" t="s">
        <v>36</v>
      </c>
      <c r="E325" s="34" t="s">
        <v>605</v>
      </c>
      <c r="F325" s="8">
        <v>452</v>
      </c>
      <c r="G325" s="8">
        <v>151.26</v>
      </c>
      <c r="H325" s="10">
        <v>17</v>
      </c>
      <c r="I325" s="21">
        <f t="shared" si="25"/>
        <v>127.10924369747899</v>
      </c>
      <c r="J325" s="21">
        <f t="shared" si="26"/>
        <v>76.84</v>
      </c>
      <c r="K325" s="21">
        <f t="shared" si="27"/>
        <v>50.269243697478984</v>
      </c>
      <c r="L325" s="8">
        <f t="shared" si="28"/>
        <v>11.121514092362608</v>
      </c>
      <c r="M325" s="30" t="str">
        <f t="shared" si="29"/>
        <v>March</v>
      </c>
    </row>
    <row r="326" spans="1:13">
      <c r="A326" s="9" t="s">
        <v>606</v>
      </c>
      <c r="B326" s="8">
        <v>24</v>
      </c>
      <c r="C326" s="8" t="s">
        <v>35</v>
      </c>
      <c r="D326" s="8" t="s">
        <v>36</v>
      </c>
      <c r="E326" s="34">
        <v>45570</v>
      </c>
      <c r="F326" s="8">
        <v>299</v>
      </c>
      <c r="G326" s="8">
        <v>118.51</v>
      </c>
      <c r="H326" s="10">
        <v>22.67</v>
      </c>
      <c r="I326" s="21">
        <f t="shared" si="25"/>
        <v>99.588235294117652</v>
      </c>
      <c r="J326" s="21">
        <f t="shared" si="26"/>
        <v>67.783300000000011</v>
      </c>
      <c r="K326" s="21">
        <f t="shared" si="27"/>
        <v>31.804935294117641</v>
      </c>
      <c r="L326" s="8">
        <f t="shared" si="28"/>
        <v>10.637102105056067</v>
      </c>
      <c r="M326" s="30" t="str">
        <f t="shared" si="29"/>
        <v>November</v>
      </c>
    </row>
    <row r="327" spans="1:13">
      <c r="A327" s="9" t="s">
        <v>608</v>
      </c>
      <c r="B327" s="8">
        <v>24</v>
      </c>
      <c r="C327" s="8" t="s">
        <v>35</v>
      </c>
      <c r="D327" s="8" t="s">
        <v>36</v>
      </c>
      <c r="E327" s="34">
        <v>45628</v>
      </c>
      <c r="F327" s="8">
        <v>182</v>
      </c>
      <c r="G327" s="8">
        <v>77.209999999999994</v>
      </c>
      <c r="H327" s="10">
        <v>22.59</v>
      </c>
      <c r="I327" s="21">
        <f t="shared" si="25"/>
        <v>64.882352941176464</v>
      </c>
      <c r="J327" s="21">
        <f t="shared" si="26"/>
        <v>41.113799999999998</v>
      </c>
      <c r="K327" s="21">
        <f t="shared" si="27"/>
        <v>23.768552941176466</v>
      </c>
      <c r="L327" s="8">
        <f t="shared" si="28"/>
        <v>13.059644473173881</v>
      </c>
      <c r="M327" s="30" t="str">
        <f t="shared" si="29"/>
        <v>May</v>
      </c>
    </row>
    <row r="328" spans="1:13">
      <c r="A328" s="9" t="s">
        <v>610</v>
      </c>
      <c r="B328" s="8">
        <v>24</v>
      </c>
      <c r="C328" s="8" t="s">
        <v>39</v>
      </c>
      <c r="D328" s="8" t="s">
        <v>36</v>
      </c>
      <c r="E328" s="34">
        <v>45607</v>
      </c>
      <c r="F328" s="8">
        <v>132</v>
      </c>
      <c r="G328" s="8">
        <v>56.35</v>
      </c>
      <c r="H328" s="10">
        <v>31.89</v>
      </c>
      <c r="I328" s="21">
        <f t="shared" si="25"/>
        <v>47.352941176470594</v>
      </c>
      <c r="J328" s="21">
        <f t="shared" si="26"/>
        <v>42.094800000000006</v>
      </c>
      <c r="K328" s="21">
        <f t="shared" si="27"/>
        <v>5.2581411764705877</v>
      </c>
      <c r="L328" s="8">
        <f t="shared" si="28"/>
        <v>3.9834402852049906</v>
      </c>
      <c r="M328" s="30" t="str">
        <f t="shared" si="29"/>
        <v>August</v>
      </c>
    </row>
    <row r="329" spans="1:13">
      <c r="A329" s="9" t="s">
        <v>612</v>
      </c>
      <c r="B329" s="8">
        <v>24</v>
      </c>
      <c r="C329" s="8" t="s">
        <v>35</v>
      </c>
      <c r="D329" s="8" t="s">
        <v>36</v>
      </c>
      <c r="E329" s="34">
        <v>45870</v>
      </c>
      <c r="F329" s="8">
        <v>247</v>
      </c>
      <c r="G329" s="8">
        <v>98.67</v>
      </c>
      <c r="H329" s="10">
        <v>25.04</v>
      </c>
      <c r="I329" s="21">
        <f t="shared" si="25"/>
        <v>82.915966386554629</v>
      </c>
      <c r="J329" s="21">
        <f t="shared" si="26"/>
        <v>61.848800000000004</v>
      </c>
      <c r="K329" s="21">
        <f t="shared" si="27"/>
        <v>21.067166386554625</v>
      </c>
      <c r="L329" s="8">
        <f t="shared" si="28"/>
        <v>8.5292171605484324</v>
      </c>
      <c r="M329" s="30" t="str">
        <f t="shared" si="29"/>
        <v>November</v>
      </c>
    </row>
    <row r="330" spans="1:13">
      <c r="A330" s="9" t="s">
        <v>613</v>
      </c>
      <c r="B330" s="8">
        <v>12</v>
      </c>
      <c r="C330" s="8" t="s">
        <v>35</v>
      </c>
      <c r="D330" s="8" t="s">
        <v>36</v>
      </c>
      <c r="E330" s="34">
        <v>45567</v>
      </c>
      <c r="F330" s="8">
        <v>274</v>
      </c>
      <c r="G330" s="8">
        <v>98.28</v>
      </c>
      <c r="H330" s="10">
        <v>25.87</v>
      </c>
      <c r="I330" s="21">
        <f t="shared" si="25"/>
        <v>82.588235294117652</v>
      </c>
      <c r="J330" s="21">
        <f t="shared" si="26"/>
        <v>70.883800000000008</v>
      </c>
      <c r="K330" s="21">
        <f t="shared" si="27"/>
        <v>11.704435294117644</v>
      </c>
      <c r="L330" s="8">
        <f t="shared" si="28"/>
        <v>4.2716917131816219</v>
      </c>
      <c r="M330" s="30" t="str">
        <f t="shared" si="29"/>
        <v>August</v>
      </c>
    </row>
    <row r="331" spans="1:13">
      <c r="A331" s="9" t="s">
        <v>614</v>
      </c>
      <c r="B331" s="8">
        <v>12</v>
      </c>
      <c r="C331" s="8" t="s">
        <v>39</v>
      </c>
      <c r="D331" s="8" t="s">
        <v>36</v>
      </c>
      <c r="E331" s="34">
        <v>45658</v>
      </c>
      <c r="F331" s="8">
        <v>88</v>
      </c>
      <c r="G331" s="8">
        <v>45.6</v>
      </c>
      <c r="H331" s="10">
        <v>29.76</v>
      </c>
      <c r="I331" s="21">
        <f t="shared" si="25"/>
        <v>38.319327731092443</v>
      </c>
      <c r="J331" s="21">
        <f t="shared" si="26"/>
        <v>26.188800000000001</v>
      </c>
      <c r="K331" s="21">
        <f t="shared" si="27"/>
        <v>12.130527731092442</v>
      </c>
      <c r="L331" s="8">
        <f t="shared" si="28"/>
        <v>13.784690603514138</v>
      </c>
      <c r="M331" s="30" t="str">
        <f t="shared" si="29"/>
        <v>November</v>
      </c>
    </row>
    <row r="332" spans="1:13">
      <c r="A332" s="9" t="s">
        <v>616</v>
      </c>
      <c r="B332" s="8">
        <v>12</v>
      </c>
      <c r="C332" s="8" t="s">
        <v>35</v>
      </c>
      <c r="D332" s="8" t="s">
        <v>46</v>
      </c>
      <c r="E332" s="34">
        <v>45359</v>
      </c>
      <c r="F332" s="8">
        <v>263</v>
      </c>
      <c r="G332" s="8">
        <v>97.85</v>
      </c>
      <c r="H332" s="10">
        <v>23.11</v>
      </c>
      <c r="I332" s="21">
        <f t="shared" si="25"/>
        <v>82.226890756302524</v>
      </c>
      <c r="J332" s="21">
        <f t="shared" si="26"/>
        <v>60.779300000000006</v>
      </c>
      <c r="K332" s="21">
        <f t="shared" si="27"/>
        <v>21.447590756302517</v>
      </c>
      <c r="L332" s="8">
        <f t="shared" si="28"/>
        <v>8.1549774738792831</v>
      </c>
      <c r="M332" s="30" t="str">
        <f t="shared" si="29"/>
        <v>December</v>
      </c>
    </row>
    <row r="333" spans="1:13">
      <c r="A333" s="9" t="s">
        <v>617</v>
      </c>
      <c r="B333" s="8">
        <v>24</v>
      </c>
      <c r="C333" s="8" t="s">
        <v>35</v>
      </c>
      <c r="D333" s="8" t="s">
        <v>36</v>
      </c>
      <c r="E333" s="34">
        <v>45635</v>
      </c>
      <c r="F333" s="8">
        <v>260</v>
      </c>
      <c r="G333" s="8">
        <v>96.81</v>
      </c>
      <c r="H333" s="10">
        <v>25.19</v>
      </c>
      <c r="I333" s="21">
        <f t="shared" si="25"/>
        <v>81.352941176470594</v>
      </c>
      <c r="J333" s="21">
        <f t="shared" si="26"/>
        <v>65.494</v>
      </c>
      <c r="K333" s="21">
        <f t="shared" si="27"/>
        <v>15.858941176470594</v>
      </c>
      <c r="L333" s="8">
        <f t="shared" si="28"/>
        <v>6.0995927601809976</v>
      </c>
      <c r="M333" s="30" t="str">
        <f t="shared" si="29"/>
        <v>December</v>
      </c>
    </row>
    <row r="334" spans="1:13">
      <c r="A334" s="9" t="s">
        <v>618</v>
      </c>
      <c r="B334" s="8">
        <v>12</v>
      </c>
      <c r="C334" s="8" t="s">
        <v>39</v>
      </c>
      <c r="D334" s="8" t="s">
        <v>36</v>
      </c>
      <c r="E334" s="34" t="s">
        <v>619</v>
      </c>
      <c r="F334" s="8">
        <v>130</v>
      </c>
      <c r="G334" s="8">
        <v>55.39</v>
      </c>
      <c r="H334" s="10">
        <v>29.31</v>
      </c>
      <c r="I334" s="21">
        <f t="shared" si="25"/>
        <v>46.54621848739496</v>
      </c>
      <c r="J334" s="21">
        <f t="shared" si="26"/>
        <v>38.102999999999994</v>
      </c>
      <c r="K334" s="21">
        <f t="shared" si="27"/>
        <v>8.4432184873949652</v>
      </c>
      <c r="L334" s="8">
        <f t="shared" si="28"/>
        <v>6.4947834518422818</v>
      </c>
      <c r="M334" s="30" t="str">
        <f t="shared" si="29"/>
        <v>April</v>
      </c>
    </row>
    <row r="335" spans="1:13">
      <c r="A335" s="9" t="s">
        <v>620</v>
      </c>
      <c r="B335" s="8">
        <v>12</v>
      </c>
      <c r="C335" s="8" t="s">
        <v>39</v>
      </c>
      <c r="D335" s="8" t="s">
        <v>56</v>
      </c>
      <c r="E335" s="34" t="s">
        <v>383</v>
      </c>
      <c r="F335" s="8">
        <v>134</v>
      </c>
      <c r="G335" s="8">
        <v>57.21</v>
      </c>
      <c r="H335" s="10">
        <v>29.2</v>
      </c>
      <c r="I335" s="21">
        <f t="shared" si="25"/>
        <v>48.075630252100844</v>
      </c>
      <c r="J335" s="21">
        <f t="shared" si="26"/>
        <v>39.128</v>
      </c>
      <c r="K335" s="21">
        <f t="shared" si="27"/>
        <v>8.9476302521008435</v>
      </c>
      <c r="L335" s="8">
        <f t="shared" si="28"/>
        <v>6.6773360090304807</v>
      </c>
      <c r="M335" s="30" t="str">
        <f t="shared" si="29"/>
        <v>December</v>
      </c>
    </row>
    <row r="336" spans="1:13">
      <c r="A336" s="9" t="s">
        <v>621</v>
      </c>
      <c r="B336" s="8">
        <v>12</v>
      </c>
      <c r="C336" s="8" t="s">
        <v>35</v>
      </c>
      <c r="D336" s="8" t="s">
        <v>56</v>
      </c>
      <c r="E336" s="34" t="s">
        <v>374</v>
      </c>
      <c r="F336" s="8">
        <v>279</v>
      </c>
      <c r="G336" s="8">
        <v>105.97</v>
      </c>
      <c r="H336" s="10">
        <v>22.93</v>
      </c>
      <c r="I336" s="21">
        <f t="shared" si="25"/>
        <v>89.050420168067234</v>
      </c>
      <c r="J336" s="21">
        <f t="shared" si="26"/>
        <v>63.974700000000006</v>
      </c>
      <c r="K336" s="21">
        <f t="shared" si="27"/>
        <v>25.075720168067228</v>
      </c>
      <c r="L336" s="8">
        <f t="shared" si="28"/>
        <v>8.9877133218878953</v>
      </c>
      <c r="M336" s="30" t="str">
        <f t="shared" si="29"/>
        <v>February</v>
      </c>
    </row>
    <row r="337" spans="1:13">
      <c r="A337" s="9" t="s">
        <v>622</v>
      </c>
      <c r="B337" s="8">
        <v>12</v>
      </c>
      <c r="C337" s="8" t="s">
        <v>39</v>
      </c>
      <c r="D337" s="8" t="s">
        <v>46</v>
      </c>
      <c r="E337" s="34">
        <v>45479</v>
      </c>
      <c r="F337" s="8">
        <v>151</v>
      </c>
      <c r="G337" s="8">
        <v>61.78</v>
      </c>
      <c r="H337" s="10">
        <v>30.52</v>
      </c>
      <c r="I337" s="21">
        <f t="shared" si="25"/>
        <v>51.915966386554622</v>
      </c>
      <c r="J337" s="21">
        <f t="shared" si="26"/>
        <v>46.085199999999993</v>
      </c>
      <c r="K337" s="21">
        <f t="shared" si="27"/>
        <v>5.8307663865546289</v>
      </c>
      <c r="L337" s="8">
        <f t="shared" si="28"/>
        <v>3.8614346930825354</v>
      </c>
      <c r="M337" s="30" t="str">
        <f t="shared" si="29"/>
        <v>August</v>
      </c>
    </row>
    <row r="338" spans="1:13">
      <c r="A338" s="9" t="s">
        <v>623</v>
      </c>
      <c r="B338" s="8">
        <v>24</v>
      </c>
      <c r="C338" s="8" t="s">
        <v>51</v>
      </c>
      <c r="D338" s="8" t="s">
        <v>56</v>
      </c>
      <c r="E338" s="34" t="s">
        <v>428</v>
      </c>
      <c r="F338" s="8">
        <v>0</v>
      </c>
      <c r="G338" s="8">
        <v>147.32</v>
      </c>
      <c r="H338" s="10">
        <v>19.28</v>
      </c>
      <c r="I338" s="21">
        <f t="shared" si="25"/>
        <v>123.79831932773109</v>
      </c>
      <c r="J338" s="21">
        <f t="shared" si="26"/>
        <v>0</v>
      </c>
      <c r="K338" s="21">
        <f t="shared" si="27"/>
        <v>123.79831932773109</v>
      </c>
      <c r="L338" s="8" t="str">
        <f t="shared" si="28"/>
        <v/>
      </c>
      <c r="M338" s="30" t="str">
        <f t="shared" si="29"/>
        <v>August</v>
      </c>
    </row>
    <row r="339" spans="1:13">
      <c r="A339" s="9" t="s">
        <v>624</v>
      </c>
      <c r="B339" s="8">
        <v>24</v>
      </c>
      <c r="C339" s="8" t="s">
        <v>35</v>
      </c>
      <c r="D339" s="8" t="s">
        <v>36</v>
      </c>
      <c r="E339" s="34" t="s">
        <v>145</v>
      </c>
      <c r="F339" s="8">
        <v>304</v>
      </c>
      <c r="G339" s="8">
        <v>117.38</v>
      </c>
      <c r="H339" s="10">
        <v>25.42</v>
      </c>
      <c r="I339" s="21">
        <f t="shared" si="25"/>
        <v>98.638655462184872</v>
      </c>
      <c r="J339" s="21">
        <f t="shared" si="26"/>
        <v>77.276800000000009</v>
      </c>
      <c r="K339" s="21">
        <f t="shared" si="27"/>
        <v>21.361855462184863</v>
      </c>
      <c r="L339" s="8">
        <f t="shared" si="28"/>
        <v>7.0269261388765987</v>
      </c>
      <c r="M339" s="30" t="str">
        <f t="shared" si="29"/>
        <v>June</v>
      </c>
    </row>
    <row r="340" spans="1:13">
      <c r="A340" s="9" t="s">
        <v>625</v>
      </c>
      <c r="B340" s="8">
        <v>12</v>
      </c>
      <c r="C340" s="8" t="s">
        <v>35</v>
      </c>
      <c r="D340" s="8" t="s">
        <v>56</v>
      </c>
      <c r="E340" s="34" t="s">
        <v>626</v>
      </c>
      <c r="F340" s="8">
        <v>250</v>
      </c>
      <c r="G340" s="8">
        <v>94.93</v>
      </c>
      <c r="H340" s="10">
        <v>26.7</v>
      </c>
      <c r="I340" s="21">
        <f t="shared" si="25"/>
        <v>79.77310924369749</v>
      </c>
      <c r="J340" s="21">
        <f t="shared" si="26"/>
        <v>66.75</v>
      </c>
      <c r="K340" s="21">
        <f t="shared" si="27"/>
        <v>13.02310924369749</v>
      </c>
      <c r="L340" s="8">
        <f t="shared" si="28"/>
        <v>5.2092436974789962</v>
      </c>
      <c r="M340" s="30" t="str">
        <f t="shared" si="29"/>
        <v>June</v>
      </c>
    </row>
    <row r="341" spans="1:13">
      <c r="A341" s="9" t="s">
        <v>627</v>
      </c>
      <c r="B341" s="8">
        <v>12</v>
      </c>
      <c r="C341" s="8" t="s">
        <v>35</v>
      </c>
      <c r="D341" s="8" t="s">
        <v>36</v>
      </c>
      <c r="E341" s="34" t="s">
        <v>628</v>
      </c>
      <c r="F341" s="8">
        <v>180</v>
      </c>
      <c r="G341" s="8">
        <v>72.05</v>
      </c>
      <c r="H341" s="10">
        <v>22.25</v>
      </c>
      <c r="I341" s="21">
        <f t="shared" si="25"/>
        <v>60.54621848739496</v>
      </c>
      <c r="J341" s="21">
        <f t="shared" si="26"/>
        <v>40.049999999999997</v>
      </c>
      <c r="K341" s="21">
        <f t="shared" si="27"/>
        <v>20.496218487394962</v>
      </c>
      <c r="L341" s="8">
        <f t="shared" si="28"/>
        <v>11.386788048552758</v>
      </c>
      <c r="M341" s="30" t="str">
        <f t="shared" si="29"/>
        <v>February</v>
      </c>
    </row>
    <row r="342" spans="1:13">
      <c r="A342" s="9" t="s">
        <v>629</v>
      </c>
      <c r="B342" s="8">
        <v>12</v>
      </c>
      <c r="C342" s="8" t="s">
        <v>51</v>
      </c>
      <c r="D342" s="8" t="s">
        <v>36</v>
      </c>
      <c r="E342" s="34" t="s">
        <v>40</v>
      </c>
      <c r="F342" s="8">
        <v>353</v>
      </c>
      <c r="G342" s="8">
        <v>120.64</v>
      </c>
      <c r="H342" s="10">
        <v>17.55</v>
      </c>
      <c r="I342" s="21">
        <f t="shared" si="25"/>
        <v>101.37815126050421</v>
      </c>
      <c r="J342" s="21">
        <f t="shared" si="26"/>
        <v>61.951500000000003</v>
      </c>
      <c r="K342" s="21">
        <f t="shared" si="27"/>
        <v>39.426651260504208</v>
      </c>
      <c r="L342" s="8">
        <f t="shared" si="28"/>
        <v>11.169023019972864</v>
      </c>
      <c r="M342" s="30" t="str">
        <f t="shared" si="29"/>
        <v>January</v>
      </c>
    </row>
    <row r="343" spans="1:13">
      <c r="A343" s="9" t="s">
        <v>630</v>
      </c>
      <c r="B343" s="8">
        <v>12</v>
      </c>
      <c r="C343" s="8" t="s">
        <v>39</v>
      </c>
      <c r="D343" s="8" t="s">
        <v>36</v>
      </c>
      <c r="E343" s="34">
        <v>45329</v>
      </c>
      <c r="F343" s="8">
        <v>111</v>
      </c>
      <c r="G343" s="8">
        <v>47.33</v>
      </c>
      <c r="H343" s="10">
        <v>31.24</v>
      </c>
      <c r="I343" s="21">
        <f t="shared" si="25"/>
        <v>39.773109243697476</v>
      </c>
      <c r="J343" s="21">
        <f t="shared" si="26"/>
        <v>34.676400000000001</v>
      </c>
      <c r="K343" s="21">
        <f t="shared" si="27"/>
        <v>5.0967092436974752</v>
      </c>
      <c r="L343" s="8">
        <f t="shared" si="28"/>
        <v>4.5916299492770047</v>
      </c>
      <c r="M343" s="30" t="str">
        <f t="shared" si="29"/>
        <v>June</v>
      </c>
    </row>
    <row r="344" spans="1:13">
      <c r="A344" s="9" t="s">
        <v>632</v>
      </c>
      <c r="B344" s="8">
        <v>12</v>
      </c>
      <c r="C344" s="8" t="s">
        <v>35</v>
      </c>
      <c r="D344" s="8" t="s">
        <v>36</v>
      </c>
      <c r="E344" s="34">
        <v>45455</v>
      </c>
      <c r="F344" s="8">
        <v>297</v>
      </c>
      <c r="G344" s="8">
        <v>114.75</v>
      </c>
      <c r="H344" s="10">
        <v>22.59</v>
      </c>
      <c r="I344" s="21">
        <f t="shared" si="25"/>
        <v>96.428571428571431</v>
      </c>
      <c r="J344" s="21">
        <f t="shared" si="26"/>
        <v>67.092299999999994</v>
      </c>
      <c r="K344" s="21">
        <f t="shared" si="27"/>
        <v>29.336271428571436</v>
      </c>
      <c r="L344" s="8">
        <f t="shared" si="28"/>
        <v>9.8775324675324701</v>
      </c>
      <c r="M344" s="30" t="str">
        <f t="shared" si="29"/>
        <v>August</v>
      </c>
    </row>
    <row r="345" spans="1:13">
      <c r="A345" s="9" t="s">
        <v>634</v>
      </c>
      <c r="B345" s="8">
        <v>12</v>
      </c>
      <c r="C345" s="8" t="s">
        <v>35</v>
      </c>
      <c r="D345" s="8" t="s">
        <v>36</v>
      </c>
      <c r="E345" s="34" t="s">
        <v>635</v>
      </c>
      <c r="F345" s="8">
        <v>284</v>
      </c>
      <c r="G345" s="8">
        <v>111.29</v>
      </c>
      <c r="H345" s="10">
        <v>23.37</v>
      </c>
      <c r="I345" s="21">
        <f t="shared" si="25"/>
        <v>93.52100840336135</v>
      </c>
      <c r="J345" s="21">
        <f t="shared" si="26"/>
        <v>66.370800000000003</v>
      </c>
      <c r="K345" s="21">
        <f t="shared" si="27"/>
        <v>27.150208403361347</v>
      </c>
      <c r="L345" s="8">
        <f t="shared" si="28"/>
        <v>9.5599325363948413</v>
      </c>
      <c r="M345" s="30" t="str">
        <f t="shared" si="29"/>
        <v>February</v>
      </c>
    </row>
    <row r="346" spans="1:13">
      <c r="A346" s="9" t="s">
        <v>636</v>
      </c>
      <c r="B346" s="8">
        <v>12</v>
      </c>
      <c r="C346" s="8" t="s">
        <v>39</v>
      </c>
      <c r="D346" s="8" t="s">
        <v>46</v>
      </c>
      <c r="E346" s="34">
        <v>45605</v>
      </c>
      <c r="F346" s="8">
        <v>149</v>
      </c>
      <c r="G346" s="8">
        <v>64.3</v>
      </c>
      <c r="H346" s="10">
        <v>31.46</v>
      </c>
      <c r="I346" s="21">
        <f t="shared" si="25"/>
        <v>54.033613445378151</v>
      </c>
      <c r="J346" s="21">
        <f t="shared" si="26"/>
        <v>46.875399999999999</v>
      </c>
      <c r="K346" s="21">
        <f t="shared" si="27"/>
        <v>7.1582134453781521</v>
      </c>
      <c r="L346" s="8">
        <f t="shared" si="28"/>
        <v>4.8041700975692301</v>
      </c>
      <c r="M346" s="30" t="str">
        <f t="shared" si="29"/>
        <v>June</v>
      </c>
    </row>
    <row r="347" spans="1:13">
      <c r="A347" s="9" t="s">
        <v>637</v>
      </c>
      <c r="B347" s="8">
        <v>24</v>
      </c>
      <c r="C347" s="8" t="s">
        <v>51</v>
      </c>
      <c r="D347" s="8" t="s">
        <v>46</v>
      </c>
      <c r="E347" s="34" t="s">
        <v>153</v>
      </c>
      <c r="F347" s="8">
        <v>506</v>
      </c>
      <c r="G347" s="8">
        <v>170.56</v>
      </c>
      <c r="H347" s="10">
        <v>17.27</v>
      </c>
      <c r="I347" s="21">
        <f t="shared" si="25"/>
        <v>143.32773109243698</v>
      </c>
      <c r="J347" s="21">
        <f t="shared" si="26"/>
        <v>87.386199999999988</v>
      </c>
      <c r="K347" s="21">
        <f t="shared" si="27"/>
        <v>55.941531092436989</v>
      </c>
      <c r="L347" s="8">
        <f t="shared" si="28"/>
        <v>11.055638555817588</v>
      </c>
      <c r="M347" s="30" t="str">
        <f t="shared" si="29"/>
        <v>September</v>
      </c>
    </row>
    <row r="348" spans="1:13">
      <c r="A348" s="9" t="s">
        <v>638</v>
      </c>
      <c r="B348" s="8">
        <v>24</v>
      </c>
      <c r="C348" s="8" t="s">
        <v>51</v>
      </c>
      <c r="D348" s="8" t="s">
        <v>46</v>
      </c>
      <c r="E348" s="34">
        <v>45632</v>
      </c>
      <c r="F348" s="8">
        <v>480</v>
      </c>
      <c r="G348" s="8">
        <v>169.11</v>
      </c>
      <c r="H348" s="10">
        <v>18.91</v>
      </c>
      <c r="I348" s="21">
        <f t="shared" si="25"/>
        <v>142.109243697479</v>
      </c>
      <c r="J348" s="21">
        <f t="shared" si="26"/>
        <v>90.767999999999986</v>
      </c>
      <c r="K348" s="21">
        <f t="shared" si="27"/>
        <v>51.341243697479015</v>
      </c>
      <c r="L348" s="8">
        <f t="shared" si="28"/>
        <v>10.696092436974796</v>
      </c>
      <c r="M348" s="30" t="str">
        <f t="shared" si="29"/>
        <v>September</v>
      </c>
    </row>
    <row r="349" spans="1:13">
      <c r="A349" s="9" t="s">
        <v>639</v>
      </c>
      <c r="B349" s="8">
        <v>12</v>
      </c>
      <c r="C349" s="8" t="s">
        <v>35</v>
      </c>
      <c r="D349" s="8" t="s">
        <v>36</v>
      </c>
      <c r="E349" s="37">
        <v>45402</v>
      </c>
      <c r="F349" s="8">
        <v>192</v>
      </c>
      <c r="G349" s="8">
        <v>77.98</v>
      </c>
      <c r="H349" s="10">
        <v>23.94</v>
      </c>
      <c r="I349" s="21">
        <f t="shared" si="25"/>
        <v>65.529411764705884</v>
      </c>
      <c r="J349" s="21">
        <f t="shared" si="26"/>
        <v>45.964800000000004</v>
      </c>
      <c r="K349" s="21">
        <f t="shared" si="27"/>
        <v>19.56461176470588</v>
      </c>
      <c r="L349" s="8">
        <f t="shared" si="28"/>
        <v>10.189901960784313</v>
      </c>
      <c r="M349" s="30" t="str">
        <f t="shared" si="29"/>
        <v>March</v>
      </c>
    </row>
    <row r="350" spans="1:13">
      <c r="A350" s="9" t="s">
        <v>641</v>
      </c>
      <c r="B350" s="8">
        <v>12</v>
      </c>
      <c r="C350" s="8" t="s">
        <v>51</v>
      </c>
      <c r="D350" s="8" t="s">
        <v>56</v>
      </c>
      <c r="E350" s="34" t="s">
        <v>642</v>
      </c>
      <c r="F350" s="8">
        <v>443</v>
      </c>
      <c r="G350" s="8">
        <v>154.59</v>
      </c>
      <c r="H350" s="10">
        <v>18.010000000000002</v>
      </c>
      <c r="I350" s="21">
        <f t="shared" si="25"/>
        <v>129.9075630252101</v>
      </c>
      <c r="J350" s="21">
        <f t="shared" si="26"/>
        <v>79.784300000000002</v>
      </c>
      <c r="K350" s="21">
        <f t="shared" si="27"/>
        <v>50.123263025210093</v>
      </c>
      <c r="L350" s="8">
        <f t="shared" si="28"/>
        <v>11.314506326232527</v>
      </c>
      <c r="M350" s="30" t="str">
        <f t="shared" si="29"/>
        <v>January</v>
      </c>
    </row>
    <row r="351" spans="1:13">
      <c r="A351" s="9" t="s">
        <v>643</v>
      </c>
      <c r="B351" s="8">
        <v>24</v>
      </c>
      <c r="C351" s="8" t="s">
        <v>51</v>
      </c>
      <c r="D351" s="8" t="s">
        <v>46</v>
      </c>
      <c r="E351" s="37">
        <v>45331</v>
      </c>
      <c r="F351" s="8">
        <v>478</v>
      </c>
      <c r="G351" s="8">
        <v>163.11000000000001</v>
      </c>
      <c r="H351" s="10">
        <v>19.32</v>
      </c>
      <c r="I351" s="21">
        <f t="shared" si="25"/>
        <v>137.06722689075633</v>
      </c>
      <c r="J351" s="21">
        <f t="shared" si="26"/>
        <v>92.349600000000009</v>
      </c>
      <c r="K351" s="21">
        <f t="shared" si="27"/>
        <v>44.717626890756321</v>
      </c>
      <c r="L351" s="8">
        <f t="shared" si="28"/>
        <v>9.3551520691958832</v>
      </c>
      <c r="M351" s="30" t="str">
        <f t="shared" si="29"/>
        <v>August</v>
      </c>
    </row>
    <row r="352" spans="1:13">
      <c r="A352" s="9" t="s">
        <v>645</v>
      </c>
      <c r="B352" s="8">
        <v>12</v>
      </c>
      <c r="C352" s="8" t="s">
        <v>35</v>
      </c>
      <c r="D352" s="8" t="s">
        <v>36</v>
      </c>
      <c r="E352" s="34" t="s">
        <v>646</v>
      </c>
      <c r="F352" s="8">
        <v>182</v>
      </c>
      <c r="G352" s="8">
        <v>73.38</v>
      </c>
      <c r="H352" s="10">
        <v>25.22</v>
      </c>
      <c r="I352" s="21">
        <f t="shared" si="25"/>
        <v>61.663865546218489</v>
      </c>
      <c r="J352" s="21">
        <f t="shared" si="26"/>
        <v>45.900399999999998</v>
      </c>
      <c r="K352" s="21">
        <f t="shared" si="27"/>
        <v>15.763465546218491</v>
      </c>
      <c r="L352" s="8">
        <f t="shared" si="28"/>
        <v>8.6612448056145563</v>
      </c>
      <c r="M352" s="30" t="str">
        <f t="shared" si="29"/>
        <v>April</v>
      </c>
    </row>
    <row r="353" spans="1:13">
      <c r="A353" s="9" t="s">
        <v>647</v>
      </c>
      <c r="B353" s="8">
        <v>24</v>
      </c>
      <c r="C353" s="8" t="s">
        <v>51</v>
      </c>
      <c r="D353" s="8" t="s">
        <v>46</v>
      </c>
      <c r="E353" s="34" t="s">
        <v>648</v>
      </c>
      <c r="F353" s="8">
        <v>407</v>
      </c>
      <c r="G353" s="8">
        <v>140.19</v>
      </c>
      <c r="H353" s="10">
        <v>17.190000000000001</v>
      </c>
      <c r="I353" s="21">
        <f t="shared" si="25"/>
        <v>117.80672268907563</v>
      </c>
      <c r="J353" s="21">
        <f t="shared" si="26"/>
        <v>69.963300000000004</v>
      </c>
      <c r="K353" s="21">
        <f t="shared" si="27"/>
        <v>47.843422689075624</v>
      </c>
      <c r="L353" s="8">
        <f t="shared" si="28"/>
        <v>11.755140709846589</v>
      </c>
      <c r="M353" s="30" t="str">
        <f t="shared" si="29"/>
        <v>August</v>
      </c>
    </row>
    <row r="354" spans="1:13">
      <c r="A354" s="9" t="s">
        <v>649</v>
      </c>
      <c r="B354" s="8">
        <v>24</v>
      </c>
      <c r="C354" s="8" t="s">
        <v>35</v>
      </c>
      <c r="D354" s="8" t="s">
        <v>36</v>
      </c>
      <c r="E354" s="34" t="s">
        <v>650</v>
      </c>
      <c r="F354" s="8">
        <v>266</v>
      </c>
      <c r="G354" s="8">
        <v>103.34</v>
      </c>
      <c r="H354" s="10">
        <v>24.32</v>
      </c>
      <c r="I354" s="21">
        <f t="shared" si="25"/>
        <v>86.840336134453793</v>
      </c>
      <c r="J354" s="21">
        <f t="shared" si="26"/>
        <v>64.691199999999995</v>
      </c>
      <c r="K354" s="21">
        <f t="shared" si="27"/>
        <v>22.149136134453798</v>
      </c>
      <c r="L354" s="8">
        <f t="shared" si="28"/>
        <v>8.3267429076893986</v>
      </c>
      <c r="M354" s="30" t="str">
        <f t="shared" si="29"/>
        <v>July</v>
      </c>
    </row>
    <row r="355" spans="1:13">
      <c r="A355" s="9" t="s">
        <v>651</v>
      </c>
      <c r="B355" s="8">
        <v>12</v>
      </c>
      <c r="C355" s="8" t="s">
        <v>35</v>
      </c>
      <c r="D355" s="8" t="s">
        <v>36</v>
      </c>
      <c r="E355" s="34" t="s">
        <v>652</v>
      </c>
      <c r="F355" s="8">
        <v>289</v>
      </c>
      <c r="G355" s="8">
        <v>114.18</v>
      </c>
      <c r="H355" s="10">
        <v>24.02</v>
      </c>
      <c r="I355" s="21">
        <f t="shared" si="25"/>
        <v>95.94957983193278</v>
      </c>
      <c r="J355" s="21">
        <f t="shared" si="26"/>
        <v>69.4178</v>
      </c>
      <c r="K355" s="21">
        <f t="shared" si="27"/>
        <v>26.531779831932781</v>
      </c>
      <c r="L355" s="8">
        <f t="shared" si="28"/>
        <v>9.1805466546480208</v>
      </c>
      <c r="M355" s="30" t="str">
        <f t="shared" si="29"/>
        <v>April</v>
      </c>
    </row>
    <row r="356" spans="1:13">
      <c r="A356" s="9" t="s">
        <v>653</v>
      </c>
      <c r="B356" s="8">
        <v>12</v>
      </c>
      <c r="C356" s="8" t="s">
        <v>35</v>
      </c>
      <c r="D356" s="8" t="s">
        <v>56</v>
      </c>
      <c r="E356" s="34" t="s">
        <v>654</v>
      </c>
      <c r="F356" s="8">
        <v>333</v>
      </c>
      <c r="G356" s="8">
        <v>124.08</v>
      </c>
      <c r="H356" s="10">
        <v>22.58</v>
      </c>
      <c r="I356" s="21">
        <f t="shared" si="25"/>
        <v>104.26890756302521</v>
      </c>
      <c r="J356" s="21">
        <f t="shared" si="26"/>
        <v>75.191399999999987</v>
      </c>
      <c r="K356" s="21">
        <f t="shared" si="27"/>
        <v>29.077507563025222</v>
      </c>
      <c r="L356" s="8">
        <f t="shared" si="28"/>
        <v>8.7319842531607268</v>
      </c>
      <c r="M356" s="30" t="str">
        <f t="shared" si="29"/>
        <v>December</v>
      </c>
    </row>
    <row r="357" spans="1:13">
      <c r="A357" s="9" t="s">
        <v>655</v>
      </c>
      <c r="B357" s="8">
        <v>24</v>
      </c>
      <c r="C357" s="8" t="s">
        <v>51</v>
      </c>
      <c r="D357" s="8" t="s">
        <v>36</v>
      </c>
      <c r="E357" s="34">
        <v>45515</v>
      </c>
      <c r="F357" s="8">
        <v>645</v>
      </c>
      <c r="G357" s="8">
        <v>216.71</v>
      </c>
      <c r="H357" s="10">
        <v>19.62</v>
      </c>
      <c r="I357" s="21">
        <f t="shared" si="25"/>
        <v>182.109243697479</v>
      </c>
      <c r="J357" s="21">
        <f t="shared" si="26"/>
        <v>126.54900000000002</v>
      </c>
      <c r="K357" s="21">
        <f t="shared" si="27"/>
        <v>55.560243697478981</v>
      </c>
      <c r="L357" s="8">
        <f t="shared" si="28"/>
        <v>8.6139912709269737</v>
      </c>
      <c r="M357" s="30" t="str">
        <f t="shared" si="29"/>
        <v>April</v>
      </c>
    </row>
    <row r="358" spans="1:13">
      <c r="A358" s="9" t="s">
        <v>657</v>
      </c>
      <c r="B358" s="8">
        <v>12</v>
      </c>
      <c r="C358" s="8" t="s">
        <v>39</v>
      </c>
      <c r="D358" s="8" t="s">
        <v>36</v>
      </c>
      <c r="E358" s="34" t="s">
        <v>130</v>
      </c>
      <c r="F358" s="8">
        <v>137</v>
      </c>
      <c r="G358" s="8">
        <v>57.12</v>
      </c>
      <c r="H358" s="10">
        <v>29.09</v>
      </c>
      <c r="I358" s="21">
        <f t="shared" si="25"/>
        <v>48</v>
      </c>
      <c r="J358" s="21">
        <f t="shared" si="26"/>
        <v>39.853299999999997</v>
      </c>
      <c r="K358" s="21">
        <f t="shared" si="27"/>
        <v>8.1467000000000027</v>
      </c>
      <c r="L358" s="8">
        <f t="shared" si="28"/>
        <v>5.9464963503649653</v>
      </c>
      <c r="M358" s="30" t="str">
        <f t="shared" si="29"/>
        <v>August</v>
      </c>
    </row>
    <row r="359" spans="1:13">
      <c r="A359" s="9" t="s">
        <v>658</v>
      </c>
      <c r="B359" s="8">
        <v>24</v>
      </c>
      <c r="C359" s="8" t="s">
        <v>51</v>
      </c>
      <c r="D359" s="8" t="s">
        <v>56</v>
      </c>
      <c r="E359" s="34" t="s">
        <v>47</v>
      </c>
      <c r="F359" s="8">
        <v>474</v>
      </c>
      <c r="G359" s="8">
        <v>164.65</v>
      </c>
      <c r="H359" s="10">
        <v>18.940000000000001</v>
      </c>
      <c r="I359" s="21">
        <f t="shared" si="25"/>
        <v>138.36134453781514</v>
      </c>
      <c r="J359" s="21">
        <f t="shared" si="26"/>
        <v>89.775600000000011</v>
      </c>
      <c r="K359" s="21">
        <f t="shared" si="27"/>
        <v>48.585744537815131</v>
      </c>
      <c r="L359" s="8">
        <f t="shared" si="28"/>
        <v>10.250157075488424</v>
      </c>
      <c r="M359" s="30" t="str">
        <f t="shared" si="29"/>
        <v>August</v>
      </c>
    </row>
    <row r="360" spans="1:13">
      <c r="A360" s="9" t="s">
        <v>659</v>
      </c>
      <c r="B360" s="8">
        <v>24</v>
      </c>
      <c r="C360" s="8" t="s">
        <v>51</v>
      </c>
      <c r="D360" s="8" t="s">
        <v>46</v>
      </c>
      <c r="E360" s="34" t="s">
        <v>660</v>
      </c>
      <c r="F360" s="8">
        <v>546</v>
      </c>
      <c r="G360" s="8">
        <v>185.17</v>
      </c>
      <c r="H360" s="10">
        <v>16.91</v>
      </c>
      <c r="I360" s="21">
        <f t="shared" si="25"/>
        <v>155.60504201680672</v>
      </c>
      <c r="J360" s="21">
        <f t="shared" si="26"/>
        <v>92.328600000000009</v>
      </c>
      <c r="K360" s="21">
        <f t="shared" si="27"/>
        <v>63.276442016806712</v>
      </c>
      <c r="L360" s="8">
        <f t="shared" si="28"/>
        <v>11.589091944470093</v>
      </c>
      <c r="M360" s="30" t="str">
        <f t="shared" si="29"/>
        <v>January</v>
      </c>
    </row>
    <row r="361" spans="1:13">
      <c r="A361" s="9" t="s">
        <v>661</v>
      </c>
      <c r="B361" s="8">
        <v>24</v>
      </c>
      <c r="C361" s="8" t="s">
        <v>39</v>
      </c>
      <c r="D361" s="8" t="s">
        <v>36</v>
      </c>
      <c r="E361" s="34" t="s">
        <v>662</v>
      </c>
      <c r="F361" s="8">
        <v>149</v>
      </c>
      <c r="G361" s="8">
        <v>61.21</v>
      </c>
      <c r="H361" s="10">
        <v>29.84</v>
      </c>
      <c r="I361" s="21">
        <f t="shared" si="25"/>
        <v>51.436974789915972</v>
      </c>
      <c r="J361" s="21">
        <f t="shared" si="26"/>
        <v>44.461599999999997</v>
      </c>
      <c r="K361" s="21">
        <f t="shared" si="27"/>
        <v>6.9753747899159748</v>
      </c>
      <c r="L361" s="8">
        <f t="shared" si="28"/>
        <v>4.6814595905476342</v>
      </c>
      <c r="M361" s="30" t="str">
        <f t="shared" si="29"/>
        <v>July</v>
      </c>
    </row>
    <row r="362" spans="1:13">
      <c r="A362" s="9" t="s">
        <v>663</v>
      </c>
      <c r="B362" s="8">
        <v>12</v>
      </c>
      <c r="C362" s="8" t="s">
        <v>51</v>
      </c>
      <c r="D362" s="8" t="s">
        <v>36</v>
      </c>
      <c r="E362" s="34">
        <v>45993</v>
      </c>
      <c r="F362" s="8">
        <v>372</v>
      </c>
      <c r="G362" s="8">
        <v>121.86</v>
      </c>
      <c r="H362" s="10">
        <v>18.03</v>
      </c>
      <c r="I362" s="21">
        <f t="shared" si="25"/>
        <v>102.40336134453781</v>
      </c>
      <c r="J362" s="21">
        <f t="shared" si="26"/>
        <v>67.071600000000004</v>
      </c>
      <c r="K362" s="21">
        <f t="shared" si="27"/>
        <v>35.33176134453781</v>
      </c>
      <c r="L362" s="8">
        <f t="shared" si="28"/>
        <v>9.4977853076714531</v>
      </c>
      <c r="M362" s="30" t="str">
        <f t="shared" si="29"/>
        <v>October</v>
      </c>
    </row>
    <row r="363" spans="1:13">
      <c r="A363" s="9" t="s">
        <v>664</v>
      </c>
      <c r="B363" s="8">
        <v>24</v>
      </c>
      <c r="C363" s="8" t="s">
        <v>39</v>
      </c>
      <c r="D363" s="8" t="s">
        <v>36</v>
      </c>
      <c r="E363" s="34">
        <v>45334</v>
      </c>
      <c r="F363" s="8">
        <v>117</v>
      </c>
      <c r="G363" s="8">
        <v>51.36</v>
      </c>
      <c r="H363" s="10">
        <v>31.29</v>
      </c>
      <c r="I363" s="21">
        <f t="shared" si="25"/>
        <v>43.159663865546221</v>
      </c>
      <c r="J363" s="21">
        <f t="shared" si="26"/>
        <v>36.609299999999998</v>
      </c>
      <c r="K363" s="21">
        <f t="shared" si="27"/>
        <v>6.550363865546224</v>
      </c>
      <c r="L363" s="8">
        <f t="shared" si="28"/>
        <v>5.5986015944839522</v>
      </c>
      <c r="M363" s="30" t="str">
        <f t="shared" si="29"/>
        <v>November</v>
      </c>
    </row>
    <row r="364" spans="1:13">
      <c r="A364" s="9" t="s">
        <v>666</v>
      </c>
      <c r="B364" s="8">
        <v>12</v>
      </c>
      <c r="C364" s="8" t="s">
        <v>39</v>
      </c>
      <c r="D364" s="8" t="s">
        <v>46</v>
      </c>
      <c r="E364" s="34">
        <v>45636</v>
      </c>
      <c r="F364" s="8">
        <v>154</v>
      </c>
      <c r="G364" s="8">
        <v>66.400000000000006</v>
      </c>
      <c r="H364" s="10">
        <v>28.23</v>
      </c>
      <c r="I364" s="21">
        <f t="shared" si="25"/>
        <v>55.7983193277311</v>
      </c>
      <c r="J364" s="21">
        <f t="shared" si="26"/>
        <v>43.474200000000003</v>
      </c>
      <c r="K364" s="21">
        <f t="shared" si="27"/>
        <v>12.324119327731097</v>
      </c>
      <c r="L364" s="8">
        <f t="shared" si="28"/>
        <v>8.0026748881370757</v>
      </c>
      <c r="M364" s="30" t="str">
        <f t="shared" si="29"/>
        <v>January</v>
      </c>
    </row>
    <row r="365" spans="1:13">
      <c r="A365" s="9" t="s">
        <v>667</v>
      </c>
      <c r="B365" s="8">
        <v>12</v>
      </c>
      <c r="C365" s="8" t="s">
        <v>35</v>
      </c>
      <c r="D365" s="8" t="s">
        <v>36</v>
      </c>
      <c r="E365" s="34">
        <v>45629</v>
      </c>
      <c r="F365" s="8">
        <v>231</v>
      </c>
      <c r="G365" s="8">
        <v>88.81</v>
      </c>
      <c r="H365" s="10">
        <v>23.67</v>
      </c>
      <c r="I365" s="21">
        <f t="shared" si="25"/>
        <v>74.630252100840337</v>
      </c>
      <c r="J365" s="21">
        <f t="shared" si="26"/>
        <v>54.677700000000002</v>
      </c>
      <c r="K365" s="21">
        <f t="shared" si="27"/>
        <v>19.952552100840336</v>
      </c>
      <c r="L365" s="8">
        <f t="shared" si="28"/>
        <v>8.6374684419222234</v>
      </c>
      <c r="M365" s="30" t="str">
        <f t="shared" si="29"/>
        <v>June</v>
      </c>
    </row>
    <row r="366" spans="1:13">
      <c r="A366" s="9" t="s">
        <v>668</v>
      </c>
      <c r="B366" s="8">
        <v>24</v>
      </c>
      <c r="C366" s="8" t="s">
        <v>39</v>
      </c>
      <c r="D366" s="8" t="s">
        <v>36</v>
      </c>
      <c r="E366" s="34">
        <v>45636</v>
      </c>
      <c r="F366" s="8">
        <v>131</v>
      </c>
      <c r="G366" s="8">
        <v>54.93</v>
      </c>
      <c r="H366" s="10">
        <v>29.83</v>
      </c>
      <c r="I366" s="21">
        <f t="shared" si="25"/>
        <v>46.159663865546221</v>
      </c>
      <c r="J366" s="21">
        <f t="shared" si="26"/>
        <v>39.077299999999994</v>
      </c>
      <c r="K366" s="21">
        <f t="shared" si="27"/>
        <v>7.0823638655462275</v>
      </c>
      <c r="L366" s="8">
        <f t="shared" si="28"/>
        <v>5.4063846301879597</v>
      </c>
      <c r="M366" s="30" t="str">
        <f t="shared" si="29"/>
        <v>January</v>
      </c>
    </row>
    <row r="367" spans="1:13">
      <c r="A367" s="9" t="s">
        <v>669</v>
      </c>
      <c r="B367" s="8">
        <v>12</v>
      </c>
      <c r="C367" s="8" t="s">
        <v>51</v>
      </c>
      <c r="D367" s="8" t="s">
        <v>56</v>
      </c>
      <c r="E367" s="37">
        <v>45651</v>
      </c>
      <c r="F367" s="8">
        <v>529</v>
      </c>
      <c r="G367" s="8">
        <v>181.12</v>
      </c>
      <c r="H367" s="10">
        <v>20.13</v>
      </c>
      <c r="I367" s="21">
        <f t="shared" si="25"/>
        <v>152.20168067226891</v>
      </c>
      <c r="J367" s="21">
        <f t="shared" si="26"/>
        <v>106.48769999999999</v>
      </c>
      <c r="K367" s="21">
        <f t="shared" si="27"/>
        <v>45.713980672268917</v>
      </c>
      <c r="L367" s="8">
        <f t="shared" si="28"/>
        <v>8.641584248065957</v>
      </c>
      <c r="M367" s="30" t="str">
        <f t="shared" si="29"/>
        <v>April</v>
      </c>
    </row>
    <row r="368" spans="1:13">
      <c r="A368" s="9" t="s">
        <v>671</v>
      </c>
      <c r="B368" s="8">
        <v>24</v>
      </c>
      <c r="C368" s="8" t="s">
        <v>51</v>
      </c>
      <c r="D368" s="8" t="s">
        <v>36</v>
      </c>
      <c r="E368" s="34">
        <v>45783</v>
      </c>
      <c r="F368" s="8">
        <v>395</v>
      </c>
      <c r="G368" s="8">
        <v>129.04</v>
      </c>
      <c r="H368" s="10">
        <v>19.37</v>
      </c>
      <c r="I368" s="21">
        <f t="shared" si="25"/>
        <v>108.43697478991596</v>
      </c>
      <c r="J368" s="21">
        <f t="shared" si="26"/>
        <v>76.511500000000012</v>
      </c>
      <c r="K368" s="21">
        <f t="shared" si="27"/>
        <v>31.925474789915953</v>
      </c>
      <c r="L368" s="8">
        <f t="shared" si="28"/>
        <v>8.0823986809913801</v>
      </c>
      <c r="M368" s="30" t="str">
        <f t="shared" si="29"/>
        <v>December</v>
      </c>
    </row>
    <row r="369" spans="1:13">
      <c r="A369" s="9" t="s">
        <v>672</v>
      </c>
      <c r="B369" s="8">
        <v>24</v>
      </c>
      <c r="C369" s="8" t="s">
        <v>35</v>
      </c>
      <c r="D369" s="8" t="s">
        <v>36</v>
      </c>
      <c r="E369" s="34" t="s">
        <v>673</v>
      </c>
      <c r="F369" s="8">
        <v>227</v>
      </c>
      <c r="G369" s="8">
        <v>86.7</v>
      </c>
      <c r="H369" s="10">
        <v>24.67</v>
      </c>
      <c r="I369" s="21">
        <f t="shared" si="25"/>
        <v>72.857142857142861</v>
      </c>
      <c r="J369" s="21">
        <f t="shared" si="26"/>
        <v>56.000900000000001</v>
      </c>
      <c r="K369" s="21">
        <f t="shared" si="27"/>
        <v>16.85624285714286</v>
      </c>
      <c r="L369" s="8">
        <f t="shared" si="28"/>
        <v>7.4256576463184398</v>
      </c>
      <c r="M369" s="30" t="str">
        <f t="shared" si="29"/>
        <v>February</v>
      </c>
    </row>
    <row r="370" spans="1:13">
      <c r="A370" s="9" t="s">
        <v>674</v>
      </c>
      <c r="B370" s="8">
        <v>12</v>
      </c>
      <c r="C370" s="8" t="s">
        <v>39</v>
      </c>
      <c r="D370" s="8" t="s">
        <v>36</v>
      </c>
      <c r="E370" s="34">
        <v>45424</v>
      </c>
      <c r="F370" s="8">
        <v>111</v>
      </c>
      <c r="G370" s="8">
        <v>48.15</v>
      </c>
      <c r="H370" s="10">
        <v>31.11</v>
      </c>
      <c r="I370" s="21">
        <f t="shared" si="25"/>
        <v>40.462184873949582</v>
      </c>
      <c r="J370" s="21">
        <f t="shared" si="26"/>
        <v>34.5321</v>
      </c>
      <c r="K370" s="21">
        <f t="shared" si="27"/>
        <v>5.9300848739495819</v>
      </c>
      <c r="L370" s="8">
        <f t="shared" si="28"/>
        <v>5.3424188053599835</v>
      </c>
      <c r="M370" s="30" t="str">
        <f t="shared" si="29"/>
        <v>January</v>
      </c>
    </row>
    <row r="371" spans="1:13">
      <c r="A371" s="9" t="s">
        <v>676</v>
      </c>
      <c r="B371" s="8">
        <v>12</v>
      </c>
      <c r="C371" s="8" t="s">
        <v>39</v>
      </c>
      <c r="D371" s="8" t="s">
        <v>46</v>
      </c>
      <c r="E371" s="37">
        <v>45320</v>
      </c>
      <c r="F371" s="8">
        <v>85</v>
      </c>
      <c r="G371" s="8">
        <v>42.13</v>
      </c>
      <c r="H371" s="10">
        <v>31.45</v>
      </c>
      <c r="I371" s="21">
        <f t="shared" si="25"/>
        <v>35.403361344537821</v>
      </c>
      <c r="J371" s="21">
        <f t="shared" si="26"/>
        <v>26.732500000000002</v>
      </c>
      <c r="K371" s="21">
        <f t="shared" si="27"/>
        <v>8.6708613445378191</v>
      </c>
      <c r="L371" s="8">
        <f t="shared" si="28"/>
        <v>10.201013346515081</v>
      </c>
      <c r="M371" s="30" t="str">
        <f t="shared" si="29"/>
        <v>September</v>
      </c>
    </row>
    <row r="372" spans="1:13">
      <c r="A372" s="9" t="s">
        <v>678</v>
      </c>
      <c r="B372" s="8">
        <v>12</v>
      </c>
      <c r="C372" s="8" t="s">
        <v>35</v>
      </c>
      <c r="D372" s="8" t="s">
        <v>36</v>
      </c>
      <c r="E372" s="34" t="s">
        <v>553</v>
      </c>
      <c r="F372" s="8">
        <v>171</v>
      </c>
      <c r="G372" s="8">
        <v>66.709999999999994</v>
      </c>
      <c r="H372" s="10">
        <v>23.26</v>
      </c>
      <c r="I372" s="21">
        <f t="shared" si="25"/>
        <v>56.058823529411761</v>
      </c>
      <c r="J372" s="21">
        <f t="shared" si="26"/>
        <v>39.774600000000007</v>
      </c>
      <c r="K372" s="21">
        <f t="shared" si="27"/>
        <v>16.284223529411754</v>
      </c>
      <c r="L372" s="8">
        <f t="shared" si="28"/>
        <v>9.5229377364981023</v>
      </c>
      <c r="M372" s="30" t="str">
        <f t="shared" si="29"/>
        <v>April</v>
      </c>
    </row>
    <row r="373" spans="1:13">
      <c r="A373" s="9" t="s">
        <v>679</v>
      </c>
      <c r="B373" s="8">
        <v>12</v>
      </c>
      <c r="C373" s="8" t="s">
        <v>51</v>
      </c>
      <c r="D373" s="8" t="s">
        <v>36</v>
      </c>
      <c r="E373" s="34" t="s">
        <v>499</v>
      </c>
      <c r="F373" s="8">
        <v>611</v>
      </c>
      <c r="G373" s="8">
        <v>198.72</v>
      </c>
      <c r="H373" s="10">
        <v>19.190000000000001</v>
      </c>
      <c r="I373" s="21">
        <f t="shared" si="25"/>
        <v>166.99159663865547</v>
      </c>
      <c r="J373" s="21">
        <f t="shared" si="26"/>
        <v>117.2509</v>
      </c>
      <c r="K373" s="21">
        <f t="shared" si="27"/>
        <v>49.740696638655464</v>
      </c>
      <c r="L373" s="8">
        <f t="shared" si="28"/>
        <v>8.1408668803036761</v>
      </c>
      <c r="M373" s="30" t="str">
        <f t="shared" si="29"/>
        <v>September</v>
      </c>
    </row>
    <row r="374" spans="1:13">
      <c r="A374" s="9" t="s">
        <v>680</v>
      </c>
      <c r="B374" s="8">
        <v>12</v>
      </c>
      <c r="C374" s="8" t="s">
        <v>35</v>
      </c>
      <c r="D374" s="8" t="s">
        <v>56</v>
      </c>
      <c r="E374" s="34">
        <v>45298</v>
      </c>
      <c r="F374" s="8">
        <v>212</v>
      </c>
      <c r="G374" s="8">
        <v>76.94</v>
      </c>
      <c r="H374" s="10">
        <v>25.36</v>
      </c>
      <c r="I374" s="21">
        <f t="shared" si="25"/>
        <v>64.655462184873954</v>
      </c>
      <c r="J374" s="21">
        <f t="shared" si="26"/>
        <v>53.763199999999998</v>
      </c>
      <c r="K374" s="21">
        <f t="shared" si="27"/>
        <v>10.892262184873957</v>
      </c>
      <c r="L374" s="8">
        <f t="shared" si="28"/>
        <v>5.1378595211669609</v>
      </c>
      <c r="M374" s="30" t="str">
        <f t="shared" si="29"/>
        <v>March</v>
      </c>
    </row>
    <row r="375" spans="1:13">
      <c r="A375" s="9" t="s">
        <v>681</v>
      </c>
      <c r="B375" s="8">
        <v>24</v>
      </c>
      <c r="C375" s="8" t="s">
        <v>39</v>
      </c>
      <c r="D375" s="8" t="s">
        <v>36</v>
      </c>
      <c r="E375" s="34" t="s">
        <v>199</v>
      </c>
      <c r="F375" s="8">
        <v>126</v>
      </c>
      <c r="G375" s="8">
        <v>53.63</v>
      </c>
      <c r="H375" s="10">
        <v>31.96</v>
      </c>
      <c r="I375" s="21">
        <f t="shared" si="25"/>
        <v>45.067226890756309</v>
      </c>
      <c r="J375" s="21">
        <f t="shared" si="26"/>
        <v>40.269599999999997</v>
      </c>
      <c r="K375" s="21">
        <f t="shared" si="27"/>
        <v>4.7976268907563124</v>
      </c>
      <c r="L375" s="8">
        <f t="shared" si="28"/>
        <v>3.8076403894891371</v>
      </c>
      <c r="M375" s="30" t="str">
        <f t="shared" si="29"/>
        <v>September</v>
      </c>
    </row>
    <row r="376" spans="1:13">
      <c r="A376" s="9" t="s">
        <v>682</v>
      </c>
      <c r="B376" s="8">
        <v>12</v>
      </c>
      <c r="C376" s="8" t="s">
        <v>35</v>
      </c>
      <c r="D376" s="8" t="s">
        <v>36</v>
      </c>
      <c r="E376" s="34">
        <v>45537</v>
      </c>
      <c r="F376" s="8">
        <v>217</v>
      </c>
      <c r="G376" s="8">
        <v>83.91</v>
      </c>
      <c r="H376" s="10">
        <v>25.56</v>
      </c>
      <c r="I376" s="21">
        <f t="shared" si="25"/>
        <v>70.512605042016801</v>
      </c>
      <c r="J376" s="21">
        <f t="shared" si="26"/>
        <v>55.465199999999996</v>
      </c>
      <c r="K376" s="21">
        <f t="shared" si="27"/>
        <v>15.047405042016806</v>
      </c>
      <c r="L376" s="8">
        <f t="shared" si="28"/>
        <v>6.9342880377957634</v>
      </c>
      <c r="M376" s="30" t="str">
        <f t="shared" si="29"/>
        <v>February</v>
      </c>
    </row>
    <row r="377" spans="1:13">
      <c r="A377" s="9" t="s">
        <v>684</v>
      </c>
      <c r="B377" s="8">
        <v>12</v>
      </c>
      <c r="C377" s="8" t="s">
        <v>35</v>
      </c>
      <c r="D377" s="8" t="s">
        <v>36</v>
      </c>
      <c r="E377" s="34" t="s">
        <v>401</v>
      </c>
      <c r="F377" s="8">
        <v>323</v>
      </c>
      <c r="G377" s="8">
        <v>120.91</v>
      </c>
      <c r="H377" s="10">
        <v>23.49</v>
      </c>
      <c r="I377" s="21">
        <f t="shared" si="25"/>
        <v>101.60504201680672</v>
      </c>
      <c r="J377" s="21">
        <f t="shared" si="26"/>
        <v>75.872699999999995</v>
      </c>
      <c r="K377" s="21">
        <f t="shared" si="27"/>
        <v>25.732342016806726</v>
      </c>
      <c r="L377" s="8">
        <f t="shared" si="28"/>
        <v>7.9666693550485226</v>
      </c>
      <c r="M377" s="30" t="str">
        <f t="shared" si="29"/>
        <v>April</v>
      </c>
    </row>
    <row r="378" spans="1:13">
      <c r="A378" s="9" t="s">
        <v>685</v>
      </c>
      <c r="B378" s="8">
        <v>24</v>
      </c>
      <c r="C378" s="8" t="s">
        <v>51</v>
      </c>
      <c r="D378" s="8" t="s">
        <v>36</v>
      </c>
      <c r="E378" s="34" t="s">
        <v>686</v>
      </c>
      <c r="F378" s="8">
        <v>420</v>
      </c>
      <c r="G378" s="8">
        <v>144.31</v>
      </c>
      <c r="H378" s="10">
        <v>17.48</v>
      </c>
      <c r="I378" s="21">
        <f t="shared" si="25"/>
        <v>121.26890756302522</v>
      </c>
      <c r="J378" s="21">
        <f t="shared" si="26"/>
        <v>73.415999999999997</v>
      </c>
      <c r="K378" s="21">
        <f t="shared" si="27"/>
        <v>47.852907563025227</v>
      </c>
      <c r="L378" s="8">
        <f t="shared" si="28"/>
        <v>11.393549419767911</v>
      </c>
      <c r="M378" s="30" t="str">
        <f t="shared" si="29"/>
        <v>March</v>
      </c>
    </row>
    <row r="379" spans="1:13">
      <c r="A379" s="9" t="s">
        <v>687</v>
      </c>
      <c r="B379" s="8">
        <v>12</v>
      </c>
      <c r="C379" s="8" t="s">
        <v>39</v>
      </c>
      <c r="D379" s="8" t="s">
        <v>36</v>
      </c>
      <c r="E379" s="34" t="s">
        <v>688</v>
      </c>
      <c r="F379" s="8">
        <v>119</v>
      </c>
      <c r="G379" s="8">
        <v>53.19</v>
      </c>
      <c r="H379" s="10">
        <v>29.96</v>
      </c>
      <c r="I379" s="21">
        <f t="shared" si="25"/>
        <v>44.69747899159664</v>
      </c>
      <c r="J379" s="21">
        <f t="shared" si="26"/>
        <v>35.6524</v>
      </c>
      <c r="K379" s="21">
        <f t="shared" si="27"/>
        <v>9.0450789915966396</v>
      </c>
      <c r="L379" s="8">
        <f t="shared" si="28"/>
        <v>7.6009067156274286</v>
      </c>
      <c r="M379" s="30" t="str">
        <f t="shared" si="29"/>
        <v>December</v>
      </c>
    </row>
    <row r="380" spans="1:13">
      <c r="A380" s="9" t="s">
        <v>689</v>
      </c>
      <c r="B380" s="8">
        <v>24</v>
      </c>
      <c r="C380" s="8" t="s">
        <v>51</v>
      </c>
      <c r="D380" s="8" t="s">
        <v>36</v>
      </c>
      <c r="E380" s="34" t="s">
        <v>464</v>
      </c>
      <c r="F380" s="8">
        <v>624</v>
      </c>
      <c r="G380" s="8">
        <v>201.14</v>
      </c>
      <c r="H380" s="10">
        <v>20.21</v>
      </c>
      <c r="I380" s="21">
        <f t="shared" si="25"/>
        <v>169.0252100840336</v>
      </c>
      <c r="J380" s="21">
        <f t="shared" si="26"/>
        <v>126.11040000000001</v>
      </c>
      <c r="K380" s="21">
        <f t="shared" si="27"/>
        <v>42.91481008403359</v>
      </c>
      <c r="L380" s="8">
        <f t="shared" si="28"/>
        <v>6.8773734109028188</v>
      </c>
      <c r="M380" s="30" t="str">
        <f t="shared" si="29"/>
        <v>November</v>
      </c>
    </row>
    <row r="381" spans="1:13">
      <c r="A381" s="9" t="s">
        <v>690</v>
      </c>
      <c r="B381" s="8">
        <v>12</v>
      </c>
      <c r="C381" s="8" t="s">
        <v>35</v>
      </c>
      <c r="D381" s="8" t="s">
        <v>36</v>
      </c>
      <c r="E381" s="34" t="s">
        <v>691</v>
      </c>
      <c r="F381" s="8">
        <v>307</v>
      </c>
      <c r="G381" s="8">
        <v>116.16</v>
      </c>
      <c r="H381" s="10">
        <v>23.97</v>
      </c>
      <c r="I381" s="21">
        <f t="shared" si="25"/>
        <v>97.613445378151269</v>
      </c>
      <c r="J381" s="21">
        <f t="shared" si="26"/>
        <v>73.587900000000005</v>
      </c>
      <c r="K381" s="21">
        <f t="shared" si="27"/>
        <v>24.025545378151264</v>
      </c>
      <c r="L381" s="8">
        <f t="shared" si="28"/>
        <v>7.8259105466290766</v>
      </c>
      <c r="M381" s="30" t="str">
        <f t="shared" si="29"/>
        <v>March</v>
      </c>
    </row>
    <row r="382" spans="1:13">
      <c r="A382" s="9" t="s">
        <v>692</v>
      </c>
      <c r="B382" s="8">
        <v>12</v>
      </c>
      <c r="C382" s="8" t="s">
        <v>51</v>
      </c>
      <c r="D382" s="8" t="s">
        <v>36</v>
      </c>
      <c r="E382" s="37">
        <v>45815</v>
      </c>
      <c r="F382" s="8">
        <v>395</v>
      </c>
      <c r="G382" s="8">
        <v>127.48</v>
      </c>
      <c r="H382" s="10">
        <v>18.920000000000002</v>
      </c>
      <c r="I382" s="21">
        <f t="shared" si="25"/>
        <v>107.12605042016807</v>
      </c>
      <c r="J382" s="21">
        <f t="shared" si="26"/>
        <v>74.734000000000009</v>
      </c>
      <c r="K382" s="21">
        <f t="shared" si="27"/>
        <v>32.392050420168061</v>
      </c>
      <c r="L382" s="8">
        <f t="shared" si="28"/>
        <v>8.2005190937134333</v>
      </c>
      <c r="M382" s="30" t="str">
        <f t="shared" si="29"/>
        <v>April</v>
      </c>
    </row>
    <row r="383" spans="1:13">
      <c r="A383" s="9" t="s">
        <v>694</v>
      </c>
      <c r="B383" s="8">
        <v>24</v>
      </c>
      <c r="C383" s="8" t="s">
        <v>39</v>
      </c>
      <c r="D383" s="8" t="s">
        <v>56</v>
      </c>
      <c r="E383" s="34" t="s">
        <v>553</v>
      </c>
      <c r="F383" s="8">
        <v>150</v>
      </c>
      <c r="G383" s="8">
        <v>0</v>
      </c>
      <c r="H383" s="10">
        <v>29.35</v>
      </c>
      <c r="I383" s="21">
        <f t="shared" si="25"/>
        <v>0</v>
      </c>
      <c r="J383" s="21">
        <f t="shared" si="26"/>
        <v>44.024999999999999</v>
      </c>
      <c r="K383" s="21">
        <f t="shared" si="27"/>
        <v>-44.024999999999999</v>
      </c>
      <c r="L383" s="8">
        <f t="shared" si="28"/>
        <v>-29.349999999999998</v>
      </c>
      <c r="M383" s="30" t="str">
        <f t="shared" si="29"/>
        <v>April</v>
      </c>
    </row>
    <row r="384" spans="1:13">
      <c r="A384" s="9" t="s">
        <v>695</v>
      </c>
      <c r="B384" s="8">
        <v>24</v>
      </c>
      <c r="C384" s="8" t="s">
        <v>35</v>
      </c>
      <c r="D384" s="8" t="s">
        <v>56</v>
      </c>
      <c r="E384" s="34" t="s">
        <v>231</v>
      </c>
      <c r="F384" s="8">
        <v>243</v>
      </c>
      <c r="G384" s="8">
        <v>93.23</v>
      </c>
      <c r="H384" s="10">
        <v>23.45</v>
      </c>
      <c r="I384" s="21">
        <f t="shared" si="25"/>
        <v>78.34453781512606</v>
      </c>
      <c r="J384" s="21">
        <f t="shared" si="26"/>
        <v>56.983499999999992</v>
      </c>
      <c r="K384" s="21">
        <f t="shared" si="27"/>
        <v>21.361037815126068</v>
      </c>
      <c r="L384" s="8">
        <f t="shared" si="28"/>
        <v>8.7905505412041425</v>
      </c>
      <c r="M384" s="30" t="str">
        <f t="shared" si="29"/>
        <v>January</v>
      </c>
    </row>
    <row r="385" spans="1:13">
      <c r="A385" s="9" t="s">
        <v>696</v>
      </c>
      <c r="B385" s="8">
        <v>24</v>
      </c>
      <c r="C385" s="8" t="s">
        <v>51</v>
      </c>
      <c r="D385" s="8" t="s">
        <v>46</v>
      </c>
      <c r="E385" s="34" t="s">
        <v>376</v>
      </c>
      <c r="F385" s="8">
        <v>494</v>
      </c>
      <c r="G385" s="8">
        <v>171.02</v>
      </c>
      <c r="H385" s="10">
        <v>20.8</v>
      </c>
      <c r="I385" s="21">
        <f t="shared" si="25"/>
        <v>143.71428571428572</v>
      </c>
      <c r="J385" s="21">
        <f t="shared" si="26"/>
        <v>102.75200000000001</v>
      </c>
      <c r="K385" s="21">
        <f t="shared" si="27"/>
        <v>40.962285714285713</v>
      </c>
      <c r="L385" s="8">
        <f t="shared" si="28"/>
        <v>8.291960670908038</v>
      </c>
      <c r="M385" s="30" t="str">
        <f t="shared" si="29"/>
        <v>July</v>
      </c>
    </row>
    <row r="386" spans="1:13">
      <c r="A386" s="9" t="s">
        <v>697</v>
      </c>
      <c r="B386" s="8">
        <v>24</v>
      </c>
      <c r="C386" s="8" t="s">
        <v>39</v>
      </c>
      <c r="D386" s="8" t="s">
        <v>56</v>
      </c>
      <c r="E386" s="34" t="s">
        <v>698</v>
      </c>
      <c r="F386" s="8">
        <v>94</v>
      </c>
      <c r="G386" s="8">
        <v>47.44</v>
      </c>
      <c r="H386" s="10">
        <v>29.63</v>
      </c>
      <c r="I386" s="21">
        <f t="shared" ref="I386:I449" si="30">G386/1.19</f>
        <v>39.865546218487395</v>
      </c>
      <c r="J386" s="21">
        <f t="shared" ref="J386:J449" si="31">F386*H386/100</f>
        <v>27.852199999999996</v>
      </c>
      <c r="K386" s="21">
        <f t="shared" ref="K386:K449" si="32">I386-J386</f>
        <v>12.013346218487399</v>
      </c>
      <c r="L386" s="8">
        <f t="shared" ref="L386:L449" si="33">IF(F386=0,"",K386/F386*100)</f>
        <v>12.78015555158234</v>
      </c>
      <c r="M386" s="30" t="str">
        <f t="shared" ref="M386:M449" si="34">TEXT(DATE(RIGHT(E386,4),MID(E386,4,2),LEFT(E386,2)),"mmmm")</f>
        <v>September</v>
      </c>
    </row>
    <row r="387" spans="1:13">
      <c r="A387" s="9" t="s">
        <v>699</v>
      </c>
      <c r="B387" s="8">
        <v>24</v>
      </c>
      <c r="C387" s="8" t="s">
        <v>51</v>
      </c>
      <c r="D387" s="8" t="s">
        <v>36</v>
      </c>
      <c r="E387" s="34" t="s">
        <v>579</v>
      </c>
      <c r="F387" s="8">
        <v>360</v>
      </c>
      <c r="G387" s="8">
        <v>128.22999999999999</v>
      </c>
      <c r="H387" s="10">
        <v>18.14</v>
      </c>
      <c r="I387" s="21">
        <f t="shared" si="30"/>
        <v>107.75630252100839</v>
      </c>
      <c r="J387" s="21">
        <f t="shared" si="31"/>
        <v>65.304000000000002</v>
      </c>
      <c r="K387" s="21">
        <f t="shared" si="32"/>
        <v>42.452302521008392</v>
      </c>
      <c r="L387" s="8">
        <f t="shared" si="33"/>
        <v>11.792306255835665</v>
      </c>
      <c r="M387" s="30" t="str">
        <f t="shared" si="34"/>
        <v>February</v>
      </c>
    </row>
    <row r="388" spans="1:13">
      <c r="A388" s="9" t="s">
        <v>700</v>
      </c>
      <c r="B388" s="8">
        <v>12</v>
      </c>
      <c r="C388" s="8" t="s">
        <v>35</v>
      </c>
      <c r="D388" s="8" t="s">
        <v>56</v>
      </c>
      <c r="E388" s="37">
        <v>45738</v>
      </c>
      <c r="F388" s="8">
        <v>288</v>
      </c>
      <c r="G388" s="8">
        <v>113.37</v>
      </c>
      <c r="H388" s="10">
        <v>23.82</v>
      </c>
      <c r="I388" s="21">
        <f t="shared" si="30"/>
        <v>95.268907563025223</v>
      </c>
      <c r="J388" s="21">
        <f t="shared" si="31"/>
        <v>68.601600000000005</v>
      </c>
      <c r="K388" s="21">
        <f t="shared" si="32"/>
        <v>26.667307563025219</v>
      </c>
      <c r="L388" s="8">
        <f t="shared" si="33"/>
        <v>9.2594817927170894</v>
      </c>
      <c r="M388" s="30" t="str">
        <f t="shared" si="34"/>
        <v>March</v>
      </c>
    </row>
    <row r="389" spans="1:13">
      <c r="A389" s="9" t="s">
        <v>702</v>
      </c>
      <c r="B389" s="8">
        <v>12</v>
      </c>
      <c r="C389" s="8" t="s">
        <v>39</v>
      </c>
      <c r="D389" s="8" t="s">
        <v>36</v>
      </c>
      <c r="E389" s="34">
        <v>45323</v>
      </c>
      <c r="F389" s="8">
        <v>125</v>
      </c>
      <c r="G389" s="8">
        <v>53.02</v>
      </c>
      <c r="H389" s="10">
        <v>31.05</v>
      </c>
      <c r="I389" s="21">
        <f t="shared" si="30"/>
        <v>44.554621848739501</v>
      </c>
      <c r="J389" s="21">
        <f t="shared" si="31"/>
        <v>38.8125</v>
      </c>
      <c r="K389" s="21">
        <f t="shared" si="32"/>
        <v>5.7421218487395009</v>
      </c>
      <c r="L389" s="8">
        <f t="shared" si="33"/>
        <v>4.5936974789916007</v>
      </c>
      <c r="M389" s="30" t="str">
        <f t="shared" si="34"/>
        <v>December</v>
      </c>
    </row>
    <row r="390" spans="1:13">
      <c r="A390" s="9" t="s">
        <v>704</v>
      </c>
      <c r="B390" s="8">
        <v>24</v>
      </c>
      <c r="C390" s="8" t="s">
        <v>39</v>
      </c>
      <c r="D390" s="8" t="s">
        <v>56</v>
      </c>
      <c r="E390" s="34" t="s">
        <v>705</v>
      </c>
      <c r="F390" s="8">
        <v>120</v>
      </c>
      <c r="G390" s="8">
        <v>54.28</v>
      </c>
      <c r="H390" s="10">
        <v>28.5</v>
      </c>
      <c r="I390" s="21">
        <f t="shared" si="30"/>
        <v>45.613445378151262</v>
      </c>
      <c r="J390" s="21">
        <f t="shared" si="31"/>
        <v>34.200000000000003</v>
      </c>
      <c r="K390" s="21">
        <f t="shared" si="32"/>
        <v>11.413445378151259</v>
      </c>
      <c r="L390" s="8">
        <f t="shared" si="33"/>
        <v>9.511204481792717</v>
      </c>
      <c r="M390" s="30" t="str">
        <f t="shared" si="34"/>
        <v>June</v>
      </c>
    </row>
    <row r="391" spans="1:13">
      <c r="A391" s="9" t="s">
        <v>706</v>
      </c>
      <c r="B391" s="8">
        <v>24</v>
      </c>
      <c r="C391" s="8" t="s">
        <v>35</v>
      </c>
      <c r="D391" s="8" t="s">
        <v>56</v>
      </c>
      <c r="E391" s="34" t="s">
        <v>707</v>
      </c>
      <c r="F391" s="8">
        <v>288</v>
      </c>
      <c r="G391" s="8">
        <v>103.84</v>
      </c>
      <c r="H391" s="10">
        <v>22.79</v>
      </c>
      <c r="I391" s="21">
        <f t="shared" si="30"/>
        <v>87.260504201680675</v>
      </c>
      <c r="J391" s="21">
        <f t="shared" si="31"/>
        <v>65.635199999999998</v>
      </c>
      <c r="K391" s="21">
        <f t="shared" si="32"/>
        <v>21.625304201680677</v>
      </c>
      <c r="L391" s="8">
        <f t="shared" si="33"/>
        <v>7.5087861811391239</v>
      </c>
      <c r="M391" s="30" t="str">
        <f t="shared" si="34"/>
        <v>July</v>
      </c>
    </row>
    <row r="392" spans="1:13">
      <c r="A392" s="9" t="s">
        <v>708</v>
      </c>
      <c r="B392" s="8">
        <v>24</v>
      </c>
      <c r="C392" s="8" t="s">
        <v>39</v>
      </c>
      <c r="D392" s="8" t="s">
        <v>46</v>
      </c>
      <c r="E392" s="37">
        <v>45664</v>
      </c>
      <c r="F392" s="8">
        <v>147</v>
      </c>
      <c r="G392" s="8">
        <v>61.16</v>
      </c>
      <c r="H392" s="10">
        <v>31.81</v>
      </c>
      <c r="I392" s="21">
        <f t="shared" si="30"/>
        <v>51.394957983193279</v>
      </c>
      <c r="J392" s="21">
        <f t="shared" si="31"/>
        <v>46.7607</v>
      </c>
      <c r="K392" s="21">
        <f t="shared" si="32"/>
        <v>4.6342579831932795</v>
      </c>
      <c r="L392" s="8">
        <f t="shared" si="33"/>
        <v>3.1525564511518911</v>
      </c>
      <c r="M392" s="30" t="str">
        <f t="shared" si="34"/>
        <v>May</v>
      </c>
    </row>
    <row r="393" spans="1:13">
      <c r="A393" s="9" t="s">
        <v>710</v>
      </c>
      <c r="B393" s="8">
        <v>12</v>
      </c>
      <c r="C393" s="8" t="s">
        <v>35</v>
      </c>
      <c r="D393" s="8" t="s">
        <v>56</v>
      </c>
      <c r="E393" s="34" t="s">
        <v>381</v>
      </c>
      <c r="F393" s="8">
        <v>193</v>
      </c>
      <c r="G393" s="8">
        <v>77.569999999999993</v>
      </c>
      <c r="H393" s="10">
        <v>22.7</v>
      </c>
      <c r="I393" s="21">
        <f t="shared" si="30"/>
        <v>65.184873949579824</v>
      </c>
      <c r="J393" s="21">
        <f t="shared" si="31"/>
        <v>43.810999999999993</v>
      </c>
      <c r="K393" s="21">
        <f t="shared" si="32"/>
        <v>21.373873949579831</v>
      </c>
      <c r="L393" s="8">
        <f t="shared" si="33"/>
        <v>11.074546087865198</v>
      </c>
      <c r="M393" s="30" t="str">
        <f t="shared" si="34"/>
        <v>March</v>
      </c>
    </row>
    <row r="394" spans="1:13">
      <c r="A394" s="9" t="s">
        <v>711</v>
      </c>
      <c r="B394" s="8">
        <v>12</v>
      </c>
      <c r="C394" s="8" t="s">
        <v>39</v>
      </c>
      <c r="D394" s="8" t="s">
        <v>46</v>
      </c>
      <c r="E394" s="34">
        <v>45629</v>
      </c>
      <c r="F394" s="8">
        <v>134</v>
      </c>
      <c r="G394" s="8">
        <v>61.01</v>
      </c>
      <c r="H394" s="10">
        <v>30.27</v>
      </c>
      <c r="I394" s="21">
        <f t="shared" si="30"/>
        <v>51.268907563025209</v>
      </c>
      <c r="J394" s="21">
        <f t="shared" si="31"/>
        <v>40.561799999999998</v>
      </c>
      <c r="K394" s="21">
        <f t="shared" si="32"/>
        <v>10.707107563025211</v>
      </c>
      <c r="L394" s="8">
        <f t="shared" si="33"/>
        <v>7.990378778377023</v>
      </c>
      <c r="M394" s="30" t="str">
        <f t="shared" si="34"/>
        <v>June</v>
      </c>
    </row>
    <row r="395" spans="1:13">
      <c r="A395" s="9" t="s">
        <v>712</v>
      </c>
      <c r="B395" s="8">
        <v>24</v>
      </c>
      <c r="C395" s="8" t="s">
        <v>35</v>
      </c>
      <c r="D395" s="8" t="s">
        <v>36</v>
      </c>
      <c r="E395" s="34">
        <v>45394</v>
      </c>
      <c r="F395" s="8">
        <v>190</v>
      </c>
      <c r="G395" s="8">
        <v>75.150000000000006</v>
      </c>
      <c r="H395" s="10">
        <v>24.32</v>
      </c>
      <c r="I395" s="21">
        <f t="shared" si="30"/>
        <v>63.151260504201687</v>
      </c>
      <c r="J395" s="21">
        <f t="shared" si="31"/>
        <v>46.207999999999998</v>
      </c>
      <c r="K395" s="21">
        <f t="shared" si="32"/>
        <v>16.943260504201689</v>
      </c>
      <c r="L395" s="8">
        <f t="shared" si="33"/>
        <v>8.9175055285272045</v>
      </c>
      <c r="M395" s="30" t="str">
        <f t="shared" si="34"/>
        <v>November</v>
      </c>
    </row>
    <row r="396" spans="1:13">
      <c r="A396" s="9" t="s">
        <v>713</v>
      </c>
      <c r="B396" s="8">
        <v>12</v>
      </c>
      <c r="C396" s="8" t="s">
        <v>39</v>
      </c>
      <c r="D396" s="8" t="s">
        <v>36</v>
      </c>
      <c r="E396" s="34" t="s">
        <v>464</v>
      </c>
      <c r="F396" s="8">
        <v>146</v>
      </c>
      <c r="G396" s="8">
        <v>64.11</v>
      </c>
      <c r="H396" s="10">
        <v>29.96</v>
      </c>
      <c r="I396" s="21">
        <f t="shared" si="30"/>
        <v>53.873949579831937</v>
      </c>
      <c r="J396" s="21">
        <f t="shared" si="31"/>
        <v>43.741599999999998</v>
      </c>
      <c r="K396" s="21">
        <f t="shared" si="32"/>
        <v>10.132349579831939</v>
      </c>
      <c r="L396" s="8">
        <f t="shared" si="33"/>
        <v>6.9399654656383145</v>
      </c>
      <c r="M396" s="30" t="str">
        <f t="shared" si="34"/>
        <v>November</v>
      </c>
    </row>
    <row r="397" spans="1:13">
      <c r="A397" s="9" t="s">
        <v>714</v>
      </c>
      <c r="B397" s="8">
        <v>24</v>
      </c>
      <c r="C397" s="8" t="s">
        <v>51</v>
      </c>
      <c r="D397" s="8" t="s">
        <v>46</v>
      </c>
      <c r="E397" s="37">
        <v>45419</v>
      </c>
      <c r="F397" s="8">
        <v>552</v>
      </c>
      <c r="G397" s="8">
        <v>194.29</v>
      </c>
      <c r="H397" s="10">
        <v>19.72</v>
      </c>
      <c r="I397" s="21">
        <f t="shared" si="30"/>
        <v>163.26890756302521</v>
      </c>
      <c r="J397" s="21">
        <f t="shared" si="31"/>
        <v>108.85439999999998</v>
      </c>
      <c r="K397" s="21">
        <f t="shared" si="32"/>
        <v>54.414507563025225</v>
      </c>
      <c r="L397" s="8">
        <f t="shared" si="33"/>
        <v>9.8577006454755836</v>
      </c>
      <c r="M397" s="30" t="str">
        <f t="shared" si="34"/>
        <v>August</v>
      </c>
    </row>
    <row r="398" spans="1:13">
      <c r="A398" s="9" t="s">
        <v>716</v>
      </c>
      <c r="B398" s="8">
        <v>24</v>
      </c>
      <c r="C398" s="8" t="s">
        <v>51</v>
      </c>
      <c r="D398" s="8" t="s">
        <v>36</v>
      </c>
      <c r="E398" s="34">
        <v>45362</v>
      </c>
      <c r="F398" s="8">
        <v>652</v>
      </c>
      <c r="G398" s="8">
        <v>214.06</v>
      </c>
      <c r="H398" s="10">
        <v>17.649999999999999</v>
      </c>
      <c r="I398" s="21">
        <f t="shared" si="30"/>
        <v>179.88235294117649</v>
      </c>
      <c r="J398" s="21">
        <f t="shared" si="31"/>
        <v>115.07799999999999</v>
      </c>
      <c r="K398" s="21">
        <f t="shared" si="32"/>
        <v>64.804352941176504</v>
      </c>
      <c r="L398" s="8">
        <f t="shared" si="33"/>
        <v>9.9393179357632668</v>
      </c>
      <c r="M398" s="30" t="str">
        <f t="shared" si="34"/>
        <v>March</v>
      </c>
    </row>
    <row r="399" spans="1:13">
      <c r="A399" s="9" t="s">
        <v>717</v>
      </c>
      <c r="B399" s="8">
        <v>12</v>
      </c>
      <c r="C399" s="8" t="s">
        <v>51</v>
      </c>
      <c r="D399" s="8" t="s">
        <v>46</v>
      </c>
      <c r="E399" s="34">
        <v>45722</v>
      </c>
      <c r="F399" s="8">
        <v>356</v>
      </c>
      <c r="G399" s="8">
        <v>114.6</v>
      </c>
      <c r="H399" s="10">
        <v>19.260000000000002</v>
      </c>
      <c r="I399" s="21">
        <f t="shared" si="30"/>
        <v>96.30252100840336</v>
      </c>
      <c r="J399" s="21">
        <f t="shared" si="31"/>
        <v>68.565600000000003</v>
      </c>
      <c r="K399" s="21">
        <f t="shared" si="32"/>
        <v>27.736921008403357</v>
      </c>
      <c r="L399" s="8">
        <f t="shared" si="33"/>
        <v>7.7912699461807176</v>
      </c>
      <c r="M399" s="30" t="str">
        <f t="shared" si="34"/>
        <v>November</v>
      </c>
    </row>
    <row r="400" spans="1:13">
      <c r="A400" s="9" t="s">
        <v>718</v>
      </c>
      <c r="B400" s="8">
        <v>24</v>
      </c>
      <c r="C400" s="8" t="s">
        <v>35</v>
      </c>
      <c r="D400" s="8" t="s">
        <v>56</v>
      </c>
      <c r="E400" s="34">
        <v>45637</v>
      </c>
      <c r="F400" s="8">
        <v>176</v>
      </c>
      <c r="G400" s="8">
        <v>69.150000000000006</v>
      </c>
      <c r="H400" s="10">
        <v>23.49</v>
      </c>
      <c r="I400" s="21">
        <f t="shared" si="30"/>
        <v>58.109243697479002</v>
      </c>
      <c r="J400" s="21">
        <f t="shared" si="31"/>
        <v>41.342399999999998</v>
      </c>
      <c r="K400" s="21">
        <f t="shared" si="32"/>
        <v>16.766843697479004</v>
      </c>
      <c r="L400" s="8">
        <f t="shared" si="33"/>
        <v>9.5266157372039793</v>
      </c>
      <c r="M400" s="30" t="str">
        <f t="shared" si="34"/>
        <v>February</v>
      </c>
    </row>
    <row r="401" spans="1:13">
      <c r="A401" s="9" t="s">
        <v>720</v>
      </c>
      <c r="B401" s="8">
        <v>24</v>
      </c>
      <c r="C401" s="8" t="s">
        <v>39</v>
      </c>
      <c r="D401" s="8" t="s">
        <v>36</v>
      </c>
      <c r="E401" s="37">
        <v>45710</v>
      </c>
      <c r="F401" s="8">
        <v>107</v>
      </c>
      <c r="G401" s="8">
        <v>46.9</v>
      </c>
      <c r="H401" s="10">
        <v>30.65</v>
      </c>
      <c r="I401" s="21">
        <f t="shared" si="30"/>
        <v>39.411764705882355</v>
      </c>
      <c r="J401" s="21">
        <f t="shared" si="31"/>
        <v>32.795499999999997</v>
      </c>
      <c r="K401" s="21">
        <f t="shared" si="32"/>
        <v>6.616264705882358</v>
      </c>
      <c r="L401" s="8">
        <f t="shared" si="33"/>
        <v>6.1834249587685592</v>
      </c>
      <c r="M401" s="30" t="str">
        <f t="shared" si="34"/>
        <v>November</v>
      </c>
    </row>
    <row r="402" spans="1:13">
      <c r="A402" s="9" t="s">
        <v>722</v>
      </c>
      <c r="B402" s="8">
        <v>12</v>
      </c>
      <c r="C402" s="8" t="s">
        <v>51</v>
      </c>
      <c r="D402" s="8" t="s">
        <v>46</v>
      </c>
      <c r="E402" s="34" t="s">
        <v>723</v>
      </c>
      <c r="F402" s="8">
        <v>420</v>
      </c>
      <c r="G402" s="8">
        <v>135.38999999999999</v>
      </c>
      <c r="H402" s="10">
        <v>17.21</v>
      </c>
      <c r="I402" s="21">
        <f t="shared" si="30"/>
        <v>113.77310924369748</v>
      </c>
      <c r="J402" s="21">
        <f t="shared" si="31"/>
        <v>72.282000000000011</v>
      </c>
      <c r="K402" s="21">
        <f t="shared" si="32"/>
        <v>41.491109243697466</v>
      </c>
      <c r="L402" s="8">
        <f t="shared" si="33"/>
        <v>9.8788355342136835</v>
      </c>
      <c r="M402" s="30" t="str">
        <f t="shared" si="34"/>
        <v>November</v>
      </c>
    </row>
    <row r="403" spans="1:13">
      <c r="A403" s="9" t="s">
        <v>724</v>
      </c>
      <c r="B403" s="8">
        <v>24</v>
      </c>
      <c r="C403" s="8" t="s">
        <v>39</v>
      </c>
      <c r="D403" s="8" t="s">
        <v>56</v>
      </c>
      <c r="E403" s="34" t="s">
        <v>397</v>
      </c>
      <c r="F403" s="8">
        <v>104</v>
      </c>
      <c r="G403" s="8">
        <v>50.67</v>
      </c>
      <c r="H403" s="10">
        <v>30.28</v>
      </c>
      <c r="I403" s="21">
        <f t="shared" si="30"/>
        <v>42.579831932773111</v>
      </c>
      <c r="J403" s="21">
        <f t="shared" si="31"/>
        <v>31.491199999999999</v>
      </c>
      <c r="K403" s="21">
        <f t="shared" si="32"/>
        <v>11.088631932773112</v>
      </c>
      <c r="L403" s="8">
        <f t="shared" si="33"/>
        <v>10.662146089204914</v>
      </c>
      <c r="M403" s="30" t="str">
        <f t="shared" si="34"/>
        <v>February</v>
      </c>
    </row>
    <row r="404" spans="1:13">
      <c r="A404" s="9" t="s">
        <v>725</v>
      </c>
      <c r="B404" s="8">
        <v>12</v>
      </c>
      <c r="C404" s="8" t="s">
        <v>39</v>
      </c>
      <c r="D404" s="8" t="s">
        <v>56</v>
      </c>
      <c r="E404" s="34" t="s">
        <v>726</v>
      </c>
      <c r="F404" s="8">
        <v>159</v>
      </c>
      <c r="G404" s="8">
        <v>66.989999999999995</v>
      </c>
      <c r="H404" s="10">
        <v>28.74</v>
      </c>
      <c r="I404" s="21">
        <f t="shared" si="30"/>
        <v>56.294117647058819</v>
      </c>
      <c r="J404" s="21">
        <f t="shared" si="31"/>
        <v>45.696599999999997</v>
      </c>
      <c r="K404" s="21">
        <f t="shared" si="32"/>
        <v>10.597517647058822</v>
      </c>
      <c r="L404" s="8">
        <f t="shared" si="33"/>
        <v>6.6651054384017749</v>
      </c>
      <c r="M404" s="30" t="str">
        <f t="shared" si="34"/>
        <v>October</v>
      </c>
    </row>
    <row r="405" spans="1:13">
      <c r="A405" s="9" t="s">
        <v>727</v>
      </c>
      <c r="B405" s="8">
        <v>24</v>
      </c>
      <c r="C405" s="8" t="s">
        <v>39</v>
      </c>
      <c r="D405" s="8" t="s">
        <v>56</v>
      </c>
      <c r="E405" s="34">
        <v>45570</v>
      </c>
      <c r="F405" s="8">
        <v>104</v>
      </c>
      <c r="G405" s="8">
        <v>48.91</v>
      </c>
      <c r="H405" s="10">
        <v>29.11</v>
      </c>
      <c r="I405" s="21">
        <f t="shared" si="30"/>
        <v>41.100840336134453</v>
      </c>
      <c r="J405" s="21">
        <f t="shared" si="31"/>
        <v>30.2744</v>
      </c>
      <c r="K405" s="21">
        <f t="shared" si="32"/>
        <v>10.826440336134453</v>
      </c>
      <c r="L405" s="8">
        <f t="shared" si="33"/>
        <v>10.410038784744668</v>
      </c>
      <c r="M405" s="30" t="str">
        <f t="shared" si="34"/>
        <v>November</v>
      </c>
    </row>
    <row r="406" spans="1:13">
      <c r="A406" s="9" t="s">
        <v>728</v>
      </c>
      <c r="B406" s="8">
        <v>12</v>
      </c>
      <c r="C406" s="8" t="s">
        <v>35</v>
      </c>
      <c r="D406" s="8" t="s">
        <v>36</v>
      </c>
      <c r="E406" s="34" t="s">
        <v>124</v>
      </c>
      <c r="F406" s="8">
        <v>212</v>
      </c>
      <c r="G406" s="8">
        <v>88.55</v>
      </c>
      <c r="H406" s="10">
        <v>22.87</v>
      </c>
      <c r="I406" s="21">
        <f t="shared" si="30"/>
        <v>74.411764705882348</v>
      </c>
      <c r="J406" s="21">
        <f t="shared" si="31"/>
        <v>48.484400000000008</v>
      </c>
      <c r="K406" s="21">
        <f t="shared" si="32"/>
        <v>25.92736470588234</v>
      </c>
      <c r="L406" s="8">
        <f t="shared" si="33"/>
        <v>12.229889012208652</v>
      </c>
      <c r="M406" s="30" t="str">
        <f t="shared" si="34"/>
        <v>July</v>
      </c>
    </row>
    <row r="407" spans="1:13">
      <c r="A407" s="9" t="s">
        <v>729</v>
      </c>
      <c r="B407" s="8">
        <v>24</v>
      </c>
      <c r="C407" s="8" t="s">
        <v>51</v>
      </c>
      <c r="D407" s="8" t="s">
        <v>56</v>
      </c>
      <c r="E407" s="34">
        <v>45811</v>
      </c>
      <c r="F407" s="8">
        <v>587</v>
      </c>
      <c r="G407" s="8">
        <v>200.14</v>
      </c>
      <c r="H407" s="10">
        <v>17.41</v>
      </c>
      <c r="I407" s="21">
        <f t="shared" si="30"/>
        <v>168.18487394957984</v>
      </c>
      <c r="J407" s="21">
        <f t="shared" si="31"/>
        <v>102.19670000000001</v>
      </c>
      <c r="K407" s="21">
        <f t="shared" si="32"/>
        <v>65.988173949579831</v>
      </c>
      <c r="L407" s="8">
        <f t="shared" si="33"/>
        <v>11.241596924971011</v>
      </c>
      <c r="M407" s="30" t="str">
        <f t="shared" si="34"/>
        <v>December</v>
      </c>
    </row>
    <row r="408" spans="1:13">
      <c r="A408" s="9" t="s">
        <v>731</v>
      </c>
      <c r="B408" s="8">
        <v>12</v>
      </c>
      <c r="C408" s="8" t="s">
        <v>35</v>
      </c>
      <c r="D408" s="8" t="s">
        <v>46</v>
      </c>
      <c r="E408" s="34" t="s">
        <v>164</v>
      </c>
      <c r="F408" s="8">
        <v>242</v>
      </c>
      <c r="G408" s="8">
        <v>97.76</v>
      </c>
      <c r="H408" s="10">
        <v>25.3</v>
      </c>
      <c r="I408" s="21">
        <f t="shared" si="30"/>
        <v>82.151260504201687</v>
      </c>
      <c r="J408" s="21">
        <f t="shared" si="31"/>
        <v>61.226000000000006</v>
      </c>
      <c r="K408" s="21">
        <f t="shared" si="32"/>
        <v>20.925260504201681</v>
      </c>
      <c r="L408" s="8">
        <f t="shared" si="33"/>
        <v>8.6468018612403643</v>
      </c>
      <c r="M408" s="30" t="str">
        <f t="shared" si="34"/>
        <v>January</v>
      </c>
    </row>
    <row r="409" spans="1:13">
      <c r="A409" s="9" t="s">
        <v>732</v>
      </c>
      <c r="B409" s="8">
        <v>12</v>
      </c>
      <c r="C409" s="8" t="s">
        <v>35</v>
      </c>
      <c r="D409" s="8" t="s">
        <v>36</v>
      </c>
      <c r="E409" s="34" t="s">
        <v>733</v>
      </c>
      <c r="F409" s="8">
        <v>296</v>
      </c>
      <c r="G409" s="8">
        <v>106.42</v>
      </c>
      <c r="H409" s="10">
        <v>25.14</v>
      </c>
      <c r="I409" s="21">
        <f t="shared" si="30"/>
        <v>89.428571428571431</v>
      </c>
      <c r="J409" s="21">
        <f t="shared" si="31"/>
        <v>74.414400000000001</v>
      </c>
      <c r="K409" s="21">
        <f t="shared" si="32"/>
        <v>15.01417142857143</v>
      </c>
      <c r="L409" s="8">
        <f t="shared" si="33"/>
        <v>5.0723552123552134</v>
      </c>
      <c r="M409" s="30" t="str">
        <f t="shared" si="34"/>
        <v>June</v>
      </c>
    </row>
    <row r="410" spans="1:13">
      <c r="A410" s="9" t="s">
        <v>734</v>
      </c>
      <c r="B410" s="8">
        <v>24</v>
      </c>
      <c r="C410" s="8" t="s">
        <v>39</v>
      </c>
      <c r="D410" s="8" t="s">
        <v>36</v>
      </c>
      <c r="E410" s="34">
        <v>45393</v>
      </c>
      <c r="F410" s="8">
        <v>88</v>
      </c>
      <c r="G410" s="8">
        <v>44.36</v>
      </c>
      <c r="H410" s="10">
        <v>31.71</v>
      </c>
      <c r="I410" s="21">
        <f t="shared" si="30"/>
        <v>37.27731092436975</v>
      </c>
      <c r="J410" s="21">
        <f t="shared" si="31"/>
        <v>27.904800000000002</v>
      </c>
      <c r="K410" s="21">
        <f t="shared" si="32"/>
        <v>9.3725109243697489</v>
      </c>
      <c r="L410" s="8">
        <f t="shared" si="33"/>
        <v>10.650580595874715</v>
      </c>
      <c r="M410" s="30" t="str">
        <f t="shared" si="34"/>
        <v>October</v>
      </c>
    </row>
    <row r="411" spans="1:13">
      <c r="A411" s="9" t="s">
        <v>736</v>
      </c>
      <c r="B411" s="8">
        <v>12</v>
      </c>
      <c r="C411" s="8" t="s">
        <v>51</v>
      </c>
      <c r="D411" s="8" t="s">
        <v>46</v>
      </c>
      <c r="E411" s="34" t="s">
        <v>737</v>
      </c>
      <c r="F411" s="8">
        <v>496</v>
      </c>
      <c r="G411" s="8">
        <v>164.72</v>
      </c>
      <c r="H411" s="10">
        <v>21.35</v>
      </c>
      <c r="I411" s="21">
        <f t="shared" si="30"/>
        <v>138.42016806722688</v>
      </c>
      <c r="J411" s="21">
        <f t="shared" si="31"/>
        <v>105.896</v>
      </c>
      <c r="K411" s="21">
        <f t="shared" si="32"/>
        <v>32.524168067226881</v>
      </c>
      <c r="L411" s="8">
        <f t="shared" si="33"/>
        <v>6.5572919490376771</v>
      </c>
      <c r="M411" s="30" t="str">
        <f t="shared" si="34"/>
        <v>February</v>
      </c>
    </row>
    <row r="412" spans="1:13">
      <c r="A412" s="9" t="s">
        <v>738</v>
      </c>
      <c r="B412" s="8">
        <v>12</v>
      </c>
      <c r="C412" s="8" t="s">
        <v>35</v>
      </c>
      <c r="D412" s="8" t="s">
        <v>36</v>
      </c>
      <c r="E412" s="34">
        <v>45292</v>
      </c>
      <c r="F412" s="8">
        <v>173</v>
      </c>
      <c r="G412" s="8">
        <v>68.930000000000007</v>
      </c>
      <c r="H412" s="10">
        <v>24.29</v>
      </c>
      <c r="I412" s="21">
        <f t="shared" si="30"/>
        <v>57.924369747899171</v>
      </c>
      <c r="J412" s="21">
        <f t="shared" si="31"/>
        <v>42.021700000000003</v>
      </c>
      <c r="K412" s="21">
        <f t="shared" si="32"/>
        <v>15.902669747899168</v>
      </c>
      <c r="L412" s="8">
        <f t="shared" si="33"/>
        <v>9.1922946519648363</v>
      </c>
      <c r="M412" s="30" t="str">
        <f t="shared" si="34"/>
        <v>September</v>
      </c>
    </row>
    <row r="413" spans="1:13">
      <c r="A413" s="9" t="s">
        <v>739</v>
      </c>
      <c r="B413" s="8">
        <v>24</v>
      </c>
      <c r="C413" s="8" t="s">
        <v>35</v>
      </c>
      <c r="D413" s="8" t="s">
        <v>46</v>
      </c>
      <c r="E413" s="34">
        <v>45484</v>
      </c>
      <c r="F413" s="8">
        <v>177</v>
      </c>
      <c r="G413" s="8">
        <v>67.59</v>
      </c>
      <c r="H413" s="10">
        <v>22.57</v>
      </c>
      <c r="I413" s="21">
        <f t="shared" si="30"/>
        <v>56.7983193277311</v>
      </c>
      <c r="J413" s="21">
        <f t="shared" si="31"/>
        <v>39.948900000000002</v>
      </c>
      <c r="K413" s="21">
        <f t="shared" si="32"/>
        <v>16.849419327731098</v>
      </c>
      <c r="L413" s="8">
        <f t="shared" si="33"/>
        <v>9.5194459478706772</v>
      </c>
      <c r="M413" s="30" t="str">
        <f t="shared" si="34"/>
        <v>January</v>
      </c>
    </row>
    <row r="414" spans="1:13">
      <c r="A414" s="9" t="s">
        <v>741</v>
      </c>
      <c r="B414" s="8">
        <v>24</v>
      </c>
      <c r="C414" s="8" t="s">
        <v>39</v>
      </c>
      <c r="D414" s="8" t="s">
        <v>46</v>
      </c>
      <c r="E414" s="34" t="s">
        <v>742</v>
      </c>
      <c r="F414" s="8">
        <v>159</v>
      </c>
      <c r="G414" s="8">
        <v>67.88</v>
      </c>
      <c r="H414" s="10">
        <v>29.5</v>
      </c>
      <c r="I414" s="21">
        <f t="shared" si="30"/>
        <v>57.042016806722685</v>
      </c>
      <c r="J414" s="21">
        <f t="shared" si="31"/>
        <v>46.905000000000001</v>
      </c>
      <c r="K414" s="21">
        <f t="shared" si="32"/>
        <v>10.137016806722684</v>
      </c>
      <c r="L414" s="8">
        <f t="shared" si="33"/>
        <v>6.3754822683790469</v>
      </c>
      <c r="M414" s="30" t="str">
        <f t="shared" si="34"/>
        <v>October</v>
      </c>
    </row>
    <row r="415" spans="1:13">
      <c r="A415" s="9" t="s">
        <v>743</v>
      </c>
      <c r="B415" s="8">
        <v>24</v>
      </c>
      <c r="C415" s="8" t="s">
        <v>51</v>
      </c>
      <c r="D415" s="8" t="s">
        <v>36</v>
      </c>
      <c r="E415" s="34">
        <v>45359</v>
      </c>
      <c r="F415" s="8">
        <v>380</v>
      </c>
      <c r="G415" s="8">
        <v>134.72999999999999</v>
      </c>
      <c r="H415" s="10">
        <v>20.49</v>
      </c>
      <c r="I415" s="21">
        <f t="shared" si="30"/>
        <v>113.21848739495798</v>
      </c>
      <c r="J415" s="21">
        <f t="shared" si="31"/>
        <v>77.861999999999995</v>
      </c>
      <c r="K415" s="21">
        <f t="shared" si="32"/>
        <v>35.356487394957981</v>
      </c>
      <c r="L415" s="8">
        <f t="shared" si="33"/>
        <v>9.304338788146838</v>
      </c>
      <c r="M415" s="30" t="str">
        <f t="shared" si="34"/>
        <v>December</v>
      </c>
    </row>
    <row r="416" spans="1:13">
      <c r="A416" s="9" t="s">
        <v>744</v>
      </c>
      <c r="B416" s="8">
        <v>24</v>
      </c>
      <c r="C416" s="8" t="s">
        <v>35</v>
      </c>
      <c r="D416" s="8" t="s">
        <v>46</v>
      </c>
      <c r="E416" s="34" t="s">
        <v>605</v>
      </c>
      <c r="F416" s="8">
        <v>255</v>
      </c>
      <c r="G416" s="8">
        <v>97.2</v>
      </c>
      <c r="H416" s="10">
        <v>23.47</v>
      </c>
      <c r="I416" s="21">
        <f t="shared" si="30"/>
        <v>81.680672268907571</v>
      </c>
      <c r="J416" s="21">
        <f t="shared" si="31"/>
        <v>59.848499999999994</v>
      </c>
      <c r="K416" s="21">
        <f t="shared" si="32"/>
        <v>21.832172268907577</v>
      </c>
      <c r="L416" s="8">
        <f t="shared" si="33"/>
        <v>8.561636183885323</v>
      </c>
      <c r="M416" s="30" t="str">
        <f t="shared" si="34"/>
        <v>March</v>
      </c>
    </row>
    <row r="417" spans="1:13">
      <c r="A417" s="9" t="s">
        <v>745</v>
      </c>
      <c r="B417" s="8">
        <v>12</v>
      </c>
      <c r="C417" s="8" t="s">
        <v>39</v>
      </c>
      <c r="D417" s="8" t="s">
        <v>46</v>
      </c>
      <c r="E417" s="37">
        <v>45621</v>
      </c>
      <c r="F417" s="8">
        <v>118</v>
      </c>
      <c r="G417" s="8">
        <v>53.62</v>
      </c>
      <c r="H417" s="10">
        <v>28.35</v>
      </c>
      <c r="I417" s="21">
        <f t="shared" si="30"/>
        <v>45.058823529411768</v>
      </c>
      <c r="J417" s="21">
        <f t="shared" si="31"/>
        <v>33.453000000000003</v>
      </c>
      <c r="K417" s="21">
        <f t="shared" si="32"/>
        <v>11.605823529411765</v>
      </c>
      <c r="L417" s="8">
        <f t="shared" si="33"/>
        <v>9.8354436689930207</v>
      </c>
      <c r="M417" s="30" t="str">
        <f t="shared" si="34"/>
        <v>October</v>
      </c>
    </row>
    <row r="418" spans="1:13">
      <c r="A418" s="9" t="s">
        <v>747</v>
      </c>
      <c r="B418" s="8">
        <v>12</v>
      </c>
      <c r="C418" s="8" t="s">
        <v>39</v>
      </c>
      <c r="D418" s="8" t="s">
        <v>36</v>
      </c>
      <c r="E418" s="34" t="s">
        <v>748</v>
      </c>
      <c r="F418" s="8">
        <v>112</v>
      </c>
      <c r="G418" s="8">
        <v>50.69</v>
      </c>
      <c r="H418" s="10">
        <v>30.23</v>
      </c>
      <c r="I418" s="21">
        <f t="shared" si="30"/>
        <v>42.596638655462186</v>
      </c>
      <c r="J418" s="21">
        <f t="shared" si="31"/>
        <v>33.857600000000005</v>
      </c>
      <c r="K418" s="21">
        <f t="shared" si="32"/>
        <v>8.7390386554621813</v>
      </c>
      <c r="L418" s="8">
        <f t="shared" si="33"/>
        <v>7.8027130852340907</v>
      </c>
      <c r="M418" s="30" t="str">
        <f t="shared" si="34"/>
        <v>April</v>
      </c>
    </row>
    <row r="419" spans="1:13">
      <c r="A419" s="9" t="s">
        <v>749</v>
      </c>
      <c r="B419" s="8">
        <v>12</v>
      </c>
      <c r="C419" s="8" t="s">
        <v>35</v>
      </c>
      <c r="D419" s="8" t="s">
        <v>36</v>
      </c>
      <c r="E419" s="34" t="s">
        <v>591</v>
      </c>
      <c r="F419" s="8">
        <v>316</v>
      </c>
      <c r="G419" s="8">
        <v>113.09</v>
      </c>
      <c r="H419" s="10">
        <v>25.38</v>
      </c>
      <c r="I419" s="21">
        <f t="shared" si="30"/>
        <v>95.033613445378165</v>
      </c>
      <c r="J419" s="21">
        <f t="shared" si="31"/>
        <v>80.200800000000001</v>
      </c>
      <c r="K419" s="21">
        <f t="shared" si="32"/>
        <v>14.832813445378164</v>
      </c>
      <c r="L419" s="8">
        <f t="shared" si="33"/>
        <v>4.6939283054994192</v>
      </c>
      <c r="M419" s="30" t="str">
        <f t="shared" si="34"/>
        <v>March</v>
      </c>
    </row>
    <row r="420" spans="1:13">
      <c r="A420" s="9" t="s">
        <v>750</v>
      </c>
      <c r="B420" s="8">
        <v>24</v>
      </c>
      <c r="C420" s="8" t="s">
        <v>35</v>
      </c>
      <c r="D420" s="8" t="s">
        <v>36</v>
      </c>
      <c r="E420" s="34" t="s">
        <v>591</v>
      </c>
      <c r="F420" s="8">
        <v>171</v>
      </c>
      <c r="G420" s="8">
        <v>67.47</v>
      </c>
      <c r="H420" s="10">
        <v>25.18</v>
      </c>
      <c r="I420" s="21">
        <f t="shared" si="30"/>
        <v>56.69747899159664</v>
      </c>
      <c r="J420" s="21">
        <f t="shared" si="31"/>
        <v>43.0578</v>
      </c>
      <c r="K420" s="21">
        <f t="shared" si="32"/>
        <v>13.639678991596639</v>
      </c>
      <c r="L420" s="8">
        <f t="shared" si="33"/>
        <v>7.976420462922011</v>
      </c>
      <c r="M420" s="30" t="str">
        <f t="shared" si="34"/>
        <v>March</v>
      </c>
    </row>
    <row r="421" spans="1:13">
      <c r="A421" s="9" t="s">
        <v>751</v>
      </c>
      <c r="B421" s="8">
        <v>24</v>
      </c>
      <c r="C421" s="8" t="s">
        <v>39</v>
      </c>
      <c r="D421" s="8" t="s">
        <v>36</v>
      </c>
      <c r="E421" s="34">
        <v>45451</v>
      </c>
      <c r="F421" s="8">
        <v>139</v>
      </c>
      <c r="G421" s="8">
        <v>56.92</v>
      </c>
      <c r="H421" s="10">
        <v>28.7</v>
      </c>
      <c r="I421" s="21">
        <f t="shared" si="30"/>
        <v>47.831932773109244</v>
      </c>
      <c r="J421" s="21">
        <f t="shared" si="31"/>
        <v>39.893000000000001</v>
      </c>
      <c r="K421" s="21">
        <f t="shared" si="32"/>
        <v>7.9389327731092436</v>
      </c>
      <c r="L421" s="8">
        <f t="shared" si="33"/>
        <v>5.7114624266972971</v>
      </c>
      <c r="M421" s="30" t="str">
        <f t="shared" si="34"/>
        <v>April</v>
      </c>
    </row>
    <row r="422" spans="1:13">
      <c r="A422" s="9" t="s">
        <v>752</v>
      </c>
      <c r="B422" s="8">
        <v>24</v>
      </c>
      <c r="C422" s="8" t="s">
        <v>51</v>
      </c>
      <c r="D422" s="8" t="s">
        <v>56</v>
      </c>
      <c r="E422" s="34">
        <v>45844</v>
      </c>
      <c r="F422" s="8">
        <v>655</v>
      </c>
      <c r="G422" s="8">
        <v>208.09</v>
      </c>
      <c r="H422" s="10">
        <v>19.86</v>
      </c>
      <c r="I422" s="21">
        <f t="shared" si="30"/>
        <v>174.8655462184874</v>
      </c>
      <c r="J422" s="21">
        <f t="shared" si="31"/>
        <v>130.083</v>
      </c>
      <c r="K422" s="21">
        <f t="shared" si="32"/>
        <v>44.782546218487397</v>
      </c>
      <c r="L422" s="8">
        <f t="shared" si="33"/>
        <v>6.8370299570209765</v>
      </c>
      <c r="M422" s="30" t="str">
        <f t="shared" si="34"/>
        <v>September</v>
      </c>
    </row>
    <row r="423" spans="1:13">
      <c r="A423" s="9" t="s">
        <v>754</v>
      </c>
      <c r="B423" s="8">
        <v>24</v>
      </c>
      <c r="C423" s="8" t="s">
        <v>39</v>
      </c>
      <c r="D423" s="8" t="s">
        <v>36</v>
      </c>
      <c r="E423" s="34" t="s">
        <v>369</v>
      </c>
      <c r="F423" s="8">
        <v>130</v>
      </c>
      <c r="G423" s="8">
        <v>59.57</v>
      </c>
      <c r="H423" s="10">
        <v>28.88</v>
      </c>
      <c r="I423" s="21">
        <f t="shared" si="30"/>
        <v>50.058823529411768</v>
      </c>
      <c r="J423" s="21">
        <f t="shared" si="31"/>
        <v>37.544000000000004</v>
      </c>
      <c r="K423" s="21">
        <f t="shared" si="32"/>
        <v>12.514823529411764</v>
      </c>
      <c r="L423" s="8">
        <f t="shared" si="33"/>
        <v>9.6267873303167413</v>
      </c>
      <c r="M423" s="30" t="str">
        <f t="shared" si="34"/>
        <v>April</v>
      </c>
    </row>
    <row r="424" spans="1:13">
      <c r="A424" s="9" t="s">
        <v>755</v>
      </c>
      <c r="B424" s="8">
        <v>12</v>
      </c>
      <c r="C424" s="8" t="s">
        <v>35</v>
      </c>
      <c r="D424" s="8" t="s">
        <v>46</v>
      </c>
      <c r="E424" s="34" t="s">
        <v>756</v>
      </c>
      <c r="F424" s="8">
        <v>322</v>
      </c>
      <c r="G424" s="8">
        <v>0</v>
      </c>
      <c r="H424" s="10">
        <v>22.87</v>
      </c>
      <c r="I424" s="21">
        <f t="shared" si="30"/>
        <v>0</v>
      </c>
      <c r="J424" s="21">
        <f t="shared" si="31"/>
        <v>73.641400000000004</v>
      </c>
      <c r="K424" s="21">
        <f t="shared" si="32"/>
        <v>-73.641400000000004</v>
      </c>
      <c r="L424" s="8">
        <f t="shared" si="33"/>
        <v>-22.87</v>
      </c>
      <c r="M424" s="30" t="str">
        <f t="shared" si="34"/>
        <v>June</v>
      </c>
    </row>
    <row r="425" spans="1:13">
      <c r="A425" s="9" t="s">
        <v>757</v>
      </c>
      <c r="B425" s="8">
        <v>12</v>
      </c>
      <c r="C425" s="8" t="s">
        <v>51</v>
      </c>
      <c r="D425" s="8" t="s">
        <v>36</v>
      </c>
      <c r="E425" s="34" t="s">
        <v>758</v>
      </c>
      <c r="F425" s="8">
        <v>350</v>
      </c>
      <c r="G425" s="8">
        <v>122.53</v>
      </c>
      <c r="H425" s="10">
        <v>20.87</v>
      </c>
      <c r="I425" s="21">
        <f t="shared" si="30"/>
        <v>102.96638655462185</v>
      </c>
      <c r="J425" s="21">
        <f t="shared" si="31"/>
        <v>73.045000000000002</v>
      </c>
      <c r="K425" s="21">
        <f t="shared" si="32"/>
        <v>29.921386554621847</v>
      </c>
      <c r="L425" s="8">
        <f t="shared" si="33"/>
        <v>8.548967587034813</v>
      </c>
      <c r="M425" s="30" t="str">
        <f t="shared" si="34"/>
        <v>March</v>
      </c>
    </row>
    <row r="426" spans="1:13">
      <c r="A426" s="9" t="s">
        <v>759</v>
      </c>
      <c r="B426" s="8">
        <v>12</v>
      </c>
      <c r="C426" s="8" t="s">
        <v>35</v>
      </c>
      <c r="D426" s="8" t="s">
        <v>36</v>
      </c>
      <c r="E426" s="34" t="s">
        <v>760</v>
      </c>
      <c r="F426" s="8">
        <v>236</v>
      </c>
      <c r="G426" s="8">
        <v>88.68</v>
      </c>
      <c r="H426" s="10">
        <v>23</v>
      </c>
      <c r="I426" s="21">
        <f t="shared" si="30"/>
        <v>74.52100840336135</v>
      </c>
      <c r="J426" s="21">
        <f t="shared" si="31"/>
        <v>54.28</v>
      </c>
      <c r="K426" s="21">
        <f t="shared" si="32"/>
        <v>20.241008403361349</v>
      </c>
      <c r="L426" s="8">
        <f t="shared" si="33"/>
        <v>8.5766984760005709</v>
      </c>
      <c r="M426" s="30" t="str">
        <f t="shared" si="34"/>
        <v>October</v>
      </c>
    </row>
    <row r="427" spans="1:13">
      <c r="A427" s="9" t="s">
        <v>761</v>
      </c>
      <c r="B427" s="8">
        <v>12</v>
      </c>
      <c r="C427" s="8" t="s">
        <v>35</v>
      </c>
      <c r="D427" s="8" t="s">
        <v>56</v>
      </c>
      <c r="E427" s="34">
        <v>45967</v>
      </c>
      <c r="F427" s="8">
        <v>210</v>
      </c>
      <c r="G427" s="8">
        <v>79.03</v>
      </c>
      <c r="H427" s="10">
        <v>23.05</v>
      </c>
      <c r="I427" s="21">
        <f t="shared" si="30"/>
        <v>66.411764705882362</v>
      </c>
      <c r="J427" s="21">
        <f t="shared" si="31"/>
        <v>48.405000000000001</v>
      </c>
      <c r="K427" s="21">
        <f t="shared" si="32"/>
        <v>18.006764705882361</v>
      </c>
      <c r="L427" s="8">
        <f t="shared" si="33"/>
        <v>8.57464985994398</v>
      </c>
      <c r="M427" s="30" t="str">
        <f t="shared" si="34"/>
        <v>August</v>
      </c>
    </row>
    <row r="428" spans="1:13">
      <c r="A428" s="9" t="s">
        <v>763</v>
      </c>
      <c r="B428" s="8">
        <v>12</v>
      </c>
      <c r="C428" s="8" t="s">
        <v>35</v>
      </c>
      <c r="D428" s="8" t="s">
        <v>46</v>
      </c>
      <c r="E428" s="34">
        <v>45547</v>
      </c>
      <c r="F428" s="8">
        <v>0</v>
      </c>
      <c r="G428" s="8">
        <v>105.64</v>
      </c>
      <c r="H428" s="10">
        <v>22</v>
      </c>
      <c r="I428" s="21">
        <f t="shared" si="30"/>
        <v>88.77310924369749</v>
      </c>
      <c r="J428" s="21">
        <f t="shared" si="31"/>
        <v>0</v>
      </c>
      <c r="K428" s="21">
        <f t="shared" si="32"/>
        <v>88.77310924369749</v>
      </c>
      <c r="L428" s="8" t="str">
        <f t="shared" si="33"/>
        <v/>
      </c>
      <c r="M428" s="30" t="str">
        <f t="shared" si="34"/>
        <v>December</v>
      </c>
    </row>
    <row r="429" spans="1:13">
      <c r="A429" s="9" t="s">
        <v>765</v>
      </c>
      <c r="B429" s="8">
        <v>24</v>
      </c>
      <c r="C429" s="8" t="s">
        <v>39</v>
      </c>
      <c r="D429" s="8" t="s">
        <v>36</v>
      </c>
      <c r="E429" s="34">
        <v>45416</v>
      </c>
      <c r="F429" s="8">
        <v>165</v>
      </c>
      <c r="G429" s="8">
        <v>69.41</v>
      </c>
      <c r="H429" s="10">
        <v>31.48</v>
      </c>
      <c r="I429" s="21">
        <f t="shared" si="30"/>
        <v>58.327731092436977</v>
      </c>
      <c r="J429" s="21">
        <f t="shared" si="31"/>
        <v>51.942</v>
      </c>
      <c r="K429" s="21">
        <f t="shared" si="32"/>
        <v>6.385731092436977</v>
      </c>
      <c r="L429" s="8">
        <f t="shared" si="33"/>
        <v>3.87014005602241</v>
      </c>
      <c r="M429" s="30" t="str">
        <f t="shared" si="34"/>
        <v>May</v>
      </c>
    </row>
    <row r="430" spans="1:13">
      <c r="A430" s="9" t="s">
        <v>766</v>
      </c>
      <c r="B430" s="8">
        <v>12</v>
      </c>
      <c r="C430" s="8" t="s">
        <v>51</v>
      </c>
      <c r="D430" s="8" t="s">
        <v>36</v>
      </c>
      <c r="E430" s="34" t="s">
        <v>484</v>
      </c>
      <c r="F430" s="8">
        <v>419</v>
      </c>
      <c r="G430" s="8">
        <v>135.01</v>
      </c>
      <c r="H430" s="10">
        <v>20.46</v>
      </c>
      <c r="I430" s="21">
        <f t="shared" si="30"/>
        <v>113.45378151260503</v>
      </c>
      <c r="J430" s="21">
        <f t="shared" si="31"/>
        <v>85.727400000000003</v>
      </c>
      <c r="K430" s="21">
        <f t="shared" si="32"/>
        <v>27.72638151260503</v>
      </c>
      <c r="L430" s="8">
        <f t="shared" si="33"/>
        <v>6.6172748240107468</v>
      </c>
      <c r="M430" s="30" t="str">
        <f t="shared" si="34"/>
        <v>August</v>
      </c>
    </row>
    <row r="431" spans="1:13">
      <c r="A431" s="9" t="s">
        <v>767</v>
      </c>
      <c r="B431" s="8">
        <v>12</v>
      </c>
      <c r="C431" s="8" t="s">
        <v>35</v>
      </c>
      <c r="D431" s="8" t="s">
        <v>36</v>
      </c>
      <c r="E431" s="34" t="s">
        <v>768</v>
      </c>
      <c r="F431" s="8">
        <v>276</v>
      </c>
      <c r="G431" s="8">
        <v>107.11</v>
      </c>
      <c r="H431" s="10">
        <v>24.51</v>
      </c>
      <c r="I431" s="21">
        <f t="shared" si="30"/>
        <v>90.008403361344548</v>
      </c>
      <c r="J431" s="21">
        <f t="shared" si="31"/>
        <v>67.647599999999997</v>
      </c>
      <c r="K431" s="21">
        <f t="shared" si="32"/>
        <v>22.360803361344551</v>
      </c>
      <c r="L431" s="8">
        <f t="shared" si="33"/>
        <v>8.1017403483132444</v>
      </c>
      <c r="M431" s="30" t="str">
        <f t="shared" si="34"/>
        <v>November</v>
      </c>
    </row>
    <row r="432" spans="1:13">
      <c r="A432" s="9" t="s">
        <v>769</v>
      </c>
      <c r="B432" s="8">
        <v>12</v>
      </c>
      <c r="C432" s="8" t="s">
        <v>51</v>
      </c>
      <c r="D432" s="8" t="s">
        <v>36</v>
      </c>
      <c r="E432" s="34" t="s">
        <v>335</v>
      </c>
      <c r="F432" s="8">
        <v>399</v>
      </c>
      <c r="G432" s="8">
        <v>138.72</v>
      </c>
      <c r="H432" s="10">
        <v>20.25</v>
      </c>
      <c r="I432" s="21">
        <f t="shared" si="30"/>
        <v>116.57142857142857</v>
      </c>
      <c r="J432" s="21">
        <f t="shared" si="31"/>
        <v>80.797499999999999</v>
      </c>
      <c r="K432" s="21">
        <f t="shared" si="32"/>
        <v>35.77392857142857</v>
      </c>
      <c r="L432" s="8">
        <f t="shared" si="33"/>
        <v>8.9658968850698173</v>
      </c>
      <c r="M432" s="30" t="str">
        <f t="shared" si="34"/>
        <v>August</v>
      </c>
    </row>
    <row r="433" spans="1:13">
      <c r="A433" s="9" t="s">
        <v>770</v>
      </c>
      <c r="B433" s="8">
        <v>24</v>
      </c>
      <c r="C433" s="8" t="s">
        <v>39</v>
      </c>
      <c r="D433" s="8" t="s">
        <v>46</v>
      </c>
      <c r="E433" s="34" t="s">
        <v>267</v>
      </c>
      <c r="F433" s="8">
        <v>130</v>
      </c>
      <c r="G433" s="8">
        <v>57.55</v>
      </c>
      <c r="H433" s="10">
        <v>28.61</v>
      </c>
      <c r="I433" s="21">
        <f t="shared" si="30"/>
        <v>48.361344537815128</v>
      </c>
      <c r="J433" s="21">
        <f t="shared" si="31"/>
        <v>37.192999999999998</v>
      </c>
      <c r="K433" s="21">
        <f t="shared" si="32"/>
        <v>11.16834453781513</v>
      </c>
      <c r="L433" s="8">
        <f t="shared" si="33"/>
        <v>8.5910342598577927</v>
      </c>
      <c r="M433" s="30" t="str">
        <f t="shared" si="34"/>
        <v>July</v>
      </c>
    </row>
    <row r="434" spans="1:13">
      <c r="A434" s="9" t="s">
        <v>771</v>
      </c>
      <c r="B434" s="8">
        <v>24</v>
      </c>
      <c r="C434" s="8" t="s">
        <v>39</v>
      </c>
      <c r="D434" s="8" t="s">
        <v>36</v>
      </c>
      <c r="E434" s="37">
        <v>45442</v>
      </c>
      <c r="F434" s="8">
        <v>122</v>
      </c>
      <c r="G434" s="8">
        <v>55.58</v>
      </c>
      <c r="H434" s="10">
        <v>29.83</v>
      </c>
      <c r="I434" s="21">
        <f t="shared" si="30"/>
        <v>46.705882352941174</v>
      </c>
      <c r="J434" s="21">
        <f t="shared" si="31"/>
        <v>36.392599999999995</v>
      </c>
      <c r="K434" s="21">
        <f t="shared" si="32"/>
        <v>10.313282352941179</v>
      </c>
      <c r="L434" s="8">
        <f t="shared" si="33"/>
        <v>8.4535101253616229</v>
      </c>
      <c r="M434" s="30" t="str">
        <f t="shared" si="34"/>
        <v>July</v>
      </c>
    </row>
    <row r="435" spans="1:13">
      <c r="A435" s="9" t="s">
        <v>773</v>
      </c>
      <c r="B435" s="8">
        <v>12</v>
      </c>
      <c r="C435" s="8" t="s">
        <v>39</v>
      </c>
      <c r="D435" s="8" t="s">
        <v>36</v>
      </c>
      <c r="E435" s="34" t="s">
        <v>40</v>
      </c>
      <c r="F435" s="8">
        <v>165</v>
      </c>
      <c r="G435" s="8">
        <v>71.739999999999995</v>
      </c>
      <c r="H435" s="10">
        <v>29.4</v>
      </c>
      <c r="I435" s="21">
        <f t="shared" si="30"/>
        <v>60.285714285714285</v>
      </c>
      <c r="J435" s="21">
        <f t="shared" si="31"/>
        <v>48.51</v>
      </c>
      <c r="K435" s="21">
        <f t="shared" si="32"/>
        <v>11.775714285714287</v>
      </c>
      <c r="L435" s="8">
        <f t="shared" si="33"/>
        <v>7.1367965367965374</v>
      </c>
      <c r="M435" s="30" t="str">
        <f t="shared" si="34"/>
        <v>January</v>
      </c>
    </row>
    <row r="436" spans="1:13">
      <c r="A436" s="9" t="s">
        <v>774</v>
      </c>
      <c r="B436" s="8">
        <v>12</v>
      </c>
      <c r="C436" s="8" t="s">
        <v>35</v>
      </c>
      <c r="D436" s="8" t="s">
        <v>36</v>
      </c>
      <c r="E436" s="34" t="s">
        <v>775</v>
      </c>
      <c r="F436" s="8">
        <v>268</v>
      </c>
      <c r="G436" s="8">
        <v>97.14</v>
      </c>
      <c r="H436" s="10">
        <v>22.38</v>
      </c>
      <c r="I436" s="21">
        <f t="shared" si="30"/>
        <v>81.630252100840337</v>
      </c>
      <c r="J436" s="21">
        <f t="shared" si="31"/>
        <v>59.978400000000001</v>
      </c>
      <c r="K436" s="21">
        <f t="shared" si="32"/>
        <v>21.651852100840337</v>
      </c>
      <c r="L436" s="8">
        <f t="shared" si="33"/>
        <v>8.079049291358336</v>
      </c>
      <c r="M436" s="30" t="str">
        <f t="shared" si="34"/>
        <v>February</v>
      </c>
    </row>
    <row r="437" spans="1:13">
      <c r="A437" s="9" t="s">
        <v>776</v>
      </c>
      <c r="B437" s="8">
        <v>24</v>
      </c>
      <c r="C437" s="8" t="s">
        <v>35</v>
      </c>
      <c r="D437" s="8" t="s">
        <v>56</v>
      </c>
      <c r="E437" s="34">
        <v>45482</v>
      </c>
      <c r="F437" s="8">
        <v>225</v>
      </c>
      <c r="G437" s="8">
        <v>84.1</v>
      </c>
      <c r="H437" s="10">
        <v>23.94</v>
      </c>
      <c r="I437" s="21">
        <f t="shared" si="30"/>
        <v>70.672268907563023</v>
      </c>
      <c r="J437" s="21">
        <f t="shared" si="31"/>
        <v>53.865000000000002</v>
      </c>
      <c r="K437" s="21">
        <f t="shared" si="32"/>
        <v>16.807268907563021</v>
      </c>
      <c r="L437" s="8">
        <f t="shared" si="33"/>
        <v>7.4698972922502316</v>
      </c>
      <c r="M437" s="30" t="str">
        <f t="shared" si="34"/>
        <v>November</v>
      </c>
    </row>
    <row r="438" spans="1:13">
      <c r="A438" s="9" t="s">
        <v>777</v>
      </c>
      <c r="B438" s="8">
        <v>12</v>
      </c>
      <c r="C438" s="8" t="s">
        <v>51</v>
      </c>
      <c r="D438" s="8" t="s">
        <v>56</v>
      </c>
      <c r="E438" s="34">
        <v>45662</v>
      </c>
      <c r="F438" s="8">
        <v>371</v>
      </c>
      <c r="G438" s="8">
        <v>125.65</v>
      </c>
      <c r="H438" s="10">
        <v>23.1</v>
      </c>
      <c r="I438" s="21">
        <f t="shared" si="30"/>
        <v>105.58823529411765</v>
      </c>
      <c r="J438" s="21">
        <f t="shared" si="31"/>
        <v>85.701000000000008</v>
      </c>
      <c r="K438" s="21">
        <f t="shared" si="32"/>
        <v>19.887235294117644</v>
      </c>
      <c r="L438" s="8">
        <f t="shared" si="33"/>
        <v>5.3604407800856189</v>
      </c>
      <c r="M438" s="30" t="str">
        <f t="shared" si="34"/>
        <v>March</v>
      </c>
    </row>
    <row r="439" spans="1:13">
      <c r="A439" s="9" t="s">
        <v>778</v>
      </c>
      <c r="B439" s="8">
        <v>24</v>
      </c>
      <c r="C439" s="8" t="s">
        <v>35</v>
      </c>
      <c r="D439" s="8" t="s">
        <v>36</v>
      </c>
      <c r="E439" s="37">
        <v>45366</v>
      </c>
      <c r="F439" s="8">
        <v>192</v>
      </c>
      <c r="G439" s="8">
        <v>79.77</v>
      </c>
      <c r="H439" s="10">
        <v>22.16</v>
      </c>
      <c r="I439" s="21">
        <f t="shared" si="30"/>
        <v>67.033613445378151</v>
      </c>
      <c r="J439" s="21">
        <f t="shared" si="31"/>
        <v>42.547200000000004</v>
      </c>
      <c r="K439" s="21">
        <f t="shared" si="32"/>
        <v>24.486413445378147</v>
      </c>
      <c r="L439" s="8">
        <f t="shared" si="33"/>
        <v>12.753340336134453</v>
      </c>
      <c r="M439" s="30" t="str">
        <f t="shared" si="34"/>
        <v>July</v>
      </c>
    </row>
    <row r="440" spans="1:13">
      <c r="A440" s="9" t="s">
        <v>780</v>
      </c>
      <c r="B440" s="8">
        <v>24</v>
      </c>
      <c r="C440" s="8" t="s">
        <v>51</v>
      </c>
      <c r="D440" s="8" t="s">
        <v>46</v>
      </c>
      <c r="E440" s="34">
        <v>45965</v>
      </c>
      <c r="F440" s="8">
        <v>408</v>
      </c>
      <c r="G440" s="8">
        <v>145.65</v>
      </c>
      <c r="H440" s="10">
        <v>17.96</v>
      </c>
      <c r="I440" s="21">
        <f t="shared" si="30"/>
        <v>122.39495798319329</v>
      </c>
      <c r="J440" s="21">
        <f t="shared" si="31"/>
        <v>73.276800000000009</v>
      </c>
      <c r="K440" s="21">
        <f t="shared" si="32"/>
        <v>49.118157983193285</v>
      </c>
      <c r="L440" s="8">
        <f t="shared" si="33"/>
        <v>12.038764211566981</v>
      </c>
      <c r="M440" s="30" t="str">
        <f t="shared" si="34"/>
        <v>June</v>
      </c>
    </row>
    <row r="441" spans="1:13">
      <c r="A441" s="9" t="s">
        <v>782</v>
      </c>
      <c r="B441" s="8">
        <v>12</v>
      </c>
      <c r="C441" s="8" t="s">
        <v>39</v>
      </c>
      <c r="D441" s="8" t="s">
        <v>36</v>
      </c>
      <c r="E441" s="34" t="s">
        <v>783</v>
      </c>
      <c r="F441" s="8">
        <v>104</v>
      </c>
      <c r="G441" s="8">
        <v>46.85</v>
      </c>
      <c r="H441" s="10">
        <v>28.83</v>
      </c>
      <c r="I441" s="21">
        <f t="shared" si="30"/>
        <v>39.36974789915967</v>
      </c>
      <c r="J441" s="21">
        <f t="shared" si="31"/>
        <v>29.983199999999997</v>
      </c>
      <c r="K441" s="21">
        <f t="shared" si="32"/>
        <v>9.3865478991596731</v>
      </c>
      <c r="L441" s="8">
        <f t="shared" si="33"/>
        <v>9.025526826115069</v>
      </c>
      <c r="M441" s="30" t="str">
        <f t="shared" si="34"/>
        <v>February</v>
      </c>
    </row>
    <row r="442" spans="1:13">
      <c r="A442" s="9" t="s">
        <v>784</v>
      </c>
      <c r="B442" s="8">
        <v>12</v>
      </c>
      <c r="C442" s="8" t="s">
        <v>51</v>
      </c>
      <c r="D442" s="8" t="s">
        <v>36</v>
      </c>
      <c r="E442" s="34" t="s">
        <v>785</v>
      </c>
      <c r="F442" s="8">
        <v>617</v>
      </c>
      <c r="G442" s="8">
        <v>213.34</v>
      </c>
      <c r="H442" s="10">
        <v>17.690000000000001</v>
      </c>
      <c r="I442" s="21">
        <f t="shared" si="30"/>
        <v>179.27731092436977</v>
      </c>
      <c r="J442" s="21">
        <f t="shared" si="31"/>
        <v>109.14730000000002</v>
      </c>
      <c r="K442" s="21">
        <f t="shared" si="32"/>
        <v>70.130010924369756</v>
      </c>
      <c r="L442" s="8">
        <f t="shared" si="33"/>
        <v>11.366290263269004</v>
      </c>
      <c r="M442" s="30" t="str">
        <f t="shared" si="34"/>
        <v>July</v>
      </c>
    </row>
    <row r="443" spans="1:13">
      <c r="A443" s="9" t="s">
        <v>786</v>
      </c>
      <c r="B443" s="8">
        <v>24</v>
      </c>
      <c r="C443" s="8" t="s">
        <v>51</v>
      </c>
      <c r="D443" s="8" t="s">
        <v>46</v>
      </c>
      <c r="E443" s="34" t="s">
        <v>787</v>
      </c>
      <c r="F443" s="8">
        <v>520</v>
      </c>
      <c r="G443" s="8">
        <v>181.76</v>
      </c>
      <c r="H443" s="10">
        <v>21.04</v>
      </c>
      <c r="I443" s="21">
        <f t="shared" si="30"/>
        <v>152.73949579831933</v>
      </c>
      <c r="J443" s="21">
        <f t="shared" si="31"/>
        <v>109.40799999999999</v>
      </c>
      <c r="K443" s="21">
        <f t="shared" si="32"/>
        <v>43.331495798319338</v>
      </c>
      <c r="L443" s="8">
        <f t="shared" si="33"/>
        <v>8.3329799612152566</v>
      </c>
      <c r="M443" s="30" t="str">
        <f t="shared" si="34"/>
        <v>January</v>
      </c>
    </row>
    <row r="444" spans="1:13">
      <c r="A444" s="9" t="s">
        <v>788</v>
      </c>
      <c r="B444" s="8">
        <v>12</v>
      </c>
      <c r="C444" s="8" t="s">
        <v>51</v>
      </c>
      <c r="D444" s="8" t="s">
        <v>56</v>
      </c>
      <c r="E444" s="34" t="s">
        <v>789</v>
      </c>
      <c r="F444" s="8">
        <v>508</v>
      </c>
      <c r="G444" s="8">
        <v>164.01</v>
      </c>
      <c r="H444" s="10">
        <v>20.84</v>
      </c>
      <c r="I444" s="21">
        <f t="shared" si="30"/>
        <v>137.8235294117647</v>
      </c>
      <c r="J444" s="21">
        <f t="shared" si="31"/>
        <v>105.8672</v>
      </c>
      <c r="K444" s="21">
        <f t="shared" si="32"/>
        <v>31.956329411764699</v>
      </c>
      <c r="L444" s="8">
        <f t="shared" si="33"/>
        <v>6.2906160259379327</v>
      </c>
      <c r="M444" s="30" t="str">
        <f t="shared" si="34"/>
        <v>May</v>
      </c>
    </row>
    <row r="445" spans="1:13">
      <c r="A445" s="9" t="s">
        <v>790</v>
      </c>
      <c r="B445" s="8">
        <v>12</v>
      </c>
      <c r="C445" s="8" t="s">
        <v>51</v>
      </c>
      <c r="D445" s="8" t="s">
        <v>56</v>
      </c>
      <c r="E445" s="34" t="s">
        <v>673</v>
      </c>
      <c r="F445" s="8">
        <v>371</v>
      </c>
      <c r="G445" s="8">
        <v>127.41</v>
      </c>
      <c r="H445" s="10">
        <v>18.829999999999998</v>
      </c>
      <c r="I445" s="21">
        <f t="shared" si="30"/>
        <v>107.0672268907563</v>
      </c>
      <c r="J445" s="21">
        <f t="shared" si="31"/>
        <v>69.85929999999999</v>
      </c>
      <c r="K445" s="21">
        <f t="shared" si="32"/>
        <v>37.207926890756312</v>
      </c>
      <c r="L445" s="8">
        <f t="shared" si="33"/>
        <v>10.029090806133777</v>
      </c>
      <c r="M445" s="30" t="str">
        <f t="shared" si="34"/>
        <v>February</v>
      </c>
    </row>
    <row r="446" spans="1:13">
      <c r="A446" s="9" t="s">
        <v>791</v>
      </c>
      <c r="B446" s="8">
        <v>24</v>
      </c>
      <c r="C446" s="8" t="s">
        <v>51</v>
      </c>
      <c r="D446" s="8" t="s">
        <v>46</v>
      </c>
      <c r="E446" s="34">
        <v>45452</v>
      </c>
      <c r="F446" s="8">
        <v>620</v>
      </c>
      <c r="G446" s="8">
        <v>206.55</v>
      </c>
      <c r="H446" s="10">
        <v>20.3</v>
      </c>
      <c r="I446" s="21">
        <f t="shared" si="30"/>
        <v>173.57142857142858</v>
      </c>
      <c r="J446" s="21">
        <f t="shared" si="31"/>
        <v>125.86</v>
      </c>
      <c r="K446" s="21">
        <f t="shared" si="32"/>
        <v>47.711428571428584</v>
      </c>
      <c r="L446" s="8">
        <f t="shared" si="33"/>
        <v>7.6953917050691265</v>
      </c>
      <c r="M446" s="30" t="str">
        <f t="shared" si="34"/>
        <v>May</v>
      </c>
    </row>
    <row r="447" spans="1:13">
      <c r="A447" s="9" t="s">
        <v>793</v>
      </c>
      <c r="B447" s="8">
        <v>24</v>
      </c>
      <c r="C447" s="8" t="s">
        <v>35</v>
      </c>
      <c r="D447" s="8" t="s">
        <v>36</v>
      </c>
      <c r="E447" s="34" t="s">
        <v>603</v>
      </c>
      <c r="F447" s="8">
        <v>287</v>
      </c>
      <c r="G447" s="8">
        <v>114.51</v>
      </c>
      <c r="H447" s="10">
        <v>22.62</v>
      </c>
      <c r="I447" s="21">
        <f t="shared" si="30"/>
        <v>96.226890756302524</v>
      </c>
      <c r="J447" s="21">
        <f t="shared" si="31"/>
        <v>64.91940000000001</v>
      </c>
      <c r="K447" s="21">
        <f t="shared" si="32"/>
        <v>31.307490756302514</v>
      </c>
      <c r="L447" s="8">
        <f t="shared" si="33"/>
        <v>10.908533364565336</v>
      </c>
      <c r="M447" s="30" t="str">
        <f t="shared" si="34"/>
        <v>May</v>
      </c>
    </row>
    <row r="448" spans="1:13">
      <c r="A448" s="9" t="s">
        <v>794</v>
      </c>
      <c r="B448" s="8">
        <v>24</v>
      </c>
      <c r="C448" s="8" t="s">
        <v>39</v>
      </c>
      <c r="D448" s="8" t="s">
        <v>46</v>
      </c>
      <c r="E448" s="34">
        <v>45444</v>
      </c>
      <c r="F448" s="8">
        <v>89</v>
      </c>
      <c r="G448" s="8">
        <v>43.44</v>
      </c>
      <c r="H448" s="10">
        <v>29.95</v>
      </c>
      <c r="I448" s="21">
        <f t="shared" si="30"/>
        <v>36.504201680672267</v>
      </c>
      <c r="J448" s="21">
        <f t="shared" si="31"/>
        <v>26.655499999999996</v>
      </c>
      <c r="K448" s="21">
        <f t="shared" si="32"/>
        <v>9.8487016806722707</v>
      </c>
      <c r="L448" s="8">
        <f t="shared" si="33"/>
        <v>11.065956944575586</v>
      </c>
      <c r="M448" s="30" t="str">
        <f t="shared" si="34"/>
        <v>September</v>
      </c>
    </row>
    <row r="449" spans="1:13">
      <c r="A449" s="9" t="s">
        <v>796</v>
      </c>
      <c r="B449" s="8">
        <v>24</v>
      </c>
      <c r="C449" s="8" t="s">
        <v>39</v>
      </c>
      <c r="D449" s="8" t="s">
        <v>36</v>
      </c>
      <c r="E449" s="34" t="s">
        <v>555</v>
      </c>
      <c r="F449" s="8">
        <v>142</v>
      </c>
      <c r="G449" s="8">
        <v>65.19</v>
      </c>
      <c r="H449" s="10">
        <v>29.72</v>
      </c>
      <c r="I449" s="21">
        <f t="shared" si="30"/>
        <v>54.781512605042018</v>
      </c>
      <c r="J449" s="21">
        <f t="shared" si="31"/>
        <v>42.202399999999997</v>
      </c>
      <c r="K449" s="21">
        <f t="shared" si="32"/>
        <v>12.57911260504202</v>
      </c>
      <c r="L449" s="8">
        <f t="shared" si="33"/>
        <v>8.8585300035507188</v>
      </c>
      <c r="M449" s="30" t="str">
        <f t="shared" si="34"/>
        <v>April</v>
      </c>
    </row>
    <row r="450" spans="1:13">
      <c r="A450" s="9" t="s">
        <v>797</v>
      </c>
      <c r="B450" s="8">
        <v>12</v>
      </c>
      <c r="C450" s="8" t="s">
        <v>51</v>
      </c>
      <c r="D450" s="8" t="s">
        <v>46</v>
      </c>
      <c r="E450" s="34">
        <v>45964</v>
      </c>
      <c r="F450" s="8">
        <v>514</v>
      </c>
      <c r="G450" s="8">
        <v>167.82</v>
      </c>
      <c r="H450" s="10">
        <v>19.48</v>
      </c>
      <c r="I450" s="21">
        <f t="shared" ref="I450:I513" si="35">G450/1.19</f>
        <v>141.0252100840336</v>
      </c>
      <c r="J450" s="21">
        <f t="shared" ref="J450:J513" si="36">F450*H450/100</f>
        <v>100.12719999999999</v>
      </c>
      <c r="K450" s="21">
        <f t="shared" ref="K450:K513" si="37">I450-J450</f>
        <v>40.898010084033615</v>
      </c>
      <c r="L450" s="8">
        <f t="shared" ref="L450:L513" si="38">IF(F450=0,"",K450/F450*100)</f>
        <v>7.9568113003956453</v>
      </c>
      <c r="M450" s="30" t="str">
        <f t="shared" ref="M450:M513" si="39">TEXT(DATE(RIGHT(E450,4),MID(E450,4,2),LEFT(E450,2)),"mmmm")</f>
        <v>May</v>
      </c>
    </row>
    <row r="451" spans="1:13">
      <c r="A451" s="9" t="s">
        <v>799</v>
      </c>
      <c r="B451" s="8">
        <v>12</v>
      </c>
      <c r="C451" s="8" t="s">
        <v>35</v>
      </c>
      <c r="D451" s="8" t="s">
        <v>36</v>
      </c>
      <c r="E451" s="34">
        <v>45634</v>
      </c>
      <c r="F451" s="8">
        <v>181</v>
      </c>
      <c r="G451" s="8">
        <v>73.44</v>
      </c>
      <c r="H451" s="10">
        <v>26</v>
      </c>
      <c r="I451" s="21">
        <f t="shared" si="35"/>
        <v>61.714285714285715</v>
      </c>
      <c r="J451" s="21">
        <f t="shared" si="36"/>
        <v>47.06</v>
      </c>
      <c r="K451" s="21">
        <f t="shared" si="37"/>
        <v>14.654285714285713</v>
      </c>
      <c r="L451" s="8">
        <f t="shared" si="38"/>
        <v>8.0962904498816091</v>
      </c>
      <c r="M451" s="30" t="str">
        <f t="shared" si="39"/>
        <v>November</v>
      </c>
    </row>
    <row r="452" spans="1:13">
      <c r="A452" s="9" t="s">
        <v>800</v>
      </c>
      <c r="B452" s="8">
        <v>24</v>
      </c>
      <c r="C452" s="8" t="s">
        <v>51</v>
      </c>
      <c r="D452" s="8" t="s">
        <v>46</v>
      </c>
      <c r="E452" s="34" t="s">
        <v>801</v>
      </c>
      <c r="F452" s="8">
        <v>486</v>
      </c>
      <c r="G452" s="8">
        <v>163.26</v>
      </c>
      <c r="H452" s="10">
        <v>22.35</v>
      </c>
      <c r="I452" s="21">
        <f t="shared" si="35"/>
        <v>137.19327731092437</v>
      </c>
      <c r="J452" s="21">
        <f t="shared" si="36"/>
        <v>108.62100000000001</v>
      </c>
      <c r="K452" s="21">
        <f t="shared" si="37"/>
        <v>28.572277310924363</v>
      </c>
      <c r="L452" s="8">
        <f t="shared" si="38"/>
        <v>5.8790694055399921</v>
      </c>
      <c r="M452" s="30" t="str">
        <f t="shared" si="39"/>
        <v>June</v>
      </c>
    </row>
    <row r="453" spans="1:13">
      <c r="A453" s="9" t="s">
        <v>802</v>
      </c>
      <c r="B453" s="8">
        <v>24</v>
      </c>
      <c r="C453" s="8" t="s">
        <v>35</v>
      </c>
      <c r="D453" s="8" t="s">
        <v>36</v>
      </c>
      <c r="E453" s="34" t="s">
        <v>803</v>
      </c>
      <c r="F453" s="8">
        <v>248</v>
      </c>
      <c r="G453" s="8">
        <v>98.77</v>
      </c>
      <c r="H453" s="10">
        <v>23.59</v>
      </c>
      <c r="I453" s="21">
        <f t="shared" si="35"/>
        <v>83</v>
      </c>
      <c r="J453" s="21">
        <f t="shared" si="36"/>
        <v>58.5032</v>
      </c>
      <c r="K453" s="21">
        <f t="shared" si="37"/>
        <v>24.4968</v>
      </c>
      <c r="L453" s="8">
        <f t="shared" si="38"/>
        <v>9.8777419354838703</v>
      </c>
      <c r="M453" s="30" t="str">
        <f t="shared" si="39"/>
        <v>June</v>
      </c>
    </row>
    <row r="454" spans="1:13">
      <c r="A454" s="9" t="s">
        <v>804</v>
      </c>
      <c r="B454" s="8">
        <v>12</v>
      </c>
      <c r="C454" s="8" t="s">
        <v>39</v>
      </c>
      <c r="D454" s="8" t="s">
        <v>36</v>
      </c>
      <c r="E454" s="34" t="s">
        <v>805</v>
      </c>
      <c r="F454" s="8">
        <v>97</v>
      </c>
      <c r="G454" s="8">
        <v>48.01</v>
      </c>
      <c r="H454" s="10">
        <v>31.31</v>
      </c>
      <c r="I454" s="21">
        <f t="shared" si="35"/>
        <v>40.344537815126053</v>
      </c>
      <c r="J454" s="21">
        <f t="shared" si="36"/>
        <v>30.370699999999996</v>
      </c>
      <c r="K454" s="21">
        <f t="shared" si="37"/>
        <v>9.9738378151260569</v>
      </c>
      <c r="L454" s="8">
        <f t="shared" si="38"/>
        <v>10.282307025903153</v>
      </c>
      <c r="M454" s="30" t="str">
        <f t="shared" si="39"/>
        <v>April</v>
      </c>
    </row>
    <row r="455" spans="1:13">
      <c r="A455" s="9" t="s">
        <v>806</v>
      </c>
      <c r="B455" s="8">
        <v>24</v>
      </c>
      <c r="C455" s="8" t="s">
        <v>39</v>
      </c>
      <c r="D455" s="8" t="s">
        <v>56</v>
      </c>
      <c r="E455" s="34" t="s">
        <v>423</v>
      </c>
      <c r="F455" s="8">
        <v>162</v>
      </c>
      <c r="G455" s="8">
        <v>68.680000000000007</v>
      </c>
      <c r="H455" s="10">
        <v>28.68</v>
      </c>
      <c r="I455" s="21">
        <f t="shared" si="35"/>
        <v>57.714285714285722</v>
      </c>
      <c r="J455" s="21">
        <f t="shared" si="36"/>
        <v>46.461599999999997</v>
      </c>
      <c r="K455" s="21">
        <f t="shared" si="37"/>
        <v>11.252685714285725</v>
      </c>
      <c r="L455" s="8">
        <f t="shared" si="38"/>
        <v>6.9461022927689662</v>
      </c>
      <c r="M455" s="30" t="str">
        <f t="shared" si="39"/>
        <v>February</v>
      </c>
    </row>
    <row r="456" spans="1:13">
      <c r="A456" s="9" t="s">
        <v>807</v>
      </c>
      <c r="B456" s="8">
        <v>12</v>
      </c>
      <c r="C456" s="8" t="s">
        <v>35</v>
      </c>
      <c r="D456" s="8" t="s">
        <v>36</v>
      </c>
      <c r="E456" s="34">
        <v>45635</v>
      </c>
      <c r="F456" s="8">
        <v>308</v>
      </c>
      <c r="G456" s="8">
        <v>120.32</v>
      </c>
      <c r="H456" s="10">
        <v>22.12</v>
      </c>
      <c r="I456" s="21">
        <f t="shared" si="35"/>
        <v>101.10924369747899</v>
      </c>
      <c r="J456" s="21">
        <f t="shared" si="36"/>
        <v>68.129599999999996</v>
      </c>
      <c r="K456" s="21">
        <f t="shared" si="37"/>
        <v>32.979643697478991</v>
      </c>
      <c r="L456" s="8">
        <f t="shared" si="38"/>
        <v>10.707676525155517</v>
      </c>
      <c r="M456" s="30" t="str">
        <f t="shared" si="39"/>
        <v>December</v>
      </c>
    </row>
    <row r="457" spans="1:13">
      <c r="A457" s="9" t="s">
        <v>808</v>
      </c>
      <c r="B457" s="8">
        <v>12</v>
      </c>
      <c r="C457" s="8" t="s">
        <v>35</v>
      </c>
      <c r="D457" s="8" t="s">
        <v>36</v>
      </c>
      <c r="E457" s="34">
        <v>45387</v>
      </c>
      <c r="F457" s="8">
        <v>278</v>
      </c>
      <c r="G457" s="8">
        <v>100.1</v>
      </c>
      <c r="H457" s="10">
        <v>22.82</v>
      </c>
      <c r="I457" s="21">
        <f t="shared" si="35"/>
        <v>84.117647058823522</v>
      </c>
      <c r="J457" s="21">
        <f t="shared" si="36"/>
        <v>63.439599999999999</v>
      </c>
      <c r="K457" s="21">
        <f t="shared" si="37"/>
        <v>20.678047058823523</v>
      </c>
      <c r="L457" s="8">
        <f t="shared" si="38"/>
        <v>7.4381464240372379</v>
      </c>
      <c r="M457" s="30" t="str">
        <f t="shared" si="39"/>
        <v>April</v>
      </c>
    </row>
    <row r="458" spans="1:13">
      <c r="A458" s="9" t="s">
        <v>810</v>
      </c>
      <c r="B458" s="8">
        <v>12</v>
      </c>
      <c r="C458" s="8" t="s">
        <v>39</v>
      </c>
      <c r="D458" s="8" t="s">
        <v>36</v>
      </c>
      <c r="E458" s="34">
        <v>45995</v>
      </c>
      <c r="F458" s="8">
        <v>122</v>
      </c>
      <c r="G458" s="8">
        <v>53.45</v>
      </c>
      <c r="H458" s="10">
        <v>29.36</v>
      </c>
      <c r="I458" s="21">
        <f t="shared" si="35"/>
        <v>44.915966386554629</v>
      </c>
      <c r="J458" s="21">
        <f t="shared" si="36"/>
        <v>35.819200000000002</v>
      </c>
      <c r="K458" s="21">
        <f t="shared" si="37"/>
        <v>9.0967663865546271</v>
      </c>
      <c r="L458" s="8">
        <f t="shared" si="38"/>
        <v>7.4563658906185468</v>
      </c>
      <c r="M458" s="30" t="str">
        <f t="shared" si="39"/>
        <v>December</v>
      </c>
    </row>
    <row r="459" spans="1:13">
      <c r="A459" s="9" t="s">
        <v>812</v>
      </c>
      <c r="B459" s="8">
        <v>12</v>
      </c>
      <c r="C459" s="8" t="s">
        <v>35</v>
      </c>
      <c r="D459" s="8" t="s">
        <v>36</v>
      </c>
      <c r="E459" s="34" t="s">
        <v>813</v>
      </c>
      <c r="F459" s="8">
        <v>235</v>
      </c>
      <c r="G459" s="8">
        <v>87.55</v>
      </c>
      <c r="H459" s="10">
        <v>24.04</v>
      </c>
      <c r="I459" s="21">
        <f t="shared" si="35"/>
        <v>73.571428571428569</v>
      </c>
      <c r="J459" s="21">
        <f t="shared" si="36"/>
        <v>56.494</v>
      </c>
      <c r="K459" s="21">
        <f t="shared" si="37"/>
        <v>17.07742857142857</v>
      </c>
      <c r="L459" s="8">
        <f t="shared" si="38"/>
        <v>7.2669908814589661</v>
      </c>
      <c r="M459" s="30" t="str">
        <f t="shared" si="39"/>
        <v>May</v>
      </c>
    </row>
    <row r="460" spans="1:13">
      <c r="A460" s="9" t="s">
        <v>814</v>
      </c>
      <c r="B460" s="8">
        <v>12</v>
      </c>
      <c r="C460" s="8" t="s">
        <v>39</v>
      </c>
      <c r="D460" s="8" t="s">
        <v>36</v>
      </c>
      <c r="E460" s="34" t="s">
        <v>805</v>
      </c>
      <c r="F460" s="8">
        <v>138</v>
      </c>
      <c r="G460" s="8">
        <v>59.44</v>
      </c>
      <c r="H460" s="10">
        <v>30.46</v>
      </c>
      <c r="I460" s="21">
        <f t="shared" si="35"/>
        <v>49.949579831932773</v>
      </c>
      <c r="J460" s="21">
        <f t="shared" si="36"/>
        <v>42.034800000000004</v>
      </c>
      <c r="K460" s="21">
        <f t="shared" si="37"/>
        <v>7.9147798319327691</v>
      </c>
      <c r="L460" s="8">
        <f t="shared" si="38"/>
        <v>5.7353477042991079</v>
      </c>
      <c r="M460" s="30" t="str">
        <f t="shared" si="39"/>
        <v>April</v>
      </c>
    </row>
    <row r="461" spans="1:13">
      <c r="A461" s="9" t="s">
        <v>815</v>
      </c>
      <c r="B461" s="8">
        <v>12</v>
      </c>
      <c r="C461" s="8" t="s">
        <v>35</v>
      </c>
      <c r="D461" s="8" t="s">
        <v>36</v>
      </c>
      <c r="E461" s="34" t="s">
        <v>275</v>
      </c>
      <c r="F461" s="8">
        <v>258</v>
      </c>
      <c r="G461" s="8">
        <v>0</v>
      </c>
      <c r="H461" s="10">
        <v>25.64</v>
      </c>
      <c r="I461" s="21">
        <f t="shared" si="35"/>
        <v>0</v>
      </c>
      <c r="J461" s="21">
        <f t="shared" si="36"/>
        <v>66.151200000000003</v>
      </c>
      <c r="K461" s="21">
        <f t="shared" si="37"/>
        <v>-66.151200000000003</v>
      </c>
      <c r="L461" s="8">
        <f t="shared" si="38"/>
        <v>-25.64</v>
      </c>
      <c r="M461" s="30" t="str">
        <f t="shared" si="39"/>
        <v>June</v>
      </c>
    </row>
    <row r="462" spans="1:13">
      <c r="A462" s="9" t="s">
        <v>816</v>
      </c>
      <c r="B462" s="8">
        <v>12</v>
      </c>
      <c r="C462" s="8" t="s">
        <v>39</v>
      </c>
      <c r="D462" s="8" t="s">
        <v>56</v>
      </c>
      <c r="E462" s="34" t="s">
        <v>817</v>
      </c>
      <c r="F462" s="8">
        <v>88</v>
      </c>
      <c r="G462" s="8">
        <v>41.15</v>
      </c>
      <c r="H462" s="10">
        <v>30.04</v>
      </c>
      <c r="I462" s="21">
        <f t="shared" si="35"/>
        <v>34.579831932773111</v>
      </c>
      <c r="J462" s="21">
        <f t="shared" si="36"/>
        <v>26.435199999999998</v>
      </c>
      <c r="K462" s="21">
        <f t="shared" si="37"/>
        <v>8.1446319327731125</v>
      </c>
      <c r="L462" s="8">
        <f t="shared" si="38"/>
        <v>9.2552635599694462</v>
      </c>
      <c r="M462" s="30" t="str">
        <f t="shared" si="39"/>
        <v>November</v>
      </c>
    </row>
    <row r="463" spans="1:13">
      <c r="A463" s="9" t="s">
        <v>818</v>
      </c>
      <c r="B463" s="8">
        <v>24</v>
      </c>
      <c r="C463" s="8" t="s">
        <v>51</v>
      </c>
      <c r="D463" s="8" t="s">
        <v>36</v>
      </c>
      <c r="E463" s="34" t="s">
        <v>420</v>
      </c>
      <c r="F463" s="8">
        <v>504</v>
      </c>
      <c r="G463" s="8">
        <v>172.82</v>
      </c>
      <c r="H463" s="10">
        <v>19.010000000000002</v>
      </c>
      <c r="I463" s="21">
        <f t="shared" si="35"/>
        <v>145.22689075630251</v>
      </c>
      <c r="J463" s="21">
        <f t="shared" si="36"/>
        <v>95.810400000000016</v>
      </c>
      <c r="K463" s="21">
        <f t="shared" si="37"/>
        <v>49.416490756302494</v>
      </c>
      <c r="L463" s="8">
        <f t="shared" si="38"/>
        <v>9.8048592770441445</v>
      </c>
      <c r="M463" s="30" t="str">
        <f t="shared" si="39"/>
        <v>March</v>
      </c>
    </row>
    <row r="464" spans="1:13">
      <c r="A464" s="9" t="s">
        <v>819</v>
      </c>
      <c r="B464" s="8">
        <v>24</v>
      </c>
      <c r="C464" s="8" t="s">
        <v>39</v>
      </c>
      <c r="D464" s="8" t="s">
        <v>56</v>
      </c>
      <c r="E464" s="37">
        <v>45808</v>
      </c>
      <c r="F464" s="8">
        <v>151</v>
      </c>
      <c r="G464" s="8">
        <v>67.75</v>
      </c>
      <c r="H464" s="10">
        <v>30.2</v>
      </c>
      <c r="I464" s="21">
        <f t="shared" si="35"/>
        <v>56.932773109243698</v>
      </c>
      <c r="J464" s="21">
        <f t="shared" si="36"/>
        <v>45.601999999999997</v>
      </c>
      <c r="K464" s="21">
        <f t="shared" si="37"/>
        <v>11.330773109243701</v>
      </c>
      <c r="L464" s="8">
        <f t="shared" si="38"/>
        <v>7.5038232511547687</v>
      </c>
      <c r="M464" s="30" t="str">
        <f t="shared" si="39"/>
        <v>September</v>
      </c>
    </row>
    <row r="465" spans="1:13">
      <c r="A465" s="9" t="s">
        <v>821</v>
      </c>
      <c r="B465" s="8">
        <v>24</v>
      </c>
      <c r="C465" s="8" t="s">
        <v>35</v>
      </c>
      <c r="D465" s="8" t="s">
        <v>46</v>
      </c>
      <c r="E465" s="34">
        <v>45994</v>
      </c>
      <c r="F465" s="8">
        <v>243</v>
      </c>
      <c r="G465" s="8">
        <v>89.11</v>
      </c>
      <c r="H465" s="10">
        <v>22.14</v>
      </c>
      <c r="I465" s="21">
        <f t="shared" si="35"/>
        <v>74.882352941176478</v>
      </c>
      <c r="J465" s="21">
        <f t="shared" si="36"/>
        <v>53.800200000000004</v>
      </c>
      <c r="K465" s="21">
        <f t="shared" si="37"/>
        <v>21.082152941176474</v>
      </c>
      <c r="L465" s="8">
        <f t="shared" si="38"/>
        <v>8.6757831033648038</v>
      </c>
      <c r="M465" s="30" t="str">
        <f t="shared" si="39"/>
        <v>November</v>
      </c>
    </row>
    <row r="466" spans="1:13">
      <c r="A466" s="9" t="s">
        <v>823</v>
      </c>
      <c r="B466" s="8">
        <v>24</v>
      </c>
      <c r="C466" s="8" t="s">
        <v>39</v>
      </c>
      <c r="D466" s="8" t="s">
        <v>36</v>
      </c>
      <c r="E466" s="34">
        <v>45661</v>
      </c>
      <c r="F466" s="8">
        <v>87</v>
      </c>
      <c r="G466" s="8">
        <v>45.38</v>
      </c>
      <c r="H466" s="10">
        <v>30.2</v>
      </c>
      <c r="I466" s="21">
        <f t="shared" si="35"/>
        <v>38.134453781512612</v>
      </c>
      <c r="J466" s="21">
        <f t="shared" si="36"/>
        <v>26.274000000000001</v>
      </c>
      <c r="K466" s="21">
        <f t="shared" si="37"/>
        <v>11.860453781512611</v>
      </c>
      <c r="L466" s="8">
        <f t="shared" si="38"/>
        <v>13.632705495991507</v>
      </c>
      <c r="M466" s="30" t="str">
        <f t="shared" si="39"/>
        <v>February</v>
      </c>
    </row>
    <row r="467" spans="1:13">
      <c r="A467" s="9" t="s">
        <v>825</v>
      </c>
      <c r="B467" s="8">
        <v>12</v>
      </c>
      <c r="C467" s="8" t="s">
        <v>39</v>
      </c>
      <c r="D467" s="8" t="s">
        <v>46</v>
      </c>
      <c r="E467" s="34">
        <v>45602</v>
      </c>
      <c r="F467" s="8">
        <v>149</v>
      </c>
      <c r="G467" s="8">
        <v>63.72</v>
      </c>
      <c r="H467" s="10">
        <v>31.75</v>
      </c>
      <c r="I467" s="21">
        <f t="shared" si="35"/>
        <v>53.54621848739496</v>
      </c>
      <c r="J467" s="21">
        <f t="shared" si="36"/>
        <v>47.307499999999997</v>
      </c>
      <c r="K467" s="21">
        <f t="shared" si="37"/>
        <v>6.2387184873949622</v>
      </c>
      <c r="L467" s="8">
        <f t="shared" si="38"/>
        <v>4.1870593875133979</v>
      </c>
      <c r="M467" s="30" t="str">
        <f t="shared" si="39"/>
        <v>March</v>
      </c>
    </row>
    <row r="468" spans="1:13">
      <c r="A468" s="9" t="s">
        <v>827</v>
      </c>
      <c r="B468" s="8">
        <v>12</v>
      </c>
      <c r="C468" s="8" t="s">
        <v>35</v>
      </c>
      <c r="D468" s="8" t="s">
        <v>36</v>
      </c>
      <c r="E468" s="34">
        <v>45662</v>
      </c>
      <c r="F468" s="8">
        <v>200</v>
      </c>
      <c r="G468" s="8">
        <v>75.05</v>
      </c>
      <c r="H468" s="10">
        <v>27.36</v>
      </c>
      <c r="I468" s="21">
        <f t="shared" si="35"/>
        <v>63.067226890756302</v>
      </c>
      <c r="J468" s="21">
        <f t="shared" si="36"/>
        <v>54.72</v>
      </c>
      <c r="K468" s="21">
        <f t="shared" si="37"/>
        <v>8.3472268907563034</v>
      </c>
      <c r="L468" s="8">
        <f t="shared" si="38"/>
        <v>4.1736134453781517</v>
      </c>
      <c r="M468" s="30" t="str">
        <f t="shared" si="39"/>
        <v>March</v>
      </c>
    </row>
    <row r="469" spans="1:13">
      <c r="A469" s="9" t="s">
        <v>828</v>
      </c>
      <c r="B469" s="8">
        <v>24</v>
      </c>
      <c r="C469" s="8" t="s">
        <v>35</v>
      </c>
      <c r="D469" s="8" t="s">
        <v>46</v>
      </c>
      <c r="E469" s="34">
        <v>45781</v>
      </c>
      <c r="F469" s="8">
        <v>210</v>
      </c>
      <c r="G469" s="8">
        <v>80.400000000000006</v>
      </c>
      <c r="H469" s="10">
        <v>22.64</v>
      </c>
      <c r="I469" s="21">
        <f t="shared" si="35"/>
        <v>67.563025210084035</v>
      </c>
      <c r="J469" s="21">
        <f t="shared" si="36"/>
        <v>47.544000000000004</v>
      </c>
      <c r="K469" s="21">
        <f t="shared" si="37"/>
        <v>20.019025210084031</v>
      </c>
      <c r="L469" s="8">
        <f t="shared" si="38"/>
        <v>9.5328691476590617</v>
      </c>
      <c r="M469" s="30" t="str">
        <f t="shared" si="39"/>
        <v>October</v>
      </c>
    </row>
    <row r="470" spans="1:13">
      <c r="A470" s="9" t="s">
        <v>830</v>
      </c>
      <c r="B470" s="8">
        <v>12</v>
      </c>
      <c r="C470" s="8" t="s">
        <v>35</v>
      </c>
      <c r="D470" s="8" t="s">
        <v>36</v>
      </c>
      <c r="E470" s="34" t="s">
        <v>831</v>
      </c>
      <c r="F470" s="8">
        <v>194</v>
      </c>
      <c r="G470" s="8">
        <v>81.459999999999994</v>
      </c>
      <c r="H470" s="10">
        <v>22.1</v>
      </c>
      <c r="I470" s="21">
        <f t="shared" si="35"/>
        <v>68.453781512605033</v>
      </c>
      <c r="J470" s="21">
        <f t="shared" si="36"/>
        <v>42.874000000000002</v>
      </c>
      <c r="K470" s="21">
        <f t="shared" si="37"/>
        <v>25.579781512605031</v>
      </c>
      <c r="L470" s="8">
        <f t="shared" si="38"/>
        <v>13.185454387940737</v>
      </c>
      <c r="M470" s="30" t="str">
        <f t="shared" si="39"/>
        <v>September</v>
      </c>
    </row>
    <row r="471" spans="1:13">
      <c r="A471" s="9" t="s">
        <v>832</v>
      </c>
      <c r="B471" s="8">
        <v>24</v>
      </c>
      <c r="C471" s="8" t="s">
        <v>39</v>
      </c>
      <c r="D471" s="8" t="s">
        <v>36</v>
      </c>
      <c r="E471" s="37">
        <v>45545</v>
      </c>
      <c r="F471" s="8">
        <v>111</v>
      </c>
      <c r="G471" s="8">
        <v>51.33</v>
      </c>
      <c r="H471" s="10">
        <v>29.8</v>
      </c>
      <c r="I471" s="21">
        <f t="shared" si="35"/>
        <v>43.134453781512605</v>
      </c>
      <c r="J471" s="21">
        <f t="shared" si="36"/>
        <v>33.078000000000003</v>
      </c>
      <c r="K471" s="21">
        <f t="shared" si="37"/>
        <v>10.056453781512602</v>
      </c>
      <c r="L471" s="8">
        <f t="shared" si="38"/>
        <v>9.0598682716329737</v>
      </c>
      <c r="M471" s="30" t="str">
        <f t="shared" si="39"/>
        <v>October</v>
      </c>
    </row>
    <row r="472" spans="1:13">
      <c r="A472" s="9" t="s">
        <v>834</v>
      </c>
      <c r="B472" s="8">
        <v>12</v>
      </c>
      <c r="C472" s="8" t="s">
        <v>35</v>
      </c>
      <c r="D472" s="8" t="s">
        <v>56</v>
      </c>
      <c r="E472" s="34">
        <v>45575</v>
      </c>
      <c r="F472" s="8">
        <v>293</v>
      </c>
      <c r="G472" s="8">
        <v>112.18</v>
      </c>
      <c r="H472" s="10">
        <v>22.95</v>
      </c>
      <c r="I472" s="21">
        <f t="shared" si="35"/>
        <v>94.268907563025223</v>
      </c>
      <c r="J472" s="21">
        <f t="shared" si="36"/>
        <v>67.243499999999997</v>
      </c>
      <c r="K472" s="21">
        <f t="shared" si="37"/>
        <v>27.025407563025226</v>
      </c>
      <c r="L472" s="8">
        <f t="shared" si="38"/>
        <v>9.2236885880632169</v>
      </c>
      <c r="M472" s="30" t="str">
        <f t="shared" si="39"/>
        <v>April</v>
      </c>
    </row>
    <row r="473" spans="1:13">
      <c r="A473" s="9" t="s">
        <v>835</v>
      </c>
      <c r="B473" s="8">
        <v>24</v>
      </c>
      <c r="C473" s="8" t="s">
        <v>51</v>
      </c>
      <c r="D473" s="8" t="s">
        <v>56</v>
      </c>
      <c r="E473" s="34" t="s">
        <v>836</v>
      </c>
      <c r="F473" s="8">
        <v>506</v>
      </c>
      <c r="G473" s="8">
        <v>178.72</v>
      </c>
      <c r="H473" s="10">
        <v>16.75</v>
      </c>
      <c r="I473" s="21">
        <f t="shared" si="35"/>
        <v>150.18487394957984</v>
      </c>
      <c r="J473" s="21">
        <f t="shared" si="36"/>
        <v>84.754999999999995</v>
      </c>
      <c r="K473" s="21">
        <f t="shared" si="37"/>
        <v>65.429873949579843</v>
      </c>
      <c r="L473" s="8">
        <f t="shared" si="38"/>
        <v>12.930805128375464</v>
      </c>
      <c r="M473" s="30" t="str">
        <f t="shared" si="39"/>
        <v>June</v>
      </c>
    </row>
    <row r="474" spans="1:13">
      <c r="A474" s="9" t="s">
        <v>837</v>
      </c>
      <c r="B474" s="8">
        <v>12</v>
      </c>
      <c r="C474" s="8" t="s">
        <v>51</v>
      </c>
      <c r="D474" s="8" t="s">
        <v>56</v>
      </c>
      <c r="E474" s="34">
        <v>45966</v>
      </c>
      <c r="F474" s="8">
        <v>401</v>
      </c>
      <c r="G474" s="8">
        <v>130.93</v>
      </c>
      <c r="H474" s="10">
        <v>22.12</v>
      </c>
      <c r="I474" s="21">
        <f t="shared" si="35"/>
        <v>110.02521008403363</v>
      </c>
      <c r="J474" s="21">
        <f t="shared" si="36"/>
        <v>88.701200000000014</v>
      </c>
      <c r="K474" s="21">
        <f t="shared" si="37"/>
        <v>21.324010084033617</v>
      </c>
      <c r="L474" s="8">
        <f t="shared" si="38"/>
        <v>5.3177082503824487</v>
      </c>
      <c r="M474" s="30" t="str">
        <f t="shared" si="39"/>
        <v>July</v>
      </c>
    </row>
    <row r="475" spans="1:13">
      <c r="A475" s="9" t="s">
        <v>839</v>
      </c>
      <c r="B475" s="8">
        <v>24</v>
      </c>
      <c r="C475" s="8" t="s">
        <v>39</v>
      </c>
      <c r="D475" s="8" t="s">
        <v>36</v>
      </c>
      <c r="E475" s="34">
        <v>45300</v>
      </c>
      <c r="F475" s="8">
        <v>157</v>
      </c>
      <c r="G475" s="8">
        <v>67.44</v>
      </c>
      <c r="H475" s="10">
        <v>28.45</v>
      </c>
      <c r="I475" s="21">
        <f t="shared" si="35"/>
        <v>56.672268907563023</v>
      </c>
      <c r="J475" s="21">
        <f t="shared" si="36"/>
        <v>44.666499999999999</v>
      </c>
      <c r="K475" s="21">
        <f t="shared" si="37"/>
        <v>12.005768907563024</v>
      </c>
      <c r="L475" s="8">
        <f t="shared" si="38"/>
        <v>7.6469865653267659</v>
      </c>
      <c r="M475" s="30" t="str">
        <f t="shared" si="39"/>
        <v>January</v>
      </c>
    </row>
    <row r="476" spans="1:13">
      <c r="A476" s="9" t="s">
        <v>840</v>
      </c>
      <c r="B476" s="8">
        <v>12</v>
      </c>
      <c r="C476" s="8" t="s">
        <v>35</v>
      </c>
      <c r="D476" s="8" t="s">
        <v>46</v>
      </c>
      <c r="E476" s="34">
        <v>45514</v>
      </c>
      <c r="F476" s="8">
        <v>313</v>
      </c>
      <c r="G476" s="8">
        <v>117.96</v>
      </c>
      <c r="H476" s="10">
        <v>24.43</v>
      </c>
      <c r="I476" s="21">
        <f t="shared" si="35"/>
        <v>99.12605042016807</v>
      </c>
      <c r="J476" s="21">
        <f t="shared" si="36"/>
        <v>76.465900000000005</v>
      </c>
      <c r="K476" s="21">
        <f t="shared" si="37"/>
        <v>22.660150420168065</v>
      </c>
      <c r="L476" s="8">
        <f t="shared" si="38"/>
        <v>7.239664670980213</v>
      </c>
      <c r="M476" s="30" t="str">
        <f t="shared" si="39"/>
        <v>March</v>
      </c>
    </row>
    <row r="477" spans="1:13">
      <c r="A477" s="9" t="s">
        <v>841</v>
      </c>
      <c r="B477" s="8">
        <v>24</v>
      </c>
      <c r="C477" s="8" t="s">
        <v>39</v>
      </c>
      <c r="D477" s="8" t="s">
        <v>36</v>
      </c>
      <c r="E477" s="34" t="s">
        <v>842</v>
      </c>
      <c r="F477" s="8">
        <v>156</v>
      </c>
      <c r="G477" s="8">
        <v>65.31</v>
      </c>
      <c r="H477" s="10">
        <v>29.12</v>
      </c>
      <c r="I477" s="21">
        <f t="shared" si="35"/>
        <v>54.882352941176478</v>
      </c>
      <c r="J477" s="21">
        <f t="shared" si="36"/>
        <v>45.427199999999999</v>
      </c>
      <c r="K477" s="21">
        <f t="shared" si="37"/>
        <v>9.455152941176479</v>
      </c>
      <c r="L477" s="8">
        <f t="shared" si="38"/>
        <v>6.0609954751131276</v>
      </c>
      <c r="M477" s="30" t="str">
        <f t="shared" si="39"/>
        <v>March</v>
      </c>
    </row>
    <row r="478" spans="1:13">
      <c r="A478" s="9" t="s">
        <v>843</v>
      </c>
      <c r="B478" s="8">
        <v>12</v>
      </c>
      <c r="C478" s="8" t="s">
        <v>39</v>
      </c>
      <c r="D478" s="8" t="s">
        <v>36</v>
      </c>
      <c r="E478" s="37">
        <v>45371</v>
      </c>
      <c r="F478" s="8">
        <v>103</v>
      </c>
      <c r="G478" s="8">
        <v>46.2</v>
      </c>
      <c r="H478" s="10">
        <v>28.69</v>
      </c>
      <c r="I478" s="21">
        <f t="shared" si="35"/>
        <v>38.82352941176471</v>
      </c>
      <c r="J478" s="21">
        <f t="shared" si="36"/>
        <v>29.550700000000003</v>
      </c>
      <c r="K478" s="21">
        <f t="shared" si="37"/>
        <v>9.2728294117647074</v>
      </c>
      <c r="L478" s="8">
        <f t="shared" si="38"/>
        <v>9.002747001713308</v>
      </c>
      <c r="M478" s="30" t="str">
        <f t="shared" si="39"/>
        <v>December</v>
      </c>
    </row>
    <row r="479" spans="1:13">
      <c r="A479" s="9" t="s">
        <v>845</v>
      </c>
      <c r="B479" s="8">
        <v>24</v>
      </c>
      <c r="C479" s="8" t="s">
        <v>51</v>
      </c>
      <c r="D479" s="8" t="s">
        <v>36</v>
      </c>
      <c r="E479" s="34" t="s">
        <v>450</v>
      </c>
      <c r="F479" s="8">
        <v>484</v>
      </c>
      <c r="G479" s="8">
        <v>161.16</v>
      </c>
      <c r="H479" s="10">
        <v>18.399999999999999</v>
      </c>
      <c r="I479" s="21">
        <f t="shared" si="35"/>
        <v>135.42857142857144</v>
      </c>
      <c r="J479" s="21">
        <f t="shared" si="36"/>
        <v>89.055999999999983</v>
      </c>
      <c r="K479" s="21">
        <f t="shared" si="37"/>
        <v>46.372571428571462</v>
      </c>
      <c r="L479" s="8">
        <f t="shared" si="38"/>
        <v>9.5811097992916245</v>
      </c>
      <c r="M479" s="30" t="str">
        <f t="shared" si="39"/>
        <v>October</v>
      </c>
    </row>
    <row r="480" spans="1:13">
      <c r="A480" s="9" t="s">
        <v>846</v>
      </c>
      <c r="B480" s="8">
        <v>24</v>
      </c>
      <c r="C480" s="8" t="s">
        <v>39</v>
      </c>
      <c r="D480" s="8" t="s">
        <v>46</v>
      </c>
      <c r="E480" s="34" t="s">
        <v>484</v>
      </c>
      <c r="F480" s="8">
        <v>166</v>
      </c>
      <c r="G480" s="8">
        <v>72.72</v>
      </c>
      <c r="H480" s="10">
        <v>31.21</v>
      </c>
      <c r="I480" s="21">
        <f t="shared" si="35"/>
        <v>61.109243697478995</v>
      </c>
      <c r="J480" s="21">
        <f t="shared" si="36"/>
        <v>51.808600000000006</v>
      </c>
      <c r="K480" s="21">
        <f t="shared" si="37"/>
        <v>9.3006436974789892</v>
      </c>
      <c r="L480" s="8">
        <f t="shared" si="38"/>
        <v>5.6027974081198728</v>
      </c>
      <c r="M480" s="30" t="str">
        <f t="shared" si="39"/>
        <v>August</v>
      </c>
    </row>
    <row r="481" spans="1:13">
      <c r="A481" s="9" t="s">
        <v>847</v>
      </c>
      <c r="B481" s="8">
        <v>12</v>
      </c>
      <c r="C481" s="8" t="s">
        <v>35</v>
      </c>
      <c r="D481" s="8" t="s">
        <v>36</v>
      </c>
      <c r="E481" s="37">
        <v>45570</v>
      </c>
      <c r="F481" s="8">
        <v>295</v>
      </c>
      <c r="G481" s="8">
        <v>110.32</v>
      </c>
      <c r="H481" s="10">
        <v>23.57</v>
      </c>
      <c r="I481" s="21">
        <f t="shared" si="35"/>
        <v>92.705882352941174</v>
      </c>
      <c r="J481" s="21">
        <f t="shared" si="36"/>
        <v>69.531499999999994</v>
      </c>
      <c r="K481" s="21">
        <f t="shared" si="37"/>
        <v>23.17438235294118</v>
      </c>
      <c r="L481" s="8">
        <f t="shared" si="38"/>
        <v>7.855722831505485</v>
      </c>
      <c r="M481" s="30" t="str">
        <f t="shared" si="39"/>
        <v>November</v>
      </c>
    </row>
    <row r="482" spans="1:13">
      <c r="A482" s="9" t="s">
        <v>849</v>
      </c>
      <c r="B482" s="8">
        <v>24</v>
      </c>
      <c r="C482" s="8" t="s">
        <v>35</v>
      </c>
      <c r="D482" s="8" t="s">
        <v>36</v>
      </c>
      <c r="E482" s="34">
        <v>45547</v>
      </c>
      <c r="F482" s="8">
        <v>172</v>
      </c>
      <c r="G482" s="8">
        <v>70.3</v>
      </c>
      <c r="H482" s="10">
        <v>25</v>
      </c>
      <c r="I482" s="21">
        <f t="shared" si="35"/>
        <v>59.075630252100844</v>
      </c>
      <c r="J482" s="21">
        <f t="shared" si="36"/>
        <v>43</v>
      </c>
      <c r="K482" s="21">
        <f t="shared" si="37"/>
        <v>16.075630252100844</v>
      </c>
      <c r="L482" s="8">
        <f t="shared" si="38"/>
        <v>9.346296658198165</v>
      </c>
      <c r="M482" s="30" t="str">
        <f t="shared" si="39"/>
        <v>December</v>
      </c>
    </row>
    <row r="483" spans="1:13">
      <c r="A483" s="9" t="s">
        <v>850</v>
      </c>
      <c r="B483" s="8">
        <v>24</v>
      </c>
      <c r="C483" s="8" t="s">
        <v>35</v>
      </c>
      <c r="D483" s="8" t="s">
        <v>56</v>
      </c>
      <c r="E483" s="34" t="s">
        <v>851</v>
      </c>
      <c r="F483" s="8">
        <v>-15</v>
      </c>
      <c r="G483" s="8">
        <v>71.959999999999994</v>
      </c>
      <c r="H483" s="10">
        <v>22.5</v>
      </c>
      <c r="I483" s="21">
        <f t="shared" si="35"/>
        <v>60.470588235294116</v>
      </c>
      <c r="J483" s="21">
        <f t="shared" si="36"/>
        <v>-3.375</v>
      </c>
      <c r="K483" s="21">
        <f t="shared" si="37"/>
        <v>63.845588235294116</v>
      </c>
      <c r="L483" s="8">
        <f t="shared" si="38"/>
        <v>-425.63725490196072</v>
      </c>
      <c r="M483" s="30" t="str">
        <f t="shared" si="39"/>
        <v>November</v>
      </c>
    </row>
    <row r="484" spans="1:13">
      <c r="A484" s="9" t="s">
        <v>852</v>
      </c>
      <c r="B484" s="8">
        <v>12</v>
      </c>
      <c r="C484" s="8" t="s">
        <v>35</v>
      </c>
      <c r="D484" s="8" t="s">
        <v>36</v>
      </c>
      <c r="E484" s="34" t="s">
        <v>478</v>
      </c>
      <c r="F484" s="8">
        <v>244</v>
      </c>
      <c r="G484" s="8">
        <v>92.14</v>
      </c>
      <c r="H484" s="10">
        <v>25.09</v>
      </c>
      <c r="I484" s="21">
        <f t="shared" si="35"/>
        <v>77.428571428571431</v>
      </c>
      <c r="J484" s="21">
        <f t="shared" si="36"/>
        <v>61.2196</v>
      </c>
      <c r="K484" s="21">
        <f t="shared" si="37"/>
        <v>16.208971428571431</v>
      </c>
      <c r="L484" s="8">
        <f t="shared" si="38"/>
        <v>6.6430210772833735</v>
      </c>
      <c r="M484" s="30" t="str">
        <f t="shared" si="39"/>
        <v>March</v>
      </c>
    </row>
    <row r="485" spans="1:13">
      <c r="A485" s="9" t="s">
        <v>853</v>
      </c>
      <c r="B485" s="8">
        <v>24</v>
      </c>
      <c r="C485" s="8" t="s">
        <v>39</v>
      </c>
      <c r="D485" s="8" t="s">
        <v>36</v>
      </c>
      <c r="E485" s="34" t="s">
        <v>213</v>
      </c>
      <c r="F485" s="8">
        <v>159</v>
      </c>
      <c r="G485" s="8">
        <v>70.11</v>
      </c>
      <c r="H485" s="10">
        <v>28.95</v>
      </c>
      <c r="I485" s="21">
        <f t="shared" si="35"/>
        <v>58.915966386554622</v>
      </c>
      <c r="J485" s="21">
        <f t="shared" si="36"/>
        <v>46.030500000000004</v>
      </c>
      <c r="K485" s="21">
        <f t="shared" si="37"/>
        <v>12.885466386554619</v>
      </c>
      <c r="L485" s="8">
        <f t="shared" si="38"/>
        <v>8.1040669097827784</v>
      </c>
      <c r="M485" s="30" t="str">
        <f t="shared" si="39"/>
        <v>May</v>
      </c>
    </row>
    <row r="486" spans="1:13">
      <c r="A486" s="9" t="s">
        <v>854</v>
      </c>
      <c r="B486" s="8">
        <v>24</v>
      </c>
      <c r="C486" s="8" t="s">
        <v>39</v>
      </c>
      <c r="D486" s="8" t="s">
        <v>36</v>
      </c>
      <c r="E486" s="34">
        <v>45357</v>
      </c>
      <c r="F486" s="8">
        <v>128</v>
      </c>
      <c r="G486" s="8">
        <v>55.42</v>
      </c>
      <c r="H486" s="10">
        <v>32.71</v>
      </c>
      <c r="I486" s="21">
        <f t="shared" si="35"/>
        <v>46.571428571428577</v>
      </c>
      <c r="J486" s="21">
        <f t="shared" si="36"/>
        <v>41.8688</v>
      </c>
      <c r="K486" s="21">
        <f t="shared" si="37"/>
        <v>4.7026285714285763</v>
      </c>
      <c r="L486" s="8">
        <f t="shared" si="38"/>
        <v>3.6739285714285752</v>
      </c>
      <c r="M486" s="30" t="str">
        <f t="shared" si="39"/>
        <v>October</v>
      </c>
    </row>
    <row r="487" spans="1:13">
      <c r="A487" s="9" t="s">
        <v>856</v>
      </c>
      <c r="B487" s="8">
        <v>24</v>
      </c>
      <c r="C487" s="8" t="s">
        <v>35</v>
      </c>
      <c r="D487" s="8" t="s">
        <v>56</v>
      </c>
      <c r="E487" s="34" t="s">
        <v>857</v>
      </c>
      <c r="F487" s="8">
        <v>250</v>
      </c>
      <c r="G487" s="8">
        <v>99.72</v>
      </c>
      <c r="H487" s="10">
        <v>24.26</v>
      </c>
      <c r="I487" s="21">
        <f t="shared" si="35"/>
        <v>83.798319327731093</v>
      </c>
      <c r="J487" s="21">
        <f t="shared" si="36"/>
        <v>60.65</v>
      </c>
      <c r="K487" s="21">
        <f t="shared" si="37"/>
        <v>23.148319327731095</v>
      </c>
      <c r="L487" s="8">
        <f t="shared" si="38"/>
        <v>9.2593277310924389</v>
      </c>
      <c r="M487" s="30" t="str">
        <f t="shared" si="39"/>
        <v>August</v>
      </c>
    </row>
    <row r="488" spans="1:13">
      <c r="A488" s="9" t="s">
        <v>858</v>
      </c>
      <c r="B488" s="8">
        <v>12</v>
      </c>
      <c r="C488" s="8" t="s">
        <v>39</v>
      </c>
      <c r="D488" s="8" t="s">
        <v>36</v>
      </c>
      <c r="E488" s="34" t="s">
        <v>859</v>
      </c>
      <c r="F488" s="8">
        <v>92</v>
      </c>
      <c r="G488" s="8">
        <v>44.91</v>
      </c>
      <c r="H488" s="10">
        <v>31.72</v>
      </c>
      <c r="I488" s="21">
        <f t="shared" si="35"/>
        <v>37.739495798319325</v>
      </c>
      <c r="J488" s="21">
        <f t="shared" si="36"/>
        <v>29.182399999999998</v>
      </c>
      <c r="K488" s="21">
        <f t="shared" si="37"/>
        <v>8.5570957983193274</v>
      </c>
      <c r="L488" s="8">
        <f t="shared" si="38"/>
        <v>9.3011910851297035</v>
      </c>
      <c r="M488" s="30" t="str">
        <f t="shared" si="39"/>
        <v>January</v>
      </c>
    </row>
    <row r="489" spans="1:13">
      <c r="A489" s="9" t="s">
        <v>860</v>
      </c>
      <c r="B489" s="8">
        <v>12</v>
      </c>
      <c r="C489" s="8" t="s">
        <v>35</v>
      </c>
      <c r="D489" s="8" t="s">
        <v>36</v>
      </c>
      <c r="E489" s="34">
        <v>45418</v>
      </c>
      <c r="F489" s="8">
        <v>276</v>
      </c>
      <c r="G489" s="8">
        <v>100.28</v>
      </c>
      <c r="H489" s="10">
        <v>25.55</v>
      </c>
      <c r="I489" s="21">
        <f t="shared" si="35"/>
        <v>84.268907563025209</v>
      </c>
      <c r="J489" s="21">
        <f t="shared" si="36"/>
        <v>70.518000000000001</v>
      </c>
      <c r="K489" s="21">
        <f t="shared" si="37"/>
        <v>13.750907563025208</v>
      </c>
      <c r="L489" s="8">
        <f t="shared" si="38"/>
        <v>4.9822128851540608</v>
      </c>
      <c r="M489" s="30" t="str">
        <f t="shared" si="39"/>
        <v>July</v>
      </c>
    </row>
    <row r="490" spans="1:13">
      <c r="A490" s="9" t="s">
        <v>861</v>
      </c>
      <c r="B490" s="8">
        <v>24</v>
      </c>
      <c r="C490" s="8" t="s">
        <v>39</v>
      </c>
      <c r="D490" s="8" t="s">
        <v>56</v>
      </c>
      <c r="E490" s="34">
        <v>45481</v>
      </c>
      <c r="F490" s="8">
        <v>152</v>
      </c>
      <c r="G490" s="8">
        <v>64.900000000000006</v>
      </c>
      <c r="H490" s="10">
        <v>28.26</v>
      </c>
      <c r="I490" s="21">
        <f t="shared" si="35"/>
        <v>54.537815126050425</v>
      </c>
      <c r="J490" s="21">
        <f t="shared" si="36"/>
        <v>42.955200000000005</v>
      </c>
      <c r="K490" s="21">
        <f t="shared" si="37"/>
        <v>11.58261512605042</v>
      </c>
      <c r="L490" s="8">
        <f t="shared" si="38"/>
        <v>7.6201415302963289</v>
      </c>
      <c r="M490" s="30" t="str">
        <f t="shared" si="39"/>
        <v>October</v>
      </c>
    </row>
    <row r="491" spans="1:13">
      <c r="A491" s="9" t="s">
        <v>862</v>
      </c>
      <c r="B491" s="8">
        <v>24</v>
      </c>
      <c r="C491" s="8" t="s">
        <v>39</v>
      </c>
      <c r="D491" s="8" t="s">
        <v>56</v>
      </c>
      <c r="E491" s="34">
        <v>45446</v>
      </c>
      <c r="F491" s="8">
        <v>115</v>
      </c>
      <c r="G491" s="8">
        <v>53.58</v>
      </c>
      <c r="H491" s="10">
        <v>28.08</v>
      </c>
      <c r="I491" s="21">
        <f t="shared" si="35"/>
        <v>45.025210084033617</v>
      </c>
      <c r="J491" s="21">
        <f t="shared" si="36"/>
        <v>32.292000000000002</v>
      </c>
      <c r="K491" s="21">
        <f t="shared" si="37"/>
        <v>12.733210084033615</v>
      </c>
      <c r="L491" s="8">
        <f t="shared" si="38"/>
        <v>11.07235659481184</v>
      </c>
      <c r="M491" s="30" t="str">
        <f t="shared" si="39"/>
        <v>November</v>
      </c>
    </row>
    <row r="492" spans="1:13">
      <c r="A492" s="9" t="s">
        <v>863</v>
      </c>
      <c r="B492" s="8">
        <v>12</v>
      </c>
      <c r="C492" s="8" t="s">
        <v>35</v>
      </c>
      <c r="D492" s="8" t="s">
        <v>36</v>
      </c>
      <c r="E492" s="34" t="s">
        <v>783</v>
      </c>
      <c r="F492" s="8">
        <v>296</v>
      </c>
      <c r="G492" s="8">
        <v>106.89</v>
      </c>
      <c r="H492" s="10">
        <v>25.31</v>
      </c>
      <c r="I492" s="21">
        <f t="shared" si="35"/>
        <v>89.82352941176471</v>
      </c>
      <c r="J492" s="21">
        <f t="shared" si="36"/>
        <v>74.917599999999993</v>
      </c>
      <c r="K492" s="21">
        <f t="shared" si="37"/>
        <v>14.905929411764717</v>
      </c>
      <c r="L492" s="8">
        <f t="shared" si="38"/>
        <v>5.0357869634340258</v>
      </c>
      <c r="M492" s="30" t="str">
        <f t="shared" si="39"/>
        <v>February</v>
      </c>
    </row>
    <row r="493" spans="1:13">
      <c r="A493" s="9" t="s">
        <v>864</v>
      </c>
      <c r="B493" s="8">
        <v>24</v>
      </c>
      <c r="C493" s="8" t="s">
        <v>39</v>
      </c>
      <c r="D493" s="8" t="s">
        <v>46</v>
      </c>
      <c r="E493" s="34" t="s">
        <v>865</v>
      </c>
      <c r="F493" s="8">
        <v>164</v>
      </c>
      <c r="G493" s="8">
        <v>69.099999999999994</v>
      </c>
      <c r="H493" s="10">
        <v>30.1</v>
      </c>
      <c r="I493" s="21">
        <f t="shared" si="35"/>
        <v>58.067226890756302</v>
      </c>
      <c r="J493" s="21">
        <f t="shared" si="36"/>
        <v>49.364000000000004</v>
      </c>
      <c r="K493" s="21">
        <f t="shared" si="37"/>
        <v>8.703226890756298</v>
      </c>
      <c r="L493" s="8">
        <f t="shared" si="38"/>
        <v>5.3068456650953033</v>
      </c>
      <c r="M493" s="30" t="str">
        <f t="shared" si="39"/>
        <v>February</v>
      </c>
    </row>
    <row r="494" spans="1:13">
      <c r="A494" s="9" t="s">
        <v>866</v>
      </c>
      <c r="B494" s="8">
        <v>12</v>
      </c>
      <c r="C494" s="8" t="s">
        <v>35</v>
      </c>
      <c r="D494" s="8" t="s">
        <v>46</v>
      </c>
      <c r="E494" s="34">
        <v>45394</v>
      </c>
      <c r="F494" s="8">
        <v>201</v>
      </c>
      <c r="G494" s="8">
        <v>77.09</v>
      </c>
      <c r="H494" s="10">
        <v>25.1</v>
      </c>
      <c r="I494" s="21">
        <f t="shared" si="35"/>
        <v>64.781512605042025</v>
      </c>
      <c r="J494" s="21">
        <f t="shared" si="36"/>
        <v>50.451000000000001</v>
      </c>
      <c r="K494" s="21">
        <f t="shared" si="37"/>
        <v>14.330512605042024</v>
      </c>
      <c r="L494" s="8">
        <f t="shared" si="38"/>
        <v>7.129608261214937</v>
      </c>
      <c r="M494" s="30" t="str">
        <f t="shared" si="39"/>
        <v>November</v>
      </c>
    </row>
    <row r="495" spans="1:13">
      <c r="A495" s="9" t="s">
        <v>867</v>
      </c>
      <c r="B495" s="8">
        <v>12</v>
      </c>
      <c r="C495" s="8" t="s">
        <v>35</v>
      </c>
      <c r="D495" s="8" t="s">
        <v>46</v>
      </c>
      <c r="E495" s="34" t="s">
        <v>868</v>
      </c>
      <c r="F495" s="8">
        <v>254</v>
      </c>
      <c r="G495" s="8">
        <v>96.92</v>
      </c>
      <c r="H495" s="10">
        <v>22.94</v>
      </c>
      <c r="I495" s="21">
        <f t="shared" si="35"/>
        <v>81.445378151260513</v>
      </c>
      <c r="J495" s="21">
        <f t="shared" si="36"/>
        <v>58.267600000000002</v>
      </c>
      <c r="K495" s="21">
        <f t="shared" si="37"/>
        <v>23.177778151260512</v>
      </c>
      <c r="L495" s="8">
        <f t="shared" si="38"/>
        <v>9.1251095083702793</v>
      </c>
      <c r="M495" s="30" t="str">
        <f t="shared" si="39"/>
        <v>April</v>
      </c>
    </row>
    <row r="496" spans="1:13">
      <c r="A496" s="9" t="s">
        <v>869</v>
      </c>
      <c r="B496" s="8">
        <v>12</v>
      </c>
      <c r="C496" s="8" t="s">
        <v>51</v>
      </c>
      <c r="D496" s="8" t="s">
        <v>36</v>
      </c>
      <c r="E496" s="34">
        <v>45660</v>
      </c>
      <c r="F496" s="8">
        <v>429</v>
      </c>
      <c r="G496" s="8">
        <v>149.53</v>
      </c>
      <c r="H496" s="10">
        <v>18.23</v>
      </c>
      <c r="I496" s="21">
        <f t="shared" si="35"/>
        <v>125.65546218487395</v>
      </c>
      <c r="J496" s="21">
        <f t="shared" si="36"/>
        <v>78.206699999999998</v>
      </c>
      <c r="K496" s="21">
        <f t="shared" si="37"/>
        <v>47.448762184873956</v>
      </c>
      <c r="L496" s="8">
        <f t="shared" si="38"/>
        <v>11.060317525611644</v>
      </c>
      <c r="M496" s="30" t="str">
        <f t="shared" si="39"/>
        <v>January</v>
      </c>
    </row>
    <row r="497" spans="1:13">
      <c r="A497" s="9" t="s">
        <v>871</v>
      </c>
      <c r="B497" s="8">
        <v>12</v>
      </c>
      <c r="C497" s="8" t="s">
        <v>39</v>
      </c>
      <c r="D497" s="8" t="s">
        <v>56</v>
      </c>
      <c r="E497" s="34">
        <v>45385</v>
      </c>
      <c r="F497" s="8">
        <v>150</v>
      </c>
      <c r="G497" s="8">
        <v>63.27</v>
      </c>
      <c r="H497" s="10">
        <v>28.12</v>
      </c>
      <c r="I497" s="21">
        <f t="shared" si="35"/>
        <v>53.168067226890763</v>
      </c>
      <c r="J497" s="21">
        <f t="shared" si="36"/>
        <v>42.18</v>
      </c>
      <c r="K497" s="21">
        <f t="shared" si="37"/>
        <v>10.988067226890763</v>
      </c>
      <c r="L497" s="8">
        <f t="shared" si="38"/>
        <v>7.3253781512605087</v>
      </c>
      <c r="M497" s="30" t="str">
        <f t="shared" si="39"/>
        <v>February</v>
      </c>
    </row>
    <row r="498" spans="1:13">
      <c r="A498" s="9" t="s">
        <v>873</v>
      </c>
      <c r="B498" s="8">
        <v>24</v>
      </c>
      <c r="C498" s="8" t="s">
        <v>39</v>
      </c>
      <c r="D498" s="8" t="s">
        <v>36</v>
      </c>
      <c r="E498" s="34" t="s">
        <v>874</v>
      </c>
      <c r="F498" s="8">
        <v>132</v>
      </c>
      <c r="G498" s="8">
        <v>57.85</v>
      </c>
      <c r="H498" s="10">
        <v>31.85</v>
      </c>
      <c r="I498" s="21">
        <f t="shared" si="35"/>
        <v>48.613445378151262</v>
      </c>
      <c r="J498" s="21">
        <f t="shared" si="36"/>
        <v>42.042000000000002</v>
      </c>
      <c r="K498" s="21">
        <f t="shared" si="37"/>
        <v>6.5714453781512603</v>
      </c>
      <c r="L498" s="8">
        <f t="shared" si="38"/>
        <v>4.9783677107206517</v>
      </c>
      <c r="M498" s="30" t="str">
        <f t="shared" si="39"/>
        <v>July</v>
      </c>
    </row>
    <row r="499" spans="1:13">
      <c r="A499" s="9" t="s">
        <v>875</v>
      </c>
      <c r="B499" s="8">
        <v>12</v>
      </c>
      <c r="C499" s="8" t="s">
        <v>39</v>
      </c>
      <c r="D499" s="8" t="s">
        <v>36</v>
      </c>
      <c r="E499" s="34">
        <v>45811</v>
      </c>
      <c r="F499" s="8">
        <v>136</v>
      </c>
      <c r="G499" s="8">
        <v>58.46</v>
      </c>
      <c r="H499" s="10">
        <v>30.67</v>
      </c>
      <c r="I499" s="21">
        <f t="shared" si="35"/>
        <v>49.12605042016807</v>
      </c>
      <c r="J499" s="21">
        <f t="shared" si="36"/>
        <v>41.711199999999998</v>
      </c>
      <c r="K499" s="21">
        <f t="shared" si="37"/>
        <v>7.4148504201680723</v>
      </c>
      <c r="L499" s="8">
        <f t="shared" si="38"/>
        <v>5.4520958971824056</v>
      </c>
      <c r="M499" s="30" t="str">
        <f t="shared" si="39"/>
        <v>December</v>
      </c>
    </row>
    <row r="500" spans="1:13">
      <c r="A500" s="9" t="s">
        <v>876</v>
      </c>
      <c r="B500" s="8">
        <v>24</v>
      </c>
      <c r="C500" s="8" t="s">
        <v>35</v>
      </c>
      <c r="D500" s="8" t="s">
        <v>36</v>
      </c>
      <c r="E500" s="34">
        <v>45690</v>
      </c>
      <c r="F500" s="8">
        <v>300</v>
      </c>
      <c r="G500" s="8">
        <v>110.56</v>
      </c>
      <c r="H500" s="10">
        <v>25.73</v>
      </c>
      <c r="I500" s="21">
        <f t="shared" si="35"/>
        <v>92.907563025210095</v>
      </c>
      <c r="J500" s="21">
        <f t="shared" si="36"/>
        <v>77.19</v>
      </c>
      <c r="K500" s="21">
        <f t="shared" si="37"/>
        <v>15.717563025210097</v>
      </c>
      <c r="L500" s="8">
        <f t="shared" si="38"/>
        <v>5.2391876750700321</v>
      </c>
      <c r="M500" s="30" t="str">
        <f t="shared" si="39"/>
        <v>July</v>
      </c>
    </row>
    <row r="501" spans="1:13">
      <c r="A501" s="9" t="s">
        <v>878</v>
      </c>
      <c r="B501" s="8">
        <v>24</v>
      </c>
      <c r="C501" s="8" t="s">
        <v>35</v>
      </c>
      <c r="D501" s="8" t="s">
        <v>36</v>
      </c>
      <c r="E501" s="34" t="s">
        <v>879</v>
      </c>
      <c r="F501" s="8">
        <v>233</v>
      </c>
      <c r="G501" s="8">
        <v>87.91</v>
      </c>
      <c r="H501" s="10">
        <v>23.06</v>
      </c>
      <c r="I501" s="21">
        <f t="shared" si="35"/>
        <v>73.87394957983193</v>
      </c>
      <c r="J501" s="21">
        <f t="shared" si="36"/>
        <v>53.729799999999997</v>
      </c>
      <c r="K501" s="21">
        <f t="shared" si="37"/>
        <v>20.144149579831932</v>
      </c>
      <c r="L501" s="8">
        <f t="shared" si="38"/>
        <v>8.6455577595845199</v>
      </c>
      <c r="M501" s="30" t="str">
        <f t="shared" si="39"/>
        <v>January</v>
      </c>
    </row>
    <row r="502" spans="1:13">
      <c r="A502" s="9" t="s">
        <v>880</v>
      </c>
      <c r="B502" s="8">
        <v>24</v>
      </c>
      <c r="C502" s="8" t="s">
        <v>39</v>
      </c>
      <c r="D502" s="8" t="s">
        <v>36</v>
      </c>
      <c r="E502" s="34" t="s">
        <v>100</v>
      </c>
      <c r="F502" s="8">
        <v>160</v>
      </c>
      <c r="G502" s="8">
        <v>69.95</v>
      </c>
      <c r="H502" s="10">
        <v>30.45</v>
      </c>
      <c r="I502" s="21">
        <f t="shared" si="35"/>
        <v>58.781512605042025</v>
      </c>
      <c r="J502" s="21">
        <f t="shared" si="36"/>
        <v>48.72</v>
      </c>
      <c r="K502" s="21">
        <f t="shared" si="37"/>
        <v>10.061512605042026</v>
      </c>
      <c r="L502" s="8">
        <f t="shared" si="38"/>
        <v>6.288445378151267</v>
      </c>
      <c r="M502" s="30" t="str">
        <f t="shared" si="39"/>
        <v>January</v>
      </c>
    </row>
    <row r="503" spans="1:13">
      <c r="A503" s="9" t="s">
        <v>881</v>
      </c>
      <c r="B503" s="8">
        <v>12</v>
      </c>
      <c r="C503" s="8" t="s">
        <v>51</v>
      </c>
      <c r="D503" s="8" t="s">
        <v>46</v>
      </c>
      <c r="E503" s="34">
        <v>45721</v>
      </c>
      <c r="F503" s="8">
        <v>511</v>
      </c>
      <c r="G503" s="8">
        <v>167.91</v>
      </c>
      <c r="H503" s="10">
        <v>21.89</v>
      </c>
      <c r="I503" s="21">
        <f t="shared" si="35"/>
        <v>141.10084033613447</v>
      </c>
      <c r="J503" s="21">
        <f t="shared" si="36"/>
        <v>111.85790000000001</v>
      </c>
      <c r="K503" s="21">
        <f t="shared" si="37"/>
        <v>29.242940336134453</v>
      </c>
      <c r="L503" s="8">
        <f t="shared" si="38"/>
        <v>5.7226889111809109</v>
      </c>
      <c r="M503" s="30" t="str">
        <f t="shared" si="39"/>
        <v>October</v>
      </c>
    </row>
    <row r="504" spans="1:13">
      <c r="A504" s="9" t="s">
        <v>882</v>
      </c>
      <c r="B504" s="8">
        <v>12</v>
      </c>
      <c r="C504" s="8" t="s">
        <v>39</v>
      </c>
      <c r="D504" s="8" t="s">
        <v>36</v>
      </c>
      <c r="E504" s="34">
        <v>45474</v>
      </c>
      <c r="F504" s="8">
        <v>96</v>
      </c>
      <c r="G504" s="8">
        <v>46.22</v>
      </c>
      <c r="H504" s="10">
        <v>29.27</v>
      </c>
      <c r="I504" s="21">
        <f t="shared" si="35"/>
        <v>38.840336134453786</v>
      </c>
      <c r="J504" s="21">
        <f t="shared" si="36"/>
        <v>28.0992</v>
      </c>
      <c r="K504" s="21">
        <f t="shared" si="37"/>
        <v>10.741136134453786</v>
      </c>
      <c r="L504" s="8">
        <f t="shared" si="38"/>
        <v>11.188683473389361</v>
      </c>
      <c r="M504" s="30" t="str">
        <f t="shared" si="39"/>
        <v>March</v>
      </c>
    </row>
    <row r="505" spans="1:13">
      <c r="A505" s="9" t="s">
        <v>883</v>
      </c>
      <c r="B505" s="8">
        <v>24</v>
      </c>
      <c r="C505" s="8" t="s">
        <v>35</v>
      </c>
      <c r="D505" s="8" t="s">
        <v>36</v>
      </c>
      <c r="E505" s="34" t="s">
        <v>884</v>
      </c>
      <c r="F505" s="8">
        <v>282</v>
      </c>
      <c r="G505" s="8">
        <v>104.6</v>
      </c>
      <c r="H505" s="10">
        <v>25.39</v>
      </c>
      <c r="I505" s="21">
        <f t="shared" si="35"/>
        <v>87.899159663865547</v>
      </c>
      <c r="J505" s="21">
        <f t="shared" si="36"/>
        <v>71.599800000000002</v>
      </c>
      <c r="K505" s="21">
        <f t="shared" si="37"/>
        <v>16.299359663865545</v>
      </c>
      <c r="L505" s="8">
        <f t="shared" si="38"/>
        <v>5.7799147744204058</v>
      </c>
      <c r="M505" s="30" t="str">
        <f t="shared" si="39"/>
        <v>December</v>
      </c>
    </row>
    <row r="506" spans="1:13">
      <c r="A506" s="9" t="s">
        <v>885</v>
      </c>
      <c r="B506" s="8">
        <v>24</v>
      </c>
      <c r="C506" s="8" t="s">
        <v>35</v>
      </c>
      <c r="D506" s="8" t="s">
        <v>36</v>
      </c>
      <c r="E506" s="34">
        <v>45302</v>
      </c>
      <c r="F506" s="8">
        <v>299</v>
      </c>
      <c r="G506" s="8">
        <v>112.85</v>
      </c>
      <c r="H506" s="10">
        <v>25.79</v>
      </c>
      <c r="I506" s="21">
        <f t="shared" si="35"/>
        <v>94.831932773109244</v>
      </c>
      <c r="J506" s="21">
        <f t="shared" si="36"/>
        <v>77.112099999999998</v>
      </c>
      <c r="K506" s="21">
        <f t="shared" si="37"/>
        <v>17.719832773109246</v>
      </c>
      <c r="L506" s="8">
        <f t="shared" si="38"/>
        <v>5.9263654759562696</v>
      </c>
      <c r="M506" s="30" t="str">
        <f t="shared" si="39"/>
        <v>March</v>
      </c>
    </row>
    <row r="507" spans="1:13">
      <c r="A507" s="9" t="s">
        <v>886</v>
      </c>
      <c r="B507" s="8">
        <v>12</v>
      </c>
      <c r="C507" s="8" t="s">
        <v>51</v>
      </c>
      <c r="D507" s="8" t="s">
        <v>36</v>
      </c>
      <c r="E507" s="34">
        <v>45718</v>
      </c>
      <c r="F507" s="8">
        <v>439</v>
      </c>
      <c r="G507" s="8">
        <v>144.49</v>
      </c>
      <c r="H507" s="10">
        <v>20.92</v>
      </c>
      <c r="I507" s="21">
        <f t="shared" si="35"/>
        <v>121.42016806722691</v>
      </c>
      <c r="J507" s="21">
        <f t="shared" si="36"/>
        <v>91.838800000000006</v>
      </c>
      <c r="K507" s="21">
        <f t="shared" si="37"/>
        <v>29.581368067226904</v>
      </c>
      <c r="L507" s="8">
        <f t="shared" si="38"/>
        <v>6.7383526349036229</v>
      </c>
      <c r="M507" s="30" t="str">
        <f t="shared" si="39"/>
        <v>July</v>
      </c>
    </row>
    <row r="508" spans="1:13">
      <c r="A508" s="9" t="s">
        <v>887</v>
      </c>
      <c r="B508" s="8">
        <v>24</v>
      </c>
      <c r="C508" s="8" t="s">
        <v>35</v>
      </c>
      <c r="D508" s="8" t="s">
        <v>56</v>
      </c>
      <c r="E508" s="34">
        <v>45780</v>
      </c>
      <c r="F508" s="8">
        <v>309</v>
      </c>
      <c r="G508" s="8">
        <v>119.27</v>
      </c>
      <c r="H508" s="10">
        <v>24.96</v>
      </c>
      <c r="I508" s="21">
        <f t="shared" si="35"/>
        <v>100.22689075630252</v>
      </c>
      <c r="J508" s="21">
        <f t="shared" si="36"/>
        <v>77.126400000000004</v>
      </c>
      <c r="K508" s="21">
        <f t="shared" si="37"/>
        <v>23.10049075630252</v>
      </c>
      <c r="L508" s="8">
        <f t="shared" si="38"/>
        <v>7.4758869761496829</v>
      </c>
      <c r="M508" s="30" t="str">
        <f t="shared" si="39"/>
        <v>September</v>
      </c>
    </row>
    <row r="509" spans="1:13">
      <c r="A509" s="9" t="s">
        <v>888</v>
      </c>
      <c r="B509" s="8">
        <v>24</v>
      </c>
      <c r="C509" s="8" t="s">
        <v>51</v>
      </c>
      <c r="D509" s="8" t="s">
        <v>36</v>
      </c>
      <c r="E509" s="37">
        <v>45517</v>
      </c>
      <c r="F509" s="8">
        <v>636</v>
      </c>
      <c r="G509" s="8">
        <v>201.03</v>
      </c>
      <c r="H509" s="10">
        <v>0.19</v>
      </c>
      <c r="I509" s="21">
        <f t="shared" si="35"/>
        <v>168.9327731092437</v>
      </c>
      <c r="J509" s="21">
        <f t="shared" si="36"/>
        <v>1.2084000000000001</v>
      </c>
      <c r="K509" s="21">
        <f t="shared" si="37"/>
        <v>167.72437310924369</v>
      </c>
      <c r="L509" s="8">
        <f t="shared" si="38"/>
        <v>26.37175677818297</v>
      </c>
      <c r="M509" s="30" t="str">
        <f t="shared" si="39"/>
        <v>June</v>
      </c>
    </row>
    <row r="510" spans="1:13">
      <c r="A510" s="9" t="s">
        <v>890</v>
      </c>
      <c r="B510" s="8">
        <v>24</v>
      </c>
      <c r="C510" s="8" t="s">
        <v>39</v>
      </c>
      <c r="D510" s="8" t="s">
        <v>36</v>
      </c>
      <c r="E510" s="37">
        <v>45791</v>
      </c>
      <c r="F510" s="8">
        <v>106</v>
      </c>
      <c r="G510" s="8">
        <v>51.38</v>
      </c>
      <c r="H510" s="10">
        <v>31.13</v>
      </c>
      <c r="I510" s="21">
        <f t="shared" si="35"/>
        <v>43.176470588235297</v>
      </c>
      <c r="J510" s="21">
        <f t="shared" si="36"/>
        <v>32.997799999999998</v>
      </c>
      <c r="K510" s="21">
        <f t="shared" si="37"/>
        <v>10.178670588235299</v>
      </c>
      <c r="L510" s="8">
        <f t="shared" si="38"/>
        <v>9.6025194228634891</v>
      </c>
      <c r="M510" s="30" t="str">
        <f t="shared" si="39"/>
        <v>August</v>
      </c>
    </row>
    <row r="511" spans="1:13">
      <c r="A511" s="9" t="s">
        <v>892</v>
      </c>
      <c r="B511" s="8">
        <v>24</v>
      </c>
      <c r="C511" s="8" t="s">
        <v>51</v>
      </c>
      <c r="D511" s="8" t="s">
        <v>36</v>
      </c>
      <c r="E511" s="34">
        <v>45634</v>
      </c>
      <c r="F511" s="8">
        <v>662</v>
      </c>
      <c r="G511" s="8">
        <v>232.78</v>
      </c>
      <c r="H511" s="10">
        <v>21.32</v>
      </c>
      <c r="I511" s="21">
        <f t="shared" si="35"/>
        <v>195.61344537815128</v>
      </c>
      <c r="J511" s="21">
        <f t="shared" si="36"/>
        <v>141.13839999999999</v>
      </c>
      <c r="K511" s="21">
        <f t="shared" si="37"/>
        <v>54.475045378151293</v>
      </c>
      <c r="L511" s="8">
        <f t="shared" si="38"/>
        <v>8.2288588184518563</v>
      </c>
      <c r="M511" s="30" t="str">
        <f t="shared" si="39"/>
        <v>November</v>
      </c>
    </row>
    <row r="512" spans="1:13">
      <c r="A512" s="9" t="s">
        <v>893</v>
      </c>
      <c r="B512" s="8">
        <v>24</v>
      </c>
      <c r="C512" s="8" t="s">
        <v>39</v>
      </c>
      <c r="D512" s="8" t="s">
        <v>36</v>
      </c>
      <c r="E512" s="34">
        <v>45453</v>
      </c>
      <c r="F512" s="8">
        <v>95</v>
      </c>
      <c r="G512" s="8">
        <v>43.29</v>
      </c>
      <c r="H512" s="10">
        <v>28.04</v>
      </c>
      <c r="I512" s="21">
        <f t="shared" si="35"/>
        <v>36.378151260504204</v>
      </c>
      <c r="J512" s="21">
        <f t="shared" si="36"/>
        <v>26.637999999999998</v>
      </c>
      <c r="K512" s="21">
        <f t="shared" si="37"/>
        <v>9.7401512605042058</v>
      </c>
      <c r="L512" s="8">
        <f t="shared" si="38"/>
        <v>10.252790800530743</v>
      </c>
      <c r="M512" s="30" t="str">
        <f t="shared" si="39"/>
        <v>June</v>
      </c>
    </row>
    <row r="513" spans="1:13">
      <c r="A513" s="9" t="s">
        <v>895</v>
      </c>
      <c r="B513" s="8">
        <v>12</v>
      </c>
      <c r="C513" s="8" t="s">
        <v>51</v>
      </c>
      <c r="D513" s="8" t="s">
        <v>36</v>
      </c>
      <c r="E513" s="34" t="s">
        <v>691</v>
      </c>
      <c r="F513" s="8">
        <v>400</v>
      </c>
      <c r="G513" s="8">
        <v>135.93</v>
      </c>
      <c r="H513" s="10">
        <v>20.079999999999998</v>
      </c>
      <c r="I513" s="21">
        <f t="shared" si="35"/>
        <v>114.22689075630254</v>
      </c>
      <c r="J513" s="21">
        <f t="shared" si="36"/>
        <v>80.319999999999993</v>
      </c>
      <c r="K513" s="21">
        <f t="shared" si="37"/>
        <v>33.906890756302545</v>
      </c>
      <c r="L513" s="8">
        <f t="shared" si="38"/>
        <v>8.4767226890756362</v>
      </c>
      <c r="M513" s="30" t="str">
        <f t="shared" si="39"/>
        <v>March</v>
      </c>
    </row>
    <row r="514" spans="1:13">
      <c r="A514" s="9" t="s">
        <v>896</v>
      </c>
      <c r="B514" s="8">
        <v>24</v>
      </c>
      <c r="C514" s="8" t="s">
        <v>35</v>
      </c>
      <c r="D514" s="8" t="s">
        <v>46</v>
      </c>
      <c r="E514" s="34">
        <v>45996</v>
      </c>
      <c r="F514" s="8">
        <v>198</v>
      </c>
      <c r="G514" s="8">
        <v>78.06</v>
      </c>
      <c r="H514" s="10">
        <v>26.82</v>
      </c>
      <c r="I514" s="21">
        <f t="shared" ref="I514:I577" si="40">G514/1.19</f>
        <v>65.596638655462186</v>
      </c>
      <c r="J514" s="21">
        <f t="shared" ref="J514:J577" si="41">F514*H514/100</f>
        <v>53.1036</v>
      </c>
      <c r="K514" s="21">
        <f t="shared" ref="K514:K577" si="42">I514-J514</f>
        <v>12.493038655462186</v>
      </c>
      <c r="L514" s="8">
        <f t="shared" ref="L514:L577" si="43">IF(F514=0,"",K514/F514*100)</f>
        <v>6.3096154825566604</v>
      </c>
      <c r="M514" s="30" t="str">
        <f t="shared" ref="M514:M577" si="44">TEXT(DATE(RIGHT(E514,4),MID(E514,4,2),LEFT(E514,2)),"mmmm")</f>
        <v>January</v>
      </c>
    </row>
    <row r="515" spans="1:13">
      <c r="A515" s="9" t="s">
        <v>897</v>
      </c>
      <c r="B515" s="8">
        <v>24</v>
      </c>
      <c r="C515" s="8" t="s">
        <v>51</v>
      </c>
      <c r="D515" s="8" t="s">
        <v>56</v>
      </c>
      <c r="E515" s="34" t="s">
        <v>898</v>
      </c>
      <c r="F515" s="8">
        <v>632</v>
      </c>
      <c r="G515" s="8">
        <v>216.13</v>
      </c>
      <c r="H515" s="10">
        <v>19.61</v>
      </c>
      <c r="I515" s="21">
        <f t="shared" si="40"/>
        <v>181.62184873949579</v>
      </c>
      <c r="J515" s="21">
        <f t="shared" si="41"/>
        <v>123.93520000000001</v>
      </c>
      <c r="K515" s="21">
        <f t="shared" si="42"/>
        <v>57.68664873949578</v>
      </c>
      <c r="L515" s="8">
        <f t="shared" si="43"/>
        <v>9.1276342942240163</v>
      </c>
      <c r="M515" s="30" t="str">
        <f t="shared" si="44"/>
        <v>January</v>
      </c>
    </row>
    <row r="516" spans="1:13">
      <c r="A516" s="9" t="s">
        <v>899</v>
      </c>
      <c r="B516" s="8">
        <v>12</v>
      </c>
      <c r="C516" s="8" t="s">
        <v>35</v>
      </c>
      <c r="D516" s="8" t="s">
        <v>36</v>
      </c>
      <c r="E516" s="34">
        <v>45690</v>
      </c>
      <c r="F516" s="8">
        <v>276</v>
      </c>
      <c r="G516" s="8">
        <v>104.27</v>
      </c>
      <c r="H516" s="10">
        <v>25.96</v>
      </c>
      <c r="I516" s="21">
        <f t="shared" si="40"/>
        <v>87.621848739495803</v>
      </c>
      <c r="J516" s="21">
        <f t="shared" si="41"/>
        <v>71.649600000000007</v>
      </c>
      <c r="K516" s="21">
        <f t="shared" si="42"/>
        <v>15.972248739495797</v>
      </c>
      <c r="L516" s="8">
        <f t="shared" si="43"/>
        <v>5.7870466447448541</v>
      </c>
      <c r="M516" s="30" t="str">
        <f t="shared" si="44"/>
        <v>July</v>
      </c>
    </row>
    <row r="517" spans="1:13">
      <c r="A517" s="9" t="s">
        <v>900</v>
      </c>
      <c r="B517" s="8">
        <v>12</v>
      </c>
      <c r="C517" s="8" t="s">
        <v>35</v>
      </c>
      <c r="D517" s="8" t="s">
        <v>46</v>
      </c>
      <c r="E517" s="34">
        <v>45577</v>
      </c>
      <c r="F517" s="8">
        <v>192</v>
      </c>
      <c r="G517" s="8">
        <v>75.069999999999993</v>
      </c>
      <c r="H517" s="10">
        <v>23.25</v>
      </c>
      <c r="I517" s="21">
        <f t="shared" si="40"/>
        <v>63.084033613445378</v>
      </c>
      <c r="J517" s="21">
        <f t="shared" si="41"/>
        <v>44.64</v>
      </c>
      <c r="K517" s="21">
        <f t="shared" si="42"/>
        <v>18.444033613445377</v>
      </c>
      <c r="L517" s="8">
        <f t="shared" si="43"/>
        <v>9.6062675070028014</v>
      </c>
      <c r="M517" s="30" t="str">
        <f t="shared" si="44"/>
        <v>June</v>
      </c>
    </row>
    <row r="518" spans="1:13">
      <c r="A518" s="9" t="s">
        <v>901</v>
      </c>
      <c r="B518" s="8">
        <v>12</v>
      </c>
      <c r="C518" s="8" t="s">
        <v>35</v>
      </c>
      <c r="D518" s="8" t="s">
        <v>46</v>
      </c>
      <c r="E518" s="37">
        <v>45706</v>
      </c>
      <c r="F518" s="8">
        <v>240</v>
      </c>
      <c r="G518" s="8">
        <v>91.01</v>
      </c>
      <c r="H518" s="10">
        <v>23.36</v>
      </c>
      <c r="I518" s="21">
        <f t="shared" si="40"/>
        <v>76.478991596638664</v>
      </c>
      <c r="J518" s="21">
        <f t="shared" si="41"/>
        <v>56.063999999999993</v>
      </c>
      <c r="K518" s="21">
        <f t="shared" si="42"/>
        <v>20.414991596638671</v>
      </c>
      <c r="L518" s="8">
        <f t="shared" si="43"/>
        <v>8.506246498599447</v>
      </c>
      <c r="M518" s="30" t="str">
        <f t="shared" si="44"/>
        <v>July</v>
      </c>
    </row>
    <row r="519" spans="1:13">
      <c r="A519" s="9" t="s">
        <v>903</v>
      </c>
      <c r="B519" s="8">
        <v>24</v>
      </c>
      <c r="C519" s="8" t="s">
        <v>35</v>
      </c>
      <c r="D519" s="8" t="s">
        <v>56</v>
      </c>
      <c r="E519" s="34" t="s">
        <v>310</v>
      </c>
      <c r="F519" s="8">
        <v>269</v>
      </c>
      <c r="G519" s="8">
        <v>109.17</v>
      </c>
      <c r="H519" s="10">
        <v>24.32</v>
      </c>
      <c r="I519" s="21">
        <f t="shared" si="40"/>
        <v>91.739495798319339</v>
      </c>
      <c r="J519" s="21">
        <f t="shared" si="41"/>
        <v>65.4208</v>
      </c>
      <c r="K519" s="21">
        <f t="shared" si="42"/>
        <v>26.318695798319339</v>
      </c>
      <c r="L519" s="8">
        <f t="shared" si="43"/>
        <v>9.7839017837618361</v>
      </c>
      <c r="M519" s="30" t="str">
        <f t="shared" si="44"/>
        <v>June</v>
      </c>
    </row>
    <row r="520" spans="1:13">
      <c r="A520" s="9" t="s">
        <v>904</v>
      </c>
      <c r="B520" s="8">
        <v>24</v>
      </c>
      <c r="C520" s="8" t="s">
        <v>39</v>
      </c>
      <c r="D520" s="8" t="s">
        <v>36</v>
      </c>
      <c r="E520" s="34" t="s">
        <v>389</v>
      </c>
      <c r="F520" s="8">
        <v>90</v>
      </c>
      <c r="G520" s="8">
        <v>40.82</v>
      </c>
      <c r="H520" s="10">
        <v>29.77</v>
      </c>
      <c r="I520" s="21">
        <f t="shared" si="40"/>
        <v>34.30252100840336</v>
      </c>
      <c r="J520" s="21">
        <f t="shared" si="41"/>
        <v>26.793000000000003</v>
      </c>
      <c r="K520" s="21">
        <f t="shared" si="42"/>
        <v>7.5095210084033575</v>
      </c>
      <c r="L520" s="8">
        <f t="shared" si="43"/>
        <v>8.3439122315592869</v>
      </c>
      <c r="M520" s="30" t="str">
        <f t="shared" si="44"/>
        <v>April</v>
      </c>
    </row>
    <row r="521" spans="1:13">
      <c r="A521" s="9" t="s">
        <v>905</v>
      </c>
      <c r="B521" s="8">
        <v>12</v>
      </c>
      <c r="C521" s="8" t="s">
        <v>39</v>
      </c>
      <c r="D521" s="8" t="s">
        <v>36</v>
      </c>
      <c r="E521" s="34">
        <v>45570</v>
      </c>
      <c r="F521" s="8">
        <v>157</v>
      </c>
      <c r="G521" s="8">
        <v>64.760000000000005</v>
      </c>
      <c r="H521" s="10">
        <v>29.04</v>
      </c>
      <c r="I521" s="21">
        <f t="shared" si="40"/>
        <v>54.420168067226896</v>
      </c>
      <c r="J521" s="21">
        <f t="shared" si="41"/>
        <v>45.592799999999997</v>
      </c>
      <c r="K521" s="21">
        <f t="shared" si="42"/>
        <v>8.8273680672268995</v>
      </c>
      <c r="L521" s="8">
        <f t="shared" si="43"/>
        <v>5.6225274313547136</v>
      </c>
      <c r="M521" s="30" t="str">
        <f t="shared" si="44"/>
        <v>November</v>
      </c>
    </row>
    <row r="522" spans="1:13">
      <c r="A522" s="9" t="s">
        <v>906</v>
      </c>
      <c r="B522" s="8">
        <v>24</v>
      </c>
      <c r="C522" s="8" t="s">
        <v>39</v>
      </c>
      <c r="D522" s="8" t="s">
        <v>36</v>
      </c>
      <c r="E522" s="34" t="s">
        <v>71</v>
      </c>
      <c r="F522" s="8">
        <v>150</v>
      </c>
      <c r="G522" s="8">
        <v>65.63</v>
      </c>
      <c r="H522" s="10">
        <v>29.37</v>
      </c>
      <c r="I522" s="21">
        <f t="shared" si="40"/>
        <v>55.15126050420168</v>
      </c>
      <c r="J522" s="21">
        <f t="shared" si="41"/>
        <v>44.055</v>
      </c>
      <c r="K522" s="21">
        <f t="shared" si="42"/>
        <v>11.09626050420168</v>
      </c>
      <c r="L522" s="8">
        <f t="shared" si="43"/>
        <v>7.3975070028011212</v>
      </c>
      <c r="M522" s="30" t="str">
        <f t="shared" si="44"/>
        <v>January</v>
      </c>
    </row>
    <row r="523" spans="1:13">
      <c r="A523" s="9" t="s">
        <v>907</v>
      </c>
      <c r="B523" s="8">
        <v>12</v>
      </c>
      <c r="C523" s="8" t="s">
        <v>39</v>
      </c>
      <c r="D523" s="8" t="s">
        <v>46</v>
      </c>
      <c r="E523" s="34">
        <v>45840</v>
      </c>
      <c r="F523" s="8">
        <v>125</v>
      </c>
      <c r="G523" s="8">
        <v>55.22</v>
      </c>
      <c r="H523" s="10">
        <v>31.34</v>
      </c>
      <c r="I523" s="21">
        <f t="shared" si="40"/>
        <v>46.403361344537814</v>
      </c>
      <c r="J523" s="21">
        <f t="shared" si="41"/>
        <v>39.174999999999997</v>
      </c>
      <c r="K523" s="21">
        <f t="shared" si="42"/>
        <v>7.2283613445378165</v>
      </c>
      <c r="L523" s="8">
        <f t="shared" si="43"/>
        <v>5.7826890756302536</v>
      </c>
      <c r="M523" s="30" t="str">
        <f t="shared" si="44"/>
        <v>May</v>
      </c>
    </row>
    <row r="524" spans="1:13">
      <c r="A524" s="9" t="s">
        <v>909</v>
      </c>
      <c r="B524" s="8">
        <v>24</v>
      </c>
      <c r="C524" s="8" t="s">
        <v>51</v>
      </c>
      <c r="D524" s="8" t="s">
        <v>56</v>
      </c>
      <c r="E524" s="34" t="s">
        <v>71</v>
      </c>
      <c r="F524" s="8">
        <v>656</v>
      </c>
      <c r="G524" s="8">
        <v>227.45</v>
      </c>
      <c r="H524" s="10">
        <v>21.18</v>
      </c>
      <c r="I524" s="21">
        <f t="shared" si="40"/>
        <v>191.1344537815126</v>
      </c>
      <c r="J524" s="21">
        <f t="shared" si="41"/>
        <v>138.9408</v>
      </c>
      <c r="K524" s="21">
        <f t="shared" si="42"/>
        <v>52.193653781512609</v>
      </c>
      <c r="L524" s="8">
        <f t="shared" si="43"/>
        <v>7.9563496618159464</v>
      </c>
      <c r="M524" s="30" t="str">
        <f t="shared" si="44"/>
        <v>January</v>
      </c>
    </row>
    <row r="525" spans="1:13">
      <c r="A525" s="9" t="s">
        <v>910</v>
      </c>
      <c r="B525" s="8">
        <v>24</v>
      </c>
      <c r="C525" s="8" t="s">
        <v>39</v>
      </c>
      <c r="D525" s="8" t="s">
        <v>36</v>
      </c>
      <c r="E525" s="34" t="s">
        <v>911</v>
      </c>
      <c r="F525" s="8">
        <v>118</v>
      </c>
      <c r="G525" s="8">
        <v>56.15</v>
      </c>
      <c r="H525" s="10">
        <v>28.74</v>
      </c>
      <c r="I525" s="21">
        <f t="shared" si="40"/>
        <v>47.184873949579831</v>
      </c>
      <c r="J525" s="21">
        <f t="shared" si="41"/>
        <v>33.913199999999996</v>
      </c>
      <c r="K525" s="21">
        <f t="shared" si="42"/>
        <v>13.271673949579835</v>
      </c>
      <c r="L525" s="8">
        <f t="shared" si="43"/>
        <v>11.247181313203249</v>
      </c>
      <c r="M525" s="30" t="str">
        <f t="shared" si="44"/>
        <v>March</v>
      </c>
    </row>
    <row r="526" spans="1:13">
      <c r="A526" s="9" t="s">
        <v>912</v>
      </c>
      <c r="B526" s="8">
        <v>24</v>
      </c>
      <c r="C526" s="8" t="s">
        <v>51</v>
      </c>
      <c r="D526" s="8" t="s">
        <v>36</v>
      </c>
      <c r="E526" s="34" t="s">
        <v>206</v>
      </c>
      <c r="F526" s="8">
        <v>662</v>
      </c>
      <c r="G526" s="8">
        <v>225.77</v>
      </c>
      <c r="H526" s="10">
        <v>18.36</v>
      </c>
      <c r="I526" s="21">
        <f t="shared" si="40"/>
        <v>189.72268907563026</v>
      </c>
      <c r="J526" s="21">
        <f t="shared" si="41"/>
        <v>121.5432</v>
      </c>
      <c r="K526" s="21">
        <f t="shared" si="42"/>
        <v>68.179489075630258</v>
      </c>
      <c r="L526" s="8">
        <f t="shared" si="43"/>
        <v>10.299016476681308</v>
      </c>
      <c r="M526" s="30" t="str">
        <f t="shared" si="44"/>
        <v>March</v>
      </c>
    </row>
    <row r="527" spans="1:13">
      <c r="A527" s="9" t="s">
        <v>913</v>
      </c>
      <c r="B527" s="8">
        <v>12</v>
      </c>
      <c r="C527" s="8" t="s">
        <v>39</v>
      </c>
      <c r="D527" s="8" t="s">
        <v>56</v>
      </c>
      <c r="E527" s="34" t="s">
        <v>914</v>
      </c>
      <c r="F527" s="8">
        <v>139</v>
      </c>
      <c r="G527" s="8">
        <v>60.75</v>
      </c>
      <c r="H527" s="10">
        <v>31.71</v>
      </c>
      <c r="I527" s="21">
        <f t="shared" si="40"/>
        <v>51.050420168067227</v>
      </c>
      <c r="J527" s="21">
        <f t="shared" si="41"/>
        <v>44.076900000000002</v>
      </c>
      <c r="K527" s="21">
        <f t="shared" si="42"/>
        <v>6.9735201680672247</v>
      </c>
      <c r="L527" s="8">
        <f t="shared" si="43"/>
        <v>5.0169209842210254</v>
      </c>
      <c r="M527" s="30" t="str">
        <f t="shared" si="44"/>
        <v>May</v>
      </c>
    </row>
    <row r="528" spans="1:13">
      <c r="A528" s="9" t="s">
        <v>915</v>
      </c>
      <c r="B528" s="8">
        <v>12</v>
      </c>
      <c r="C528" s="8" t="s">
        <v>39</v>
      </c>
      <c r="D528" s="8" t="s">
        <v>56</v>
      </c>
      <c r="E528" s="34" t="s">
        <v>916</v>
      </c>
      <c r="F528" s="8">
        <v>136</v>
      </c>
      <c r="G528" s="8">
        <v>58.98</v>
      </c>
      <c r="H528" s="10">
        <v>28.25</v>
      </c>
      <c r="I528" s="21">
        <f t="shared" si="40"/>
        <v>49.563025210084035</v>
      </c>
      <c r="J528" s="21">
        <f t="shared" si="41"/>
        <v>38.42</v>
      </c>
      <c r="K528" s="21">
        <f t="shared" si="42"/>
        <v>11.143025210084033</v>
      </c>
      <c r="L528" s="8">
        <f t="shared" si="43"/>
        <v>8.1934008897676716</v>
      </c>
      <c r="M528" s="30" t="str">
        <f t="shared" si="44"/>
        <v>April</v>
      </c>
    </row>
    <row r="529" spans="1:13">
      <c r="A529" s="9" t="s">
        <v>917</v>
      </c>
      <c r="B529" s="8">
        <v>12</v>
      </c>
      <c r="C529" s="8" t="s">
        <v>51</v>
      </c>
      <c r="D529" s="8" t="s">
        <v>56</v>
      </c>
      <c r="E529" s="34">
        <v>45419</v>
      </c>
      <c r="F529" s="8">
        <v>388</v>
      </c>
      <c r="G529" s="8">
        <v>136.16</v>
      </c>
      <c r="H529" s="10">
        <v>16.96</v>
      </c>
      <c r="I529" s="21">
        <f t="shared" si="40"/>
        <v>114.4201680672269</v>
      </c>
      <c r="J529" s="21">
        <f t="shared" si="41"/>
        <v>65.8048</v>
      </c>
      <c r="K529" s="21">
        <f t="shared" si="42"/>
        <v>48.615368067226896</v>
      </c>
      <c r="L529" s="8">
        <f t="shared" si="43"/>
        <v>12.529734037945076</v>
      </c>
      <c r="M529" s="30" t="str">
        <f t="shared" si="44"/>
        <v>August</v>
      </c>
    </row>
    <row r="530" spans="1:13">
      <c r="A530" s="9" t="s">
        <v>919</v>
      </c>
      <c r="B530" s="8">
        <v>12</v>
      </c>
      <c r="C530" s="8" t="s">
        <v>35</v>
      </c>
      <c r="D530" s="8" t="s">
        <v>46</v>
      </c>
      <c r="E530" s="37">
        <v>45343</v>
      </c>
      <c r="F530" s="8">
        <v>313</v>
      </c>
      <c r="G530" s="8">
        <v>116.86</v>
      </c>
      <c r="H530" s="10">
        <v>22.65</v>
      </c>
      <c r="I530" s="21">
        <f t="shared" si="40"/>
        <v>98.201680672268907</v>
      </c>
      <c r="J530" s="21">
        <f t="shared" si="41"/>
        <v>70.894499999999994</v>
      </c>
      <c r="K530" s="21">
        <f t="shared" si="42"/>
        <v>27.307180672268913</v>
      </c>
      <c r="L530" s="8">
        <f t="shared" si="43"/>
        <v>8.7243388729293656</v>
      </c>
      <c r="M530" s="30" t="str">
        <f t="shared" si="44"/>
        <v>August</v>
      </c>
    </row>
    <row r="531" spans="1:13">
      <c r="A531" s="9" t="s">
        <v>921</v>
      </c>
      <c r="B531" s="8">
        <v>24</v>
      </c>
      <c r="C531" s="8" t="s">
        <v>35</v>
      </c>
      <c r="D531" s="8" t="s">
        <v>36</v>
      </c>
      <c r="E531" s="34" t="s">
        <v>922</v>
      </c>
      <c r="F531" s="8">
        <v>238</v>
      </c>
      <c r="G531" s="8">
        <v>89.95</v>
      </c>
      <c r="H531" s="10">
        <v>24.38</v>
      </c>
      <c r="I531" s="21">
        <f t="shared" si="40"/>
        <v>75.588235294117652</v>
      </c>
      <c r="J531" s="21">
        <f t="shared" si="41"/>
        <v>58.024399999999993</v>
      </c>
      <c r="K531" s="21">
        <f t="shared" si="42"/>
        <v>17.563835294117659</v>
      </c>
      <c r="L531" s="8">
        <f t="shared" si="43"/>
        <v>7.3797627286208662</v>
      </c>
      <c r="M531" s="30" t="str">
        <f t="shared" si="44"/>
        <v>September</v>
      </c>
    </row>
    <row r="532" spans="1:13">
      <c r="A532" s="9" t="s">
        <v>923</v>
      </c>
      <c r="B532" s="8">
        <v>24</v>
      </c>
      <c r="C532" s="8" t="s">
        <v>35</v>
      </c>
      <c r="D532" s="8" t="s">
        <v>46</v>
      </c>
      <c r="E532" s="34" t="s">
        <v>164</v>
      </c>
      <c r="F532" s="8">
        <v>194</v>
      </c>
      <c r="G532" s="8">
        <v>74.930000000000007</v>
      </c>
      <c r="H532" s="10">
        <v>22.6</v>
      </c>
      <c r="I532" s="21">
        <f t="shared" si="40"/>
        <v>62.966386554621856</v>
      </c>
      <c r="J532" s="21">
        <f t="shared" si="41"/>
        <v>43.844000000000008</v>
      </c>
      <c r="K532" s="21">
        <f t="shared" si="42"/>
        <v>19.122386554621848</v>
      </c>
      <c r="L532" s="8">
        <f t="shared" si="43"/>
        <v>9.8569002858875496</v>
      </c>
      <c r="M532" s="30" t="str">
        <f t="shared" si="44"/>
        <v>January</v>
      </c>
    </row>
    <row r="533" spans="1:13">
      <c r="A533" s="9" t="s">
        <v>924</v>
      </c>
      <c r="B533" s="8">
        <v>24</v>
      </c>
      <c r="C533" s="8" t="s">
        <v>35</v>
      </c>
      <c r="D533" s="8" t="s">
        <v>46</v>
      </c>
      <c r="E533" s="37">
        <v>45627</v>
      </c>
      <c r="F533" s="8">
        <v>169</v>
      </c>
      <c r="G533" s="8">
        <v>66.569999999999993</v>
      </c>
      <c r="H533" s="10">
        <v>0.26</v>
      </c>
      <c r="I533" s="21">
        <f t="shared" si="40"/>
        <v>55.941176470588232</v>
      </c>
      <c r="J533" s="21">
        <f t="shared" si="41"/>
        <v>0.43940000000000007</v>
      </c>
      <c r="K533" s="21">
        <f t="shared" si="42"/>
        <v>55.501776470588233</v>
      </c>
      <c r="L533" s="8">
        <f t="shared" si="43"/>
        <v>32.841287852419072</v>
      </c>
      <c r="M533" s="30" t="str">
        <f t="shared" si="44"/>
        <v>April</v>
      </c>
    </row>
    <row r="534" spans="1:13">
      <c r="A534" s="9" t="s">
        <v>926</v>
      </c>
      <c r="B534" s="8">
        <v>24</v>
      </c>
      <c r="C534" s="8" t="s">
        <v>39</v>
      </c>
      <c r="D534" s="8" t="s">
        <v>36</v>
      </c>
      <c r="E534" s="34">
        <v>45390</v>
      </c>
      <c r="F534" s="8">
        <v>130</v>
      </c>
      <c r="G534" s="8">
        <v>54.4</v>
      </c>
      <c r="H534" s="10">
        <v>29.79</v>
      </c>
      <c r="I534" s="21">
        <f t="shared" si="40"/>
        <v>45.714285714285715</v>
      </c>
      <c r="J534" s="21">
        <f t="shared" si="41"/>
        <v>38.726999999999997</v>
      </c>
      <c r="K534" s="21">
        <f t="shared" si="42"/>
        <v>6.9872857142857185</v>
      </c>
      <c r="L534" s="8">
        <f t="shared" si="43"/>
        <v>5.3748351648351678</v>
      </c>
      <c r="M534" s="30" t="str">
        <f t="shared" si="44"/>
        <v>July</v>
      </c>
    </row>
    <row r="535" spans="1:13">
      <c r="A535" s="9" t="s">
        <v>927</v>
      </c>
      <c r="B535" s="8">
        <v>24</v>
      </c>
      <c r="C535" s="8" t="s">
        <v>51</v>
      </c>
      <c r="D535" s="8" t="s">
        <v>36</v>
      </c>
      <c r="E535" s="34">
        <v>45934</v>
      </c>
      <c r="F535" s="8">
        <v>509</v>
      </c>
      <c r="G535" s="8">
        <v>168.02</v>
      </c>
      <c r="H535" s="10">
        <v>19.010000000000002</v>
      </c>
      <c r="I535" s="21">
        <f t="shared" si="40"/>
        <v>141.19327731092437</v>
      </c>
      <c r="J535" s="21">
        <f t="shared" si="41"/>
        <v>96.760900000000007</v>
      </c>
      <c r="K535" s="21">
        <f t="shared" si="42"/>
        <v>44.432377310924366</v>
      </c>
      <c r="L535" s="8">
        <f t="shared" si="43"/>
        <v>8.7293472123623506</v>
      </c>
      <c r="M535" s="30" t="str">
        <f t="shared" si="44"/>
        <v>November</v>
      </c>
    </row>
    <row r="536" spans="1:13">
      <c r="A536" s="9" t="s">
        <v>928</v>
      </c>
      <c r="B536" s="8">
        <v>24</v>
      </c>
      <c r="C536" s="8" t="s">
        <v>51</v>
      </c>
      <c r="D536" s="8" t="s">
        <v>46</v>
      </c>
      <c r="E536" s="34" t="s">
        <v>723</v>
      </c>
      <c r="F536" s="8">
        <v>573</v>
      </c>
      <c r="G536" s="8">
        <v>196.08</v>
      </c>
      <c r="H536" s="10">
        <v>17.73</v>
      </c>
      <c r="I536" s="21">
        <f t="shared" si="40"/>
        <v>164.77310924369749</v>
      </c>
      <c r="J536" s="21">
        <f t="shared" si="41"/>
        <v>101.59290000000001</v>
      </c>
      <c r="K536" s="21">
        <f t="shared" si="42"/>
        <v>63.180209243697476</v>
      </c>
      <c r="L536" s="8">
        <f t="shared" si="43"/>
        <v>11.026214527695895</v>
      </c>
      <c r="M536" s="30" t="str">
        <f t="shared" si="44"/>
        <v>November</v>
      </c>
    </row>
    <row r="537" spans="1:13">
      <c r="A537" s="9" t="s">
        <v>929</v>
      </c>
      <c r="B537" s="8">
        <v>24</v>
      </c>
      <c r="C537" s="8" t="s">
        <v>35</v>
      </c>
      <c r="D537" s="8" t="s">
        <v>36</v>
      </c>
      <c r="E537" s="34">
        <v>45608</v>
      </c>
      <c r="F537" s="8">
        <v>315</v>
      </c>
      <c r="G537" s="8">
        <v>121.76</v>
      </c>
      <c r="H537" s="10">
        <v>23.88</v>
      </c>
      <c r="I537" s="21">
        <f t="shared" si="40"/>
        <v>102.31932773109244</v>
      </c>
      <c r="J537" s="21">
        <f t="shared" si="41"/>
        <v>75.221999999999994</v>
      </c>
      <c r="K537" s="21">
        <f t="shared" si="42"/>
        <v>27.097327731092449</v>
      </c>
      <c r="L537" s="8">
        <f t="shared" si="43"/>
        <v>8.6023262638388722</v>
      </c>
      <c r="M537" s="30" t="str">
        <f t="shared" si="44"/>
        <v>September</v>
      </c>
    </row>
    <row r="538" spans="1:13">
      <c r="A538" s="9" t="s">
        <v>931</v>
      </c>
      <c r="B538" s="8">
        <v>24</v>
      </c>
      <c r="C538" s="8" t="s">
        <v>39</v>
      </c>
      <c r="D538" s="8" t="s">
        <v>46</v>
      </c>
      <c r="E538" s="34" t="s">
        <v>164</v>
      </c>
      <c r="F538" s="8">
        <v>90</v>
      </c>
      <c r="G538" s="8">
        <v>42.37</v>
      </c>
      <c r="H538" s="10">
        <v>30.65</v>
      </c>
      <c r="I538" s="21">
        <f t="shared" si="40"/>
        <v>35.605042016806721</v>
      </c>
      <c r="J538" s="21">
        <f t="shared" si="41"/>
        <v>27.585000000000001</v>
      </c>
      <c r="K538" s="21">
        <f t="shared" si="42"/>
        <v>8.0200420168067197</v>
      </c>
      <c r="L538" s="8">
        <f t="shared" si="43"/>
        <v>8.91115779645191</v>
      </c>
      <c r="M538" s="30" t="str">
        <f t="shared" si="44"/>
        <v>January</v>
      </c>
    </row>
    <row r="539" spans="1:13">
      <c r="A539" s="9" t="s">
        <v>932</v>
      </c>
      <c r="B539" s="8">
        <v>12</v>
      </c>
      <c r="C539" s="8" t="s">
        <v>35</v>
      </c>
      <c r="D539" s="8" t="s">
        <v>46</v>
      </c>
      <c r="E539" s="34">
        <v>45606</v>
      </c>
      <c r="F539" s="8">
        <v>288</v>
      </c>
      <c r="G539" s="8">
        <v>109.53</v>
      </c>
      <c r="H539" s="10">
        <v>25</v>
      </c>
      <c r="I539" s="21">
        <f t="shared" si="40"/>
        <v>92.0420168067227</v>
      </c>
      <c r="J539" s="21">
        <f t="shared" si="41"/>
        <v>72</v>
      </c>
      <c r="K539" s="21">
        <f t="shared" si="42"/>
        <v>20.0420168067227</v>
      </c>
      <c r="L539" s="8">
        <f t="shared" si="43"/>
        <v>6.9590336134453814</v>
      </c>
      <c r="M539" s="30" t="str">
        <f t="shared" si="44"/>
        <v>July</v>
      </c>
    </row>
    <row r="540" spans="1:13">
      <c r="A540" s="9" t="s">
        <v>933</v>
      </c>
      <c r="B540" s="8">
        <v>12</v>
      </c>
      <c r="C540" s="8" t="s">
        <v>39</v>
      </c>
      <c r="D540" s="8" t="s">
        <v>56</v>
      </c>
      <c r="E540" s="37">
        <v>45723</v>
      </c>
      <c r="F540" s="8">
        <v>99</v>
      </c>
      <c r="G540" s="8">
        <v>47.02</v>
      </c>
      <c r="H540" s="10">
        <v>31.02</v>
      </c>
      <c r="I540" s="21">
        <f t="shared" si="40"/>
        <v>39.512605042016808</v>
      </c>
      <c r="J540" s="21">
        <f t="shared" si="41"/>
        <v>30.709800000000001</v>
      </c>
      <c r="K540" s="21">
        <f t="shared" si="42"/>
        <v>8.8028050420168071</v>
      </c>
      <c r="L540" s="8">
        <f t="shared" si="43"/>
        <v>8.8917222646634411</v>
      </c>
      <c r="M540" s="30" t="str">
        <f t="shared" si="44"/>
        <v>December</v>
      </c>
    </row>
    <row r="541" spans="1:13">
      <c r="A541" s="9" t="s">
        <v>935</v>
      </c>
      <c r="B541" s="8">
        <v>12</v>
      </c>
      <c r="C541" s="8" t="s">
        <v>39</v>
      </c>
      <c r="D541" s="8" t="s">
        <v>36</v>
      </c>
      <c r="E541" s="34" t="s">
        <v>936</v>
      </c>
      <c r="F541" s="8">
        <v>155</v>
      </c>
      <c r="G541" s="8">
        <v>61.7</v>
      </c>
      <c r="H541" s="10">
        <v>30.31</v>
      </c>
      <c r="I541" s="21">
        <f t="shared" si="40"/>
        <v>51.848739495798327</v>
      </c>
      <c r="J541" s="21">
        <f t="shared" si="41"/>
        <v>46.980499999999999</v>
      </c>
      <c r="K541" s="21">
        <f t="shared" si="42"/>
        <v>4.8682394957983277</v>
      </c>
      <c r="L541" s="8">
        <f t="shared" si="43"/>
        <v>3.1407996747085982</v>
      </c>
      <c r="M541" s="30" t="str">
        <f t="shared" si="44"/>
        <v>September</v>
      </c>
    </row>
    <row r="542" spans="1:13">
      <c r="A542" s="9" t="s">
        <v>937</v>
      </c>
      <c r="B542" s="8">
        <v>24</v>
      </c>
      <c r="C542" s="8" t="s">
        <v>39</v>
      </c>
      <c r="D542" s="8" t="s">
        <v>36</v>
      </c>
      <c r="E542" s="34" t="s">
        <v>493</v>
      </c>
      <c r="F542" s="8">
        <v>152</v>
      </c>
      <c r="G542" s="8">
        <v>64.89</v>
      </c>
      <c r="H542" s="10">
        <v>31.62</v>
      </c>
      <c r="I542" s="21">
        <f t="shared" si="40"/>
        <v>54.529411764705884</v>
      </c>
      <c r="J542" s="21">
        <f t="shared" si="41"/>
        <v>48.062399999999997</v>
      </c>
      <c r="K542" s="21">
        <f t="shared" si="42"/>
        <v>6.4670117647058873</v>
      </c>
      <c r="L542" s="8">
        <f t="shared" si="43"/>
        <v>4.2546130030959786</v>
      </c>
      <c r="M542" s="30" t="str">
        <f t="shared" si="44"/>
        <v>March</v>
      </c>
    </row>
    <row r="543" spans="1:13">
      <c r="A543" s="9" t="s">
        <v>938</v>
      </c>
      <c r="B543" s="8">
        <v>24</v>
      </c>
      <c r="C543" s="8" t="s">
        <v>35</v>
      </c>
      <c r="D543" s="8" t="s">
        <v>46</v>
      </c>
      <c r="E543" s="34" t="s">
        <v>646</v>
      </c>
      <c r="F543" s="8">
        <v>257</v>
      </c>
      <c r="G543" s="8">
        <v>101.28</v>
      </c>
      <c r="H543" s="10">
        <v>25.27</v>
      </c>
      <c r="I543" s="21">
        <f t="shared" si="40"/>
        <v>85.109243697479002</v>
      </c>
      <c r="J543" s="21">
        <f t="shared" si="41"/>
        <v>64.943899999999999</v>
      </c>
      <c r="K543" s="21">
        <f t="shared" si="42"/>
        <v>20.165343697479003</v>
      </c>
      <c r="L543" s="8">
        <f t="shared" si="43"/>
        <v>7.846437236373152</v>
      </c>
      <c r="M543" s="30" t="str">
        <f t="shared" si="44"/>
        <v>April</v>
      </c>
    </row>
    <row r="544" spans="1:13">
      <c r="A544" s="9" t="s">
        <v>939</v>
      </c>
      <c r="B544" s="8">
        <v>12</v>
      </c>
      <c r="C544" s="8" t="s">
        <v>51</v>
      </c>
      <c r="D544" s="8" t="s">
        <v>36</v>
      </c>
      <c r="E544" s="34" t="s">
        <v>283</v>
      </c>
      <c r="F544" s="8">
        <v>570</v>
      </c>
      <c r="G544" s="8">
        <v>180.54</v>
      </c>
      <c r="H544" s="10">
        <v>20.29</v>
      </c>
      <c r="I544" s="21">
        <f t="shared" si="40"/>
        <v>151.71428571428572</v>
      </c>
      <c r="J544" s="21">
        <f t="shared" si="41"/>
        <v>115.65299999999999</v>
      </c>
      <c r="K544" s="21">
        <f t="shared" si="42"/>
        <v>36.061285714285731</v>
      </c>
      <c r="L544" s="8">
        <f t="shared" si="43"/>
        <v>6.3265413533834618</v>
      </c>
      <c r="M544" s="30" t="str">
        <f t="shared" si="44"/>
        <v>January</v>
      </c>
    </row>
    <row r="545" spans="1:13">
      <c r="A545" s="9" t="s">
        <v>940</v>
      </c>
      <c r="B545" s="8">
        <v>24</v>
      </c>
      <c r="C545" s="8" t="s">
        <v>35</v>
      </c>
      <c r="D545" s="8" t="s">
        <v>46</v>
      </c>
      <c r="E545" s="34" t="s">
        <v>941</v>
      </c>
      <c r="F545" s="8">
        <v>219</v>
      </c>
      <c r="G545" s="8">
        <v>82.94</v>
      </c>
      <c r="H545" s="10">
        <v>22.22</v>
      </c>
      <c r="I545" s="21">
        <f t="shared" si="40"/>
        <v>69.69747899159664</v>
      </c>
      <c r="J545" s="21">
        <f t="shared" si="41"/>
        <v>48.661799999999992</v>
      </c>
      <c r="K545" s="21">
        <f t="shared" si="42"/>
        <v>21.035678991596647</v>
      </c>
      <c r="L545" s="8">
        <f t="shared" si="43"/>
        <v>9.6053328728751808</v>
      </c>
      <c r="M545" s="30" t="str">
        <f t="shared" si="44"/>
        <v>February</v>
      </c>
    </row>
    <row r="546" spans="1:13">
      <c r="A546" s="9" t="s">
        <v>942</v>
      </c>
      <c r="B546" s="8">
        <v>24</v>
      </c>
      <c r="C546" s="8" t="s">
        <v>35</v>
      </c>
      <c r="D546" s="8" t="s">
        <v>46</v>
      </c>
      <c r="E546" s="34" t="s">
        <v>654</v>
      </c>
      <c r="F546" s="8">
        <v>245</v>
      </c>
      <c r="G546" s="8">
        <v>96.37</v>
      </c>
      <c r="H546" s="10">
        <v>22.03</v>
      </c>
      <c r="I546" s="21">
        <f t="shared" si="40"/>
        <v>80.983193277310932</v>
      </c>
      <c r="J546" s="21">
        <f t="shared" si="41"/>
        <v>53.973500000000001</v>
      </c>
      <c r="K546" s="21">
        <f t="shared" si="42"/>
        <v>27.00969327731093</v>
      </c>
      <c r="L546" s="8">
        <f t="shared" si="43"/>
        <v>11.024364602984054</v>
      </c>
      <c r="M546" s="30" t="str">
        <f t="shared" si="44"/>
        <v>December</v>
      </c>
    </row>
    <row r="547" spans="1:13">
      <c r="A547" s="9" t="s">
        <v>943</v>
      </c>
      <c r="B547" s="8">
        <v>12</v>
      </c>
      <c r="C547" s="8" t="s">
        <v>35</v>
      </c>
      <c r="D547" s="8" t="s">
        <v>36</v>
      </c>
      <c r="E547" s="34" t="s">
        <v>944</v>
      </c>
      <c r="F547" s="8">
        <v>303</v>
      </c>
      <c r="G547" s="8">
        <v>116.57</v>
      </c>
      <c r="H547" s="10">
        <v>22.85</v>
      </c>
      <c r="I547" s="21">
        <f t="shared" si="40"/>
        <v>97.957983193277315</v>
      </c>
      <c r="J547" s="21">
        <f t="shared" si="41"/>
        <v>69.235500000000002</v>
      </c>
      <c r="K547" s="21">
        <f t="shared" si="42"/>
        <v>28.722483193277313</v>
      </c>
      <c r="L547" s="8">
        <f t="shared" si="43"/>
        <v>9.4793673905205651</v>
      </c>
      <c r="M547" s="30" t="str">
        <f t="shared" si="44"/>
        <v>August</v>
      </c>
    </row>
    <row r="548" spans="1:13">
      <c r="A548" s="9" t="s">
        <v>945</v>
      </c>
      <c r="B548" s="8">
        <v>12</v>
      </c>
      <c r="C548" s="8" t="s">
        <v>39</v>
      </c>
      <c r="D548" s="8" t="s">
        <v>36</v>
      </c>
      <c r="E548" s="34">
        <v>45599</v>
      </c>
      <c r="F548" s="8">
        <v>122</v>
      </c>
      <c r="G548" s="8">
        <v>50.17</v>
      </c>
      <c r="H548" s="10">
        <v>30.65</v>
      </c>
      <c r="I548" s="21">
        <f t="shared" si="40"/>
        <v>42.159663865546221</v>
      </c>
      <c r="J548" s="21">
        <f t="shared" si="41"/>
        <v>37.393000000000001</v>
      </c>
      <c r="K548" s="21">
        <f t="shared" si="42"/>
        <v>4.7666638655462208</v>
      </c>
      <c r="L548" s="8">
        <f t="shared" si="43"/>
        <v>3.9071015291362463</v>
      </c>
      <c r="M548" s="30" t="str">
        <f t="shared" si="44"/>
        <v>April</v>
      </c>
    </row>
    <row r="549" spans="1:13">
      <c r="A549" s="9" t="s">
        <v>946</v>
      </c>
      <c r="B549" s="8">
        <v>24</v>
      </c>
      <c r="C549" s="8" t="s">
        <v>35</v>
      </c>
      <c r="D549" s="8" t="s">
        <v>36</v>
      </c>
      <c r="E549" s="34">
        <v>45598</v>
      </c>
      <c r="F549" s="8">
        <v>226</v>
      </c>
      <c r="G549" s="8">
        <v>88.74</v>
      </c>
      <c r="H549" s="10">
        <v>23.64</v>
      </c>
      <c r="I549" s="21">
        <f t="shared" si="40"/>
        <v>74.571428571428569</v>
      </c>
      <c r="J549" s="21">
        <f t="shared" si="41"/>
        <v>53.426400000000001</v>
      </c>
      <c r="K549" s="21">
        <f t="shared" si="42"/>
        <v>21.145028571428568</v>
      </c>
      <c r="L549" s="8">
        <f t="shared" si="43"/>
        <v>9.3562073324905164</v>
      </c>
      <c r="M549" s="30" t="str">
        <f t="shared" si="44"/>
        <v>March</v>
      </c>
    </row>
    <row r="550" spans="1:13">
      <c r="A550" s="9" t="s">
        <v>948</v>
      </c>
      <c r="B550" s="8">
        <v>12</v>
      </c>
      <c r="C550" s="8" t="s">
        <v>51</v>
      </c>
      <c r="D550" s="8" t="s">
        <v>36</v>
      </c>
      <c r="E550" s="34">
        <v>45293</v>
      </c>
      <c r="F550" s="8">
        <v>498</v>
      </c>
      <c r="G550" s="8">
        <v>168.8</v>
      </c>
      <c r="H550" s="10">
        <v>18.510000000000002</v>
      </c>
      <c r="I550" s="21">
        <f t="shared" si="40"/>
        <v>141.84873949579833</v>
      </c>
      <c r="J550" s="21">
        <f t="shared" si="41"/>
        <v>92.179800000000014</v>
      </c>
      <c r="K550" s="21">
        <f t="shared" si="42"/>
        <v>49.668939495798313</v>
      </c>
      <c r="L550" s="8">
        <f t="shared" si="43"/>
        <v>9.9736826296783772</v>
      </c>
      <c r="M550" s="30" t="str">
        <f t="shared" si="44"/>
        <v>October</v>
      </c>
    </row>
    <row r="551" spans="1:13">
      <c r="A551" s="9" t="s">
        <v>950</v>
      </c>
      <c r="B551" s="8">
        <v>24</v>
      </c>
      <c r="C551" s="8" t="s">
        <v>39</v>
      </c>
      <c r="D551" s="8" t="s">
        <v>56</v>
      </c>
      <c r="E551" s="34">
        <v>45574</v>
      </c>
      <c r="F551" s="8">
        <v>153</v>
      </c>
      <c r="G551" s="8">
        <v>68.02</v>
      </c>
      <c r="H551" s="10">
        <v>31.54</v>
      </c>
      <c r="I551" s="21">
        <f t="shared" si="40"/>
        <v>57.159663865546214</v>
      </c>
      <c r="J551" s="21">
        <f t="shared" si="41"/>
        <v>48.2562</v>
      </c>
      <c r="K551" s="21">
        <f t="shared" si="42"/>
        <v>8.9034638655462146</v>
      </c>
      <c r="L551" s="8">
        <f t="shared" si="43"/>
        <v>5.8192574284615777</v>
      </c>
      <c r="M551" s="30" t="str">
        <f t="shared" si="44"/>
        <v>March</v>
      </c>
    </row>
    <row r="552" spans="1:13">
      <c r="A552" s="9" t="s">
        <v>951</v>
      </c>
      <c r="B552" s="8">
        <v>12</v>
      </c>
      <c r="C552" s="8" t="s">
        <v>51</v>
      </c>
      <c r="D552" s="8" t="s">
        <v>56</v>
      </c>
      <c r="E552" s="34" t="s">
        <v>650</v>
      </c>
      <c r="F552" s="8">
        <v>445</v>
      </c>
      <c r="G552" s="8">
        <v>157.57</v>
      </c>
      <c r="H552" s="10">
        <v>20.98</v>
      </c>
      <c r="I552" s="21">
        <f t="shared" si="40"/>
        <v>132.41176470588235</v>
      </c>
      <c r="J552" s="21">
        <f t="shared" si="41"/>
        <v>93.361000000000004</v>
      </c>
      <c r="K552" s="21">
        <f t="shared" si="42"/>
        <v>39.050764705882344</v>
      </c>
      <c r="L552" s="8">
        <f t="shared" si="43"/>
        <v>8.7754527428949078</v>
      </c>
      <c r="M552" s="30" t="str">
        <f t="shared" si="44"/>
        <v>July</v>
      </c>
    </row>
    <row r="553" spans="1:13">
      <c r="A553" s="9" t="s">
        <v>952</v>
      </c>
      <c r="B553" s="8">
        <v>24</v>
      </c>
      <c r="C553" s="8" t="s">
        <v>35</v>
      </c>
      <c r="D553" s="8" t="s">
        <v>46</v>
      </c>
      <c r="E553" s="34" t="s">
        <v>879</v>
      </c>
      <c r="F553" s="8">
        <v>196</v>
      </c>
      <c r="G553" s="8">
        <v>77.31</v>
      </c>
      <c r="H553" s="10">
        <v>25.64</v>
      </c>
      <c r="I553" s="21">
        <f t="shared" si="40"/>
        <v>64.966386554621849</v>
      </c>
      <c r="J553" s="21">
        <f t="shared" si="41"/>
        <v>50.254400000000004</v>
      </c>
      <c r="K553" s="21">
        <f t="shared" si="42"/>
        <v>14.711986554621845</v>
      </c>
      <c r="L553" s="8">
        <f t="shared" si="43"/>
        <v>7.5061155890927784</v>
      </c>
      <c r="M553" s="30" t="str">
        <f t="shared" si="44"/>
        <v>January</v>
      </c>
    </row>
    <row r="554" spans="1:13">
      <c r="A554" s="9" t="s">
        <v>953</v>
      </c>
      <c r="B554" s="8">
        <v>24</v>
      </c>
      <c r="C554" s="8" t="s">
        <v>35</v>
      </c>
      <c r="D554" s="8" t="s">
        <v>46</v>
      </c>
      <c r="E554" s="34">
        <v>45418</v>
      </c>
      <c r="F554" s="8">
        <v>285</v>
      </c>
      <c r="G554" s="8">
        <v>104.08</v>
      </c>
      <c r="H554" s="10">
        <v>25.26</v>
      </c>
      <c r="I554" s="21">
        <f t="shared" si="40"/>
        <v>87.462184873949582</v>
      </c>
      <c r="J554" s="21">
        <f t="shared" si="41"/>
        <v>71.991</v>
      </c>
      <c r="K554" s="21">
        <f t="shared" si="42"/>
        <v>15.471184873949582</v>
      </c>
      <c r="L554" s="8">
        <f t="shared" si="43"/>
        <v>5.4284859206840643</v>
      </c>
      <c r="M554" s="30" t="str">
        <f t="shared" si="44"/>
        <v>July</v>
      </c>
    </row>
    <row r="555" spans="1:13">
      <c r="A555" s="9" t="s">
        <v>954</v>
      </c>
      <c r="B555" s="8">
        <v>24</v>
      </c>
      <c r="C555" s="8" t="s">
        <v>35</v>
      </c>
      <c r="D555" s="8" t="s">
        <v>36</v>
      </c>
      <c r="E555" s="37">
        <v>45536</v>
      </c>
      <c r="F555" s="8">
        <v>304</v>
      </c>
      <c r="G555" s="8">
        <v>119.41</v>
      </c>
      <c r="H555" s="10">
        <v>24.76</v>
      </c>
      <c r="I555" s="21">
        <f t="shared" si="40"/>
        <v>100.34453781512605</v>
      </c>
      <c r="J555" s="21">
        <f t="shared" si="41"/>
        <v>75.270400000000009</v>
      </c>
      <c r="K555" s="21">
        <f t="shared" si="42"/>
        <v>25.074137815126036</v>
      </c>
      <c r="L555" s="8">
        <f t="shared" si="43"/>
        <v>8.2480716497125108</v>
      </c>
      <c r="M555" s="30" t="str">
        <f t="shared" si="44"/>
        <v>January</v>
      </c>
    </row>
    <row r="556" spans="1:13">
      <c r="A556" s="9" t="s">
        <v>956</v>
      </c>
      <c r="B556" s="8">
        <v>24</v>
      </c>
      <c r="C556" s="8" t="s">
        <v>35</v>
      </c>
      <c r="D556" s="8" t="s">
        <v>56</v>
      </c>
      <c r="E556" s="34">
        <v>45540</v>
      </c>
      <c r="F556" s="8">
        <v>184</v>
      </c>
      <c r="G556" s="8">
        <v>74.09</v>
      </c>
      <c r="H556" s="10">
        <v>23.09</v>
      </c>
      <c r="I556" s="21">
        <f t="shared" si="40"/>
        <v>62.260504201680675</v>
      </c>
      <c r="J556" s="21">
        <f t="shared" si="41"/>
        <v>42.485600000000005</v>
      </c>
      <c r="K556" s="21">
        <f t="shared" si="42"/>
        <v>19.77490420168067</v>
      </c>
      <c r="L556" s="8">
        <f t="shared" si="43"/>
        <v>10.747230544391668</v>
      </c>
      <c r="M556" s="30" t="str">
        <f t="shared" si="44"/>
        <v>May</v>
      </c>
    </row>
    <row r="557" spans="1:13">
      <c r="A557" s="9" t="s">
        <v>958</v>
      </c>
      <c r="B557" s="8">
        <v>12</v>
      </c>
      <c r="C557" s="8" t="s">
        <v>51</v>
      </c>
      <c r="D557" s="8" t="s">
        <v>46</v>
      </c>
      <c r="E557" s="34" t="s">
        <v>369</v>
      </c>
      <c r="F557" s="8">
        <v>413</v>
      </c>
      <c r="G557" s="8">
        <v>140.19</v>
      </c>
      <c r="H557" s="10">
        <v>17.45</v>
      </c>
      <c r="I557" s="21">
        <f t="shared" si="40"/>
        <v>117.80672268907563</v>
      </c>
      <c r="J557" s="21">
        <f t="shared" si="41"/>
        <v>72.0685</v>
      </c>
      <c r="K557" s="21">
        <f t="shared" si="42"/>
        <v>45.738222689075627</v>
      </c>
      <c r="L557" s="8">
        <f t="shared" si="43"/>
        <v>11.074630191059475</v>
      </c>
      <c r="M557" s="30" t="str">
        <f t="shared" si="44"/>
        <v>April</v>
      </c>
    </row>
    <row r="558" spans="1:13">
      <c r="A558" s="9" t="s">
        <v>959</v>
      </c>
      <c r="B558" s="8">
        <v>12</v>
      </c>
      <c r="C558" s="8" t="s">
        <v>51</v>
      </c>
      <c r="D558" s="8" t="s">
        <v>46</v>
      </c>
      <c r="E558" s="34" t="s">
        <v>242</v>
      </c>
      <c r="F558" s="8">
        <v>380</v>
      </c>
      <c r="G558" s="8">
        <v>130.24</v>
      </c>
      <c r="H558" s="10">
        <v>17.420000000000002</v>
      </c>
      <c r="I558" s="21">
        <f t="shared" si="40"/>
        <v>109.44537815126051</v>
      </c>
      <c r="J558" s="21">
        <f t="shared" si="41"/>
        <v>66.195999999999998</v>
      </c>
      <c r="K558" s="21">
        <f t="shared" si="42"/>
        <v>43.249378151260515</v>
      </c>
      <c r="L558" s="8">
        <f t="shared" si="43"/>
        <v>11.381415302963294</v>
      </c>
      <c r="M558" s="30" t="str">
        <f t="shared" si="44"/>
        <v>April</v>
      </c>
    </row>
    <row r="559" spans="1:13">
      <c r="A559" s="9" t="s">
        <v>960</v>
      </c>
      <c r="B559" s="8">
        <v>12</v>
      </c>
      <c r="C559" s="8" t="s">
        <v>35</v>
      </c>
      <c r="D559" s="8" t="s">
        <v>56</v>
      </c>
      <c r="E559" s="34">
        <v>45604</v>
      </c>
      <c r="F559" s="8">
        <v>225</v>
      </c>
      <c r="G559" s="8">
        <v>90.52</v>
      </c>
      <c r="H559" s="10">
        <v>23.37</v>
      </c>
      <c r="I559" s="21">
        <f t="shared" si="40"/>
        <v>76.067226890756302</v>
      </c>
      <c r="J559" s="21">
        <f t="shared" si="41"/>
        <v>52.582500000000003</v>
      </c>
      <c r="K559" s="21">
        <f t="shared" si="42"/>
        <v>23.484726890756299</v>
      </c>
      <c r="L559" s="8">
        <f t="shared" si="43"/>
        <v>10.437656395891688</v>
      </c>
      <c r="M559" s="30" t="str">
        <f t="shared" si="44"/>
        <v>May</v>
      </c>
    </row>
    <row r="560" spans="1:13">
      <c r="A560" s="9" t="s">
        <v>961</v>
      </c>
      <c r="B560" s="8">
        <v>24</v>
      </c>
      <c r="C560" s="8" t="s">
        <v>39</v>
      </c>
      <c r="D560" s="8" t="s">
        <v>36</v>
      </c>
      <c r="E560" s="34" t="s">
        <v>748</v>
      </c>
      <c r="F560" s="8">
        <v>121</v>
      </c>
      <c r="G560" s="8">
        <v>57.85</v>
      </c>
      <c r="H560" s="10">
        <v>29.72</v>
      </c>
      <c r="I560" s="21">
        <f t="shared" si="40"/>
        <v>48.613445378151262</v>
      </c>
      <c r="J560" s="21">
        <f t="shared" si="41"/>
        <v>35.961199999999998</v>
      </c>
      <c r="K560" s="21">
        <f t="shared" si="42"/>
        <v>12.652245378151264</v>
      </c>
      <c r="L560" s="8">
        <f t="shared" si="43"/>
        <v>10.456401138967987</v>
      </c>
      <c r="M560" s="30" t="str">
        <f t="shared" si="44"/>
        <v>April</v>
      </c>
    </row>
    <row r="561" spans="1:13">
      <c r="A561" s="9" t="s">
        <v>962</v>
      </c>
      <c r="B561" s="8">
        <v>24</v>
      </c>
      <c r="C561" s="8" t="s">
        <v>35</v>
      </c>
      <c r="D561" s="8" t="s">
        <v>56</v>
      </c>
      <c r="E561" s="34" t="s">
        <v>963</v>
      </c>
      <c r="F561" s="8">
        <v>291</v>
      </c>
      <c r="G561" s="8">
        <v>115.85</v>
      </c>
      <c r="H561" s="10">
        <v>25.32</v>
      </c>
      <c r="I561" s="21">
        <f t="shared" si="40"/>
        <v>97.352941176470594</v>
      </c>
      <c r="J561" s="21">
        <f t="shared" si="41"/>
        <v>73.681200000000004</v>
      </c>
      <c r="K561" s="21">
        <f t="shared" si="42"/>
        <v>23.67174117647059</v>
      </c>
      <c r="L561" s="8">
        <f t="shared" si="43"/>
        <v>8.1346189609864581</v>
      </c>
      <c r="M561" s="30" t="str">
        <f t="shared" si="44"/>
        <v>September</v>
      </c>
    </row>
    <row r="562" spans="1:13">
      <c r="A562" s="9" t="s">
        <v>964</v>
      </c>
      <c r="B562" s="8">
        <v>24</v>
      </c>
      <c r="C562" s="8" t="s">
        <v>51</v>
      </c>
      <c r="D562" s="8" t="s">
        <v>36</v>
      </c>
      <c r="E562" s="37">
        <v>45669</v>
      </c>
      <c r="F562" s="8">
        <v>550</v>
      </c>
      <c r="G562" s="8">
        <v>190.31</v>
      </c>
      <c r="H562" s="10">
        <v>17.100000000000001</v>
      </c>
      <c r="I562" s="21">
        <f t="shared" si="40"/>
        <v>159.92436974789916</v>
      </c>
      <c r="J562" s="21">
        <f t="shared" si="41"/>
        <v>94.05</v>
      </c>
      <c r="K562" s="21">
        <f t="shared" si="42"/>
        <v>65.874369747899166</v>
      </c>
      <c r="L562" s="8">
        <f t="shared" si="43"/>
        <v>11.977158135981666</v>
      </c>
      <c r="M562" s="30" t="str">
        <f t="shared" si="44"/>
        <v>October</v>
      </c>
    </row>
    <row r="563" spans="1:13">
      <c r="A563" s="9" t="s">
        <v>966</v>
      </c>
      <c r="B563" s="8">
        <v>12</v>
      </c>
      <c r="C563" s="8" t="s">
        <v>39</v>
      </c>
      <c r="D563" s="8" t="s">
        <v>36</v>
      </c>
      <c r="E563" s="34" t="s">
        <v>967</v>
      </c>
      <c r="F563" s="8">
        <v>135</v>
      </c>
      <c r="G563" s="8">
        <v>57.04</v>
      </c>
      <c r="H563" s="10">
        <v>32.94</v>
      </c>
      <c r="I563" s="21">
        <f t="shared" si="40"/>
        <v>47.932773109243698</v>
      </c>
      <c r="J563" s="21">
        <f t="shared" si="41"/>
        <v>44.468999999999994</v>
      </c>
      <c r="K563" s="21">
        <f t="shared" si="42"/>
        <v>3.4637731092437036</v>
      </c>
      <c r="L563" s="8">
        <f t="shared" si="43"/>
        <v>2.5657578586990399</v>
      </c>
      <c r="M563" s="30" t="str">
        <f t="shared" si="44"/>
        <v>June</v>
      </c>
    </row>
    <row r="564" spans="1:13">
      <c r="A564" s="9" t="s">
        <v>968</v>
      </c>
      <c r="B564" s="8">
        <v>12</v>
      </c>
      <c r="C564" s="8" t="s">
        <v>35</v>
      </c>
      <c r="D564" s="8" t="s">
        <v>36</v>
      </c>
      <c r="E564" s="34" t="s">
        <v>242</v>
      </c>
      <c r="F564" s="8">
        <v>226</v>
      </c>
      <c r="G564" s="8">
        <v>90.31</v>
      </c>
      <c r="H564" s="10">
        <v>24.13</v>
      </c>
      <c r="I564" s="21">
        <f t="shared" si="40"/>
        <v>75.890756302521012</v>
      </c>
      <c r="J564" s="21">
        <f t="shared" si="41"/>
        <v>54.533799999999999</v>
      </c>
      <c r="K564" s="21">
        <f t="shared" si="42"/>
        <v>21.356956302521013</v>
      </c>
      <c r="L564" s="8">
        <f t="shared" si="43"/>
        <v>9.4499806648323066</v>
      </c>
      <c r="M564" s="30" t="str">
        <f t="shared" si="44"/>
        <v>April</v>
      </c>
    </row>
    <row r="565" spans="1:13">
      <c r="A565" s="9" t="s">
        <v>969</v>
      </c>
      <c r="B565" s="8">
        <v>12</v>
      </c>
      <c r="C565" s="8" t="s">
        <v>35</v>
      </c>
      <c r="D565" s="8" t="s">
        <v>56</v>
      </c>
      <c r="E565" s="37">
        <v>45459</v>
      </c>
      <c r="F565" s="8">
        <v>307</v>
      </c>
      <c r="G565" s="8">
        <v>110.09</v>
      </c>
      <c r="H565" s="10">
        <v>25.15</v>
      </c>
      <c r="I565" s="21">
        <f t="shared" si="40"/>
        <v>92.512605042016816</v>
      </c>
      <c r="J565" s="21">
        <f t="shared" si="41"/>
        <v>77.210499999999996</v>
      </c>
      <c r="K565" s="21">
        <f t="shared" si="42"/>
        <v>15.302105042016819</v>
      </c>
      <c r="L565" s="8">
        <f t="shared" si="43"/>
        <v>4.984399036487563</v>
      </c>
      <c r="M565" s="30" t="str">
        <f t="shared" si="44"/>
        <v>December</v>
      </c>
    </row>
    <row r="566" spans="1:13">
      <c r="A566" s="9" t="s">
        <v>971</v>
      </c>
      <c r="B566" s="8">
        <v>12</v>
      </c>
      <c r="C566" s="8" t="s">
        <v>35</v>
      </c>
      <c r="D566" s="8" t="s">
        <v>56</v>
      </c>
      <c r="E566" s="34" t="s">
        <v>972</v>
      </c>
      <c r="F566" s="8">
        <v>245</v>
      </c>
      <c r="G566" s="8">
        <v>91.31</v>
      </c>
      <c r="H566" s="10">
        <v>23.97</v>
      </c>
      <c r="I566" s="21">
        <f t="shared" si="40"/>
        <v>76.731092436974791</v>
      </c>
      <c r="J566" s="21">
        <f t="shared" si="41"/>
        <v>58.726499999999994</v>
      </c>
      <c r="K566" s="21">
        <f t="shared" si="42"/>
        <v>18.004592436974796</v>
      </c>
      <c r="L566" s="8">
        <f t="shared" si="43"/>
        <v>7.3488132395815491</v>
      </c>
      <c r="M566" s="30" t="str">
        <f t="shared" si="44"/>
        <v>November</v>
      </c>
    </row>
    <row r="567" spans="1:13">
      <c r="A567" s="9" t="s">
        <v>973</v>
      </c>
      <c r="B567" s="8">
        <v>24</v>
      </c>
      <c r="C567" s="8" t="s">
        <v>39</v>
      </c>
      <c r="D567" s="8" t="s">
        <v>46</v>
      </c>
      <c r="E567" s="34" t="s">
        <v>974</v>
      </c>
      <c r="F567" s="8">
        <v>165</v>
      </c>
      <c r="G567" s="8">
        <v>74.569999999999993</v>
      </c>
      <c r="H567" s="10">
        <v>29.2</v>
      </c>
      <c r="I567" s="21">
        <f t="shared" si="40"/>
        <v>62.663865546218481</v>
      </c>
      <c r="J567" s="21">
        <f t="shared" si="41"/>
        <v>48.18</v>
      </c>
      <c r="K567" s="21">
        <f t="shared" si="42"/>
        <v>14.483865546218482</v>
      </c>
      <c r="L567" s="8">
        <f t="shared" si="43"/>
        <v>8.7781003310415038</v>
      </c>
      <c r="M567" s="30" t="str">
        <f t="shared" si="44"/>
        <v>April</v>
      </c>
    </row>
    <row r="568" spans="1:13">
      <c r="A568" s="9" t="s">
        <v>975</v>
      </c>
      <c r="B568" s="8">
        <v>12</v>
      </c>
      <c r="C568" s="8" t="s">
        <v>35</v>
      </c>
      <c r="D568" s="8" t="s">
        <v>46</v>
      </c>
      <c r="E568" s="34" t="s">
        <v>976</v>
      </c>
      <c r="F568" s="8">
        <v>272</v>
      </c>
      <c r="G568" s="8">
        <v>100.8</v>
      </c>
      <c r="H568" s="10">
        <v>24.38</v>
      </c>
      <c r="I568" s="21">
        <f t="shared" si="40"/>
        <v>84.705882352941174</v>
      </c>
      <c r="J568" s="21">
        <f t="shared" si="41"/>
        <v>66.313599999999994</v>
      </c>
      <c r="K568" s="21">
        <f t="shared" si="42"/>
        <v>18.39228235294118</v>
      </c>
      <c r="L568" s="8">
        <f t="shared" si="43"/>
        <v>6.7618685121107278</v>
      </c>
      <c r="M568" s="30" t="str">
        <f t="shared" si="44"/>
        <v>January</v>
      </c>
    </row>
    <row r="569" spans="1:13">
      <c r="A569" s="9" t="s">
        <v>977</v>
      </c>
      <c r="B569" s="8">
        <v>12</v>
      </c>
      <c r="C569" s="8" t="s">
        <v>51</v>
      </c>
      <c r="D569" s="8" t="s">
        <v>46</v>
      </c>
      <c r="E569" s="34" t="s">
        <v>320</v>
      </c>
      <c r="F569" s="8">
        <v>375</v>
      </c>
      <c r="G569" s="8">
        <v>123.62</v>
      </c>
      <c r="H569" s="10">
        <v>18.670000000000002</v>
      </c>
      <c r="I569" s="21">
        <f t="shared" si="40"/>
        <v>103.88235294117648</v>
      </c>
      <c r="J569" s="21">
        <f t="shared" si="41"/>
        <v>70.012500000000003</v>
      </c>
      <c r="K569" s="21">
        <f t="shared" si="42"/>
        <v>33.869852941176475</v>
      </c>
      <c r="L569" s="8">
        <f t="shared" si="43"/>
        <v>9.0319607843137266</v>
      </c>
      <c r="M569" s="30" t="str">
        <f t="shared" si="44"/>
        <v>November</v>
      </c>
    </row>
    <row r="570" spans="1:13">
      <c r="A570" s="9" t="s">
        <v>978</v>
      </c>
      <c r="B570" s="8">
        <v>24</v>
      </c>
      <c r="C570" s="8" t="s">
        <v>39</v>
      </c>
      <c r="D570" s="8" t="s">
        <v>56</v>
      </c>
      <c r="E570" s="34" t="s">
        <v>979</v>
      </c>
      <c r="F570" s="8">
        <v>140</v>
      </c>
      <c r="G570" s="8">
        <v>60.46</v>
      </c>
      <c r="H570" s="10">
        <v>28.66</v>
      </c>
      <c r="I570" s="21">
        <f t="shared" si="40"/>
        <v>50.806722689075634</v>
      </c>
      <c r="J570" s="21">
        <f t="shared" si="41"/>
        <v>40.124000000000002</v>
      </c>
      <c r="K570" s="21">
        <f t="shared" si="42"/>
        <v>10.682722689075632</v>
      </c>
      <c r="L570" s="8">
        <f t="shared" si="43"/>
        <v>7.6305162064825947</v>
      </c>
      <c r="M570" s="30" t="str">
        <f t="shared" si="44"/>
        <v>January</v>
      </c>
    </row>
    <row r="571" spans="1:13">
      <c r="A571" s="9" t="s">
        <v>980</v>
      </c>
      <c r="B571" s="8">
        <v>12</v>
      </c>
      <c r="C571" s="8" t="s">
        <v>39</v>
      </c>
      <c r="D571" s="8" t="s">
        <v>36</v>
      </c>
      <c r="E571" s="34">
        <v>45932</v>
      </c>
      <c r="F571" s="8">
        <v>110</v>
      </c>
      <c r="G571" s="8">
        <v>50.47</v>
      </c>
      <c r="H571" s="10">
        <v>28.47</v>
      </c>
      <c r="I571" s="21">
        <f t="shared" si="40"/>
        <v>42.411764705882355</v>
      </c>
      <c r="J571" s="21">
        <f t="shared" si="41"/>
        <v>31.316999999999997</v>
      </c>
      <c r="K571" s="21">
        <f t="shared" si="42"/>
        <v>11.094764705882358</v>
      </c>
      <c r="L571" s="8">
        <f t="shared" si="43"/>
        <v>10.086149732620326</v>
      </c>
      <c r="M571" s="30" t="str">
        <f t="shared" si="44"/>
        <v>September</v>
      </c>
    </row>
    <row r="572" spans="1:13">
      <c r="A572" s="9" t="s">
        <v>982</v>
      </c>
      <c r="B572" s="8">
        <v>12</v>
      </c>
      <c r="C572" s="8" t="s">
        <v>51</v>
      </c>
      <c r="D572" s="8" t="s">
        <v>36</v>
      </c>
      <c r="E572" s="34" t="s">
        <v>267</v>
      </c>
      <c r="F572" s="8">
        <v>562</v>
      </c>
      <c r="G572" s="8">
        <v>185.3</v>
      </c>
      <c r="H572" s="10">
        <v>19.23</v>
      </c>
      <c r="I572" s="21">
        <f t="shared" si="40"/>
        <v>155.71428571428572</v>
      </c>
      <c r="J572" s="21">
        <f t="shared" si="41"/>
        <v>108.07260000000001</v>
      </c>
      <c r="K572" s="21">
        <f t="shared" si="42"/>
        <v>47.641685714285714</v>
      </c>
      <c r="L572" s="8">
        <f t="shared" si="43"/>
        <v>8.4771682765632939</v>
      </c>
      <c r="M572" s="30" t="str">
        <f t="shared" si="44"/>
        <v>July</v>
      </c>
    </row>
    <row r="573" spans="1:13">
      <c r="A573" s="9" t="s">
        <v>983</v>
      </c>
      <c r="B573" s="8">
        <v>24</v>
      </c>
      <c r="C573" s="8" t="s">
        <v>39</v>
      </c>
      <c r="D573" s="8" t="s">
        <v>36</v>
      </c>
      <c r="E573" s="34" t="s">
        <v>418</v>
      </c>
      <c r="F573" s="8">
        <v>89</v>
      </c>
      <c r="G573" s="8">
        <v>42.9</v>
      </c>
      <c r="H573" s="10">
        <v>31.61</v>
      </c>
      <c r="I573" s="21">
        <f t="shared" si="40"/>
        <v>36.050420168067227</v>
      </c>
      <c r="J573" s="21">
        <f t="shared" si="41"/>
        <v>28.132899999999999</v>
      </c>
      <c r="K573" s="21">
        <f t="shared" si="42"/>
        <v>7.9175201680672274</v>
      </c>
      <c r="L573" s="8">
        <f t="shared" si="43"/>
        <v>8.8960900764800304</v>
      </c>
      <c r="M573" s="30" t="str">
        <f t="shared" si="44"/>
        <v>March</v>
      </c>
    </row>
    <row r="574" spans="1:13">
      <c r="A574" s="9" t="s">
        <v>984</v>
      </c>
      <c r="B574" s="8">
        <v>12</v>
      </c>
      <c r="C574" s="8" t="s">
        <v>51</v>
      </c>
      <c r="D574" s="8" t="s">
        <v>46</v>
      </c>
      <c r="E574" s="34">
        <v>45421</v>
      </c>
      <c r="F574" s="8">
        <v>391</v>
      </c>
      <c r="G574" s="8">
        <v>129.04</v>
      </c>
      <c r="H574" s="10">
        <v>18.22</v>
      </c>
      <c r="I574" s="21">
        <f t="shared" si="40"/>
        <v>108.43697478991596</v>
      </c>
      <c r="J574" s="21">
        <f t="shared" si="41"/>
        <v>71.240200000000002</v>
      </c>
      <c r="K574" s="21">
        <f t="shared" si="42"/>
        <v>37.196774789915963</v>
      </c>
      <c r="L574" s="8">
        <f t="shared" si="43"/>
        <v>9.5132416342496064</v>
      </c>
      <c r="M574" s="30" t="str">
        <f t="shared" si="44"/>
        <v>October</v>
      </c>
    </row>
    <row r="575" spans="1:13">
      <c r="A575" s="9" t="s">
        <v>985</v>
      </c>
      <c r="B575" s="8">
        <v>24</v>
      </c>
      <c r="C575" s="8" t="s">
        <v>35</v>
      </c>
      <c r="D575" s="8" t="s">
        <v>46</v>
      </c>
      <c r="E575" s="34" t="s">
        <v>52</v>
      </c>
      <c r="F575" s="8">
        <v>309</v>
      </c>
      <c r="G575" s="8">
        <v>120.91</v>
      </c>
      <c r="H575" s="10">
        <v>24.93</v>
      </c>
      <c r="I575" s="21">
        <f t="shared" si="40"/>
        <v>101.60504201680672</v>
      </c>
      <c r="J575" s="21">
        <f t="shared" si="41"/>
        <v>77.033699999999996</v>
      </c>
      <c r="K575" s="21">
        <f t="shared" si="42"/>
        <v>24.571342016806724</v>
      </c>
      <c r="L575" s="8">
        <f t="shared" si="43"/>
        <v>7.9518906203258011</v>
      </c>
      <c r="M575" s="30" t="str">
        <f t="shared" si="44"/>
        <v>April</v>
      </c>
    </row>
    <row r="576" spans="1:13">
      <c r="A576" s="9" t="s">
        <v>986</v>
      </c>
      <c r="B576" s="8">
        <v>24</v>
      </c>
      <c r="C576" s="8" t="s">
        <v>39</v>
      </c>
      <c r="D576" s="8" t="s">
        <v>36</v>
      </c>
      <c r="E576" s="34">
        <v>45393</v>
      </c>
      <c r="F576" s="8">
        <v>102</v>
      </c>
      <c r="G576" s="8">
        <v>48.62</v>
      </c>
      <c r="H576" s="10">
        <v>30.63</v>
      </c>
      <c r="I576" s="21">
        <f t="shared" si="40"/>
        <v>40.857142857142854</v>
      </c>
      <c r="J576" s="21">
        <f t="shared" si="41"/>
        <v>31.242599999999996</v>
      </c>
      <c r="K576" s="21">
        <f t="shared" si="42"/>
        <v>9.6145428571428582</v>
      </c>
      <c r="L576" s="8">
        <f t="shared" si="43"/>
        <v>9.4260224089635862</v>
      </c>
      <c r="M576" s="30" t="str">
        <f t="shared" si="44"/>
        <v>October</v>
      </c>
    </row>
    <row r="577" spans="1:13">
      <c r="A577" s="9" t="s">
        <v>987</v>
      </c>
      <c r="B577" s="8">
        <v>24</v>
      </c>
      <c r="C577" s="8" t="s">
        <v>51</v>
      </c>
      <c r="D577" s="8" t="s">
        <v>36</v>
      </c>
      <c r="E577" s="34">
        <v>45356</v>
      </c>
      <c r="F577" s="8">
        <v>613</v>
      </c>
      <c r="G577" s="8">
        <v>202.41</v>
      </c>
      <c r="H577" s="10">
        <v>21.16</v>
      </c>
      <c r="I577" s="21">
        <f t="shared" si="40"/>
        <v>170.09243697478993</v>
      </c>
      <c r="J577" s="21">
        <f t="shared" si="41"/>
        <v>129.71080000000001</v>
      </c>
      <c r="K577" s="21">
        <f t="shared" si="42"/>
        <v>40.381636974789927</v>
      </c>
      <c r="L577" s="8">
        <f t="shared" si="43"/>
        <v>6.5875427365073289</v>
      </c>
      <c r="M577" s="30" t="str">
        <f t="shared" si="44"/>
        <v>September</v>
      </c>
    </row>
    <row r="578" spans="1:13">
      <c r="A578" s="9" t="s">
        <v>988</v>
      </c>
      <c r="B578" s="8">
        <v>12</v>
      </c>
      <c r="C578" s="8" t="s">
        <v>35</v>
      </c>
      <c r="D578" s="8" t="s">
        <v>56</v>
      </c>
      <c r="E578" s="34">
        <v>45628</v>
      </c>
      <c r="F578" s="8">
        <v>213</v>
      </c>
      <c r="G578" s="8">
        <v>82.69</v>
      </c>
      <c r="H578" s="10">
        <v>25.28</v>
      </c>
      <c r="I578" s="21">
        <f t="shared" ref="I578:I641" si="45">G578/1.19</f>
        <v>69.487394957983199</v>
      </c>
      <c r="J578" s="21">
        <f t="shared" ref="J578:J641" si="46">F578*H578/100</f>
        <v>53.846400000000003</v>
      </c>
      <c r="K578" s="21">
        <f t="shared" ref="K578:K641" si="47">I578-J578</f>
        <v>15.640994957983196</v>
      </c>
      <c r="L578" s="8">
        <f t="shared" ref="L578:L641" si="48">IF(F578=0,"",K578/F578*100)</f>
        <v>7.3431901211188713</v>
      </c>
      <c r="M578" s="30" t="str">
        <f t="shared" ref="M578:M641" si="49">TEXT(DATE(RIGHT(E578,4),MID(E578,4,2),LEFT(E578,2)),"mmmm")</f>
        <v>May</v>
      </c>
    </row>
    <row r="579" spans="1:13">
      <c r="A579" s="9" t="s">
        <v>989</v>
      </c>
      <c r="B579" s="8">
        <v>24</v>
      </c>
      <c r="C579" s="8" t="s">
        <v>35</v>
      </c>
      <c r="D579" s="8" t="s">
        <v>36</v>
      </c>
      <c r="E579" s="34" t="s">
        <v>990</v>
      </c>
      <c r="F579" s="8">
        <v>274</v>
      </c>
      <c r="G579" s="8">
        <v>101.14</v>
      </c>
      <c r="H579" s="10">
        <v>24.27</v>
      </c>
      <c r="I579" s="21">
        <f t="shared" si="45"/>
        <v>84.991596638655466</v>
      </c>
      <c r="J579" s="21">
        <f t="shared" si="46"/>
        <v>66.499799999999993</v>
      </c>
      <c r="K579" s="21">
        <f t="shared" si="47"/>
        <v>18.491796638655472</v>
      </c>
      <c r="L579" s="8">
        <f t="shared" si="48"/>
        <v>6.7488308900202449</v>
      </c>
      <c r="M579" s="30" t="str">
        <f t="shared" si="49"/>
        <v>December</v>
      </c>
    </row>
    <row r="580" spans="1:13">
      <c r="A580" s="9" t="s">
        <v>991</v>
      </c>
      <c r="B580" s="8">
        <v>12</v>
      </c>
      <c r="C580" s="8" t="s">
        <v>35</v>
      </c>
      <c r="D580" s="8" t="s">
        <v>46</v>
      </c>
      <c r="E580" s="34" t="s">
        <v>302</v>
      </c>
      <c r="F580" s="8">
        <v>282</v>
      </c>
      <c r="G580" s="8">
        <v>112.21</v>
      </c>
      <c r="H580" s="10">
        <v>24.63</v>
      </c>
      <c r="I580" s="21">
        <f t="shared" si="45"/>
        <v>94.294117647058826</v>
      </c>
      <c r="J580" s="21">
        <f t="shared" si="46"/>
        <v>69.456599999999995</v>
      </c>
      <c r="K580" s="21">
        <f t="shared" si="47"/>
        <v>24.837517647058831</v>
      </c>
      <c r="L580" s="8">
        <f t="shared" si="48"/>
        <v>8.8076303712974582</v>
      </c>
      <c r="M580" s="30" t="str">
        <f t="shared" si="49"/>
        <v>June</v>
      </c>
    </row>
    <row r="581" spans="1:13">
      <c r="A581" s="9" t="s">
        <v>992</v>
      </c>
      <c r="B581" s="8">
        <v>12</v>
      </c>
      <c r="C581" s="8" t="s">
        <v>35</v>
      </c>
      <c r="D581" s="8" t="s">
        <v>56</v>
      </c>
      <c r="E581" s="34" t="s">
        <v>206</v>
      </c>
      <c r="F581" s="8">
        <v>252</v>
      </c>
      <c r="G581" s="8">
        <v>95.97</v>
      </c>
      <c r="H581" s="10">
        <v>25.59</v>
      </c>
      <c r="I581" s="21">
        <f t="shared" si="45"/>
        <v>80.64705882352942</v>
      </c>
      <c r="J581" s="21">
        <f t="shared" si="46"/>
        <v>64.486800000000002</v>
      </c>
      <c r="K581" s="21">
        <f t="shared" si="47"/>
        <v>16.160258823529418</v>
      </c>
      <c r="L581" s="8">
        <f t="shared" si="48"/>
        <v>6.4128011204481821</v>
      </c>
      <c r="M581" s="30" t="str">
        <f t="shared" si="49"/>
        <v>March</v>
      </c>
    </row>
    <row r="582" spans="1:13">
      <c r="A582" s="9" t="s">
        <v>993</v>
      </c>
      <c r="B582" s="8">
        <v>12</v>
      </c>
      <c r="C582" s="8" t="s">
        <v>39</v>
      </c>
      <c r="D582" s="8" t="s">
        <v>36</v>
      </c>
      <c r="E582" s="34" t="s">
        <v>147</v>
      </c>
      <c r="F582" s="8">
        <v>109</v>
      </c>
      <c r="G582" s="8">
        <v>50.4</v>
      </c>
      <c r="H582" s="10">
        <v>29.6</v>
      </c>
      <c r="I582" s="21">
        <f t="shared" si="45"/>
        <v>42.352941176470587</v>
      </c>
      <c r="J582" s="21">
        <f t="shared" si="46"/>
        <v>32.264000000000003</v>
      </c>
      <c r="K582" s="21">
        <f t="shared" si="47"/>
        <v>10.088941176470584</v>
      </c>
      <c r="L582" s="8">
        <f t="shared" si="48"/>
        <v>9.2559093362115448</v>
      </c>
      <c r="M582" s="30" t="str">
        <f t="shared" si="49"/>
        <v>January</v>
      </c>
    </row>
    <row r="583" spans="1:13">
      <c r="A583" s="9" t="s">
        <v>994</v>
      </c>
      <c r="B583" s="8">
        <v>24</v>
      </c>
      <c r="C583" s="8" t="s">
        <v>35</v>
      </c>
      <c r="D583" s="8" t="s">
        <v>36</v>
      </c>
      <c r="E583" s="34">
        <v>45599</v>
      </c>
      <c r="F583" s="8">
        <v>202</v>
      </c>
      <c r="G583" s="8">
        <v>79.11</v>
      </c>
      <c r="H583" s="10">
        <v>23.31</v>
      </c>
      <c r="I583" s="21">
        <f t="shared" si="45"/>
        <v>66.478991596638664</v>
      </c>
      <c r="J583" s="21">
        <f t="shared" si="46"/>
        <v>47.086199999999998</v>
      </c>
      <c r="K583" s="21">
        <f t="shared" si="47"/>
        <v>19.392791596638666</v>
      </c>
      <c r="L583" s="8">
        <f t="shared" si="48"/>
        <v>9.6003918795240928</v>
      </c>
      <c r="M583" s="30" t="str">
        <f t="shared" si="49"/>
        <v>April</v>
      </c>
    </row>
    <row r="584" spans="1:13">
      <c r="A584" s="9" t="s">
        <v>995</v>
      </c>
      <c r="B584" s="8">
        <v>12</v>
      </c>
      <c r="C584" s="8" t="s">
        <v>51</v>
      </c>
      <c r="D584" s="8" t="s">
        <v>46</v>
      </c>
      <c r="E584" s="34">
        <v>45694</v>
      </c>
      <c r="F584" s="8">
        <v>344</v>
      </c>
      <c r="G584" s="8">
        <v>0</v>
      </c>
      <c r="H584" s="10">
        <v>18.05</v>
      </c>
      <c r="I584" s="21">
        <f t="shared" si="45"/>
        <v>0</v>
      </c>
      <c r="J584" s="21">
        <f t="shared" si="46"/>
        <v>62.091999999999999</v>
      </c>
      <c r="K584" s="21">
        <f t="shared" si="47"/>
        <v>-62.091999999999999</v>
      </c>
      <c r="L584" s="8">
        <f t="shared" si="48"/>
        <v>-18.05</v>
      </c>
      <c r="M584" s="30" t="str">
        <f t="shared" si="49"/>
        <v>November</v>
      </c>
    </row>
    <row r="585" spans="1:13">
      <c r="A585" s="9" t="s">
        <v>996</v>
      </c>
      <c r="B585" s="8">
        <v>12</v>
      </c>
      <c r="C585" s="8" t="s">
        <v>39</v>
      </c>
      <c r="D585" s="8" t="s">
        <v>56</v>
      </c>
      <c r="E585" s="34" t="s">
        <v>997</v>
      </c>
      <c r="F585" s="8">
        <v>108</v>
      </c>
      <c r="G585" s="8">
        <v>48.69</v>
      </c>
      <c r="H585" s="10">
        <v>31.31</v>
      </c>
      <c r="I585" s="21">
        <f t="shared" si="45"/>
        <v>40.915966386554622</v>
      </c>
      <c r="J585" s="21">
        <f t="shared" si="46"/>
        <v>33.814799999999998</v>
      </c>
      <c r="K585" s="21">
        <f t="shared" si="47"/>
        <v>7.101166386554624</v>
      </c>
      <c r="L585" s="8">
        <f t="shared" si="48"/>
        <v>6.5751540616246524</v>
      </c>
      <c r="M585" s="30" t="str">
        <f t="shared" si="49"/>
        <v>December</v>
      </c>
    </row>
    <row r="586" spans="1:13">
      <c r="A586" s="9" t="s">
        <v>998</v>
      </c>
      <c r="B586" s="8">
        <v>24</v>
      </c>
      <c r="C586" s="8" t="s">
        <v>35</v>
      </c>
      <c r="D586" s="8" t="s">
        <v>36</v>
      </c>
      <c r="E586" s="37">
        <v>45304</v>
      </c>
      <c r="F586" s="8">
        <v>275</v>
      </c>
      <c r="G586" s="8">
        <v>107.87</v>
      </c>
      <c r="H586" s="10">
        <v>25.2</v>
      </c>
      <c r="I586" s="21">
        <f t="shared" si="45"/>
        <v>90.64705882352942</v>
      </c>
      <c r="J586" s="21">
        <f t="shared" si="46"/>
        <v>69.3</v>
      </c>
      <c r="K586" s="21">
        <f t="shared" si="47"/>
        <v>21.347058823529423</v>
      </c>
      <c r="L586" s="8">
        <f t="shared" si="48"/>
        <v>7.7625668449197898</v>
      </c>
      <c r="M586" s="30" t="str">
        <f t="shared" si="49"/>
        <v>May</v>
      </c>
    </row>
    <row r="587" spans="1:13">
      <c r="A587" s="9" t="s">
        <v>1000</v>
      </c>
      <c r="B587" s="8">
        <v>12</v>
      </c>
      <c r="C587" s="8" t="s">
        <v>39</v>
      </c>
      <c r="D587" s="8" t="s">
        <v>56</v>
      </c>
      <c r="E587" s="34">
        <v>45811</v>
      </c>
      <c r="F587" s="8">
        <v>162</v>
      </c>
      <c r="G587" s="8">
        <v>71.44</v>
      </c>
      <c r="H587" s="10">
        <v>28.42</v>
      </c>
      <c r="I587" s="21">
        <f t="shared" si="45"/>
        <v>60.033613445378151</v>
      </c>
      <c r="J587" s="21">
        <f t="shared" si="46"/>
        <v>46.040399999999998</v>
      </c>
      <c r="K587" s="21">
        <f t="shared" si="47"/>
        <v>13.993213445378153</v>
      </c>
      <c r="L587" s="8">
        <f t="shared" si="48"/>
        <v>8.6377860773939226</v>
      </c>
      <c r="M587" s="30" t="str">
        <f t="shared" si="49"/>
        <v>December</v>
      </c>
    </row>
    <row r="588" spans="1:13">
      <c r="A588" s="9" t="s">
        <v>1001</v>
      </c>
      <c r="B588" s="8">
        <v>12</v>
      </c>
      <c r="C588" s="8" t="s">
        <v>51</v>
      </c>
      <c r="D588" s="8" t="s">
        <v>36</v>
      </c>
      <c r="E588" s="34" t="s">
        <v>1002</v>
      </c>
      <c r="F588" s="8">
        <v>624</v>
      </c>
      <c r="G588" s="8">
        <v>202.33</v>
      </c>
      <c r="H588" s="10">
        <v>21.38</v>
      </c>
      <c r="I588" s="21">
        <f t="shared" si="45"/>
        <v>170.02521008403363</v>
      </c>
      <c r="J588" s="21">
        <f t="shared" si="46"/>
        <v>133.41119999999998</v>
      </c>
      <c r="K588" s="21">
        <f t="shared" si="47"/>
        <v>36.614010084033652</v>
      </c>
      <c r="L588" s="8">
        <f t="shared" si="48"/>
        <v>5.8676298211592393</v>
      </c>
      <c r="M588" s="30" t="str">
        <f t="shared" si="49"/>
        <v>May</v>
      </c>
    </row>
    <row r="589" spans="1:13">
      <c r="A589" s="9" t="s">
        <v>1003</v>
      </c>
      <c r="B589" s="8">
        <v>12</v>
      </c>
      <c r="C589" s="8" t="s">
        <v>39</v>
      </c>
      <c r="D589" s="8" t="s">
        <v>36</v>
      </c>
      <c r="E589" s="34" t="s">
        <v>262</v>
      </c>
      <c r="F589" s="8">
        <v>147</v>
      </c>
      <c r="G589" s="8">
        <v>63.89</v>
      </c>
      <c r="H589" s="10">
        <v>29.86</v>
      </c>
      <c r="I589" s="21">
        <f t="shared" si="45"/>
        <v>53.689075630252105</v>
      </c>
      <c r="J589" s="21">
        <f t="shared" si="46"/>
        <v>43.894199999999998</v>
      </c>
      <c r="K589" s="21">
        <f t="shared" si="47"/>
        <v>9.7948756302521076</v>
      </c>
      <c r="L589" s="8">
        <f t="shared" si="48"/>
        <v>6.6631807008517745</v>
      </c>
      <c r="M589" s="30" t="str">
        <f t="shared" si="49"/>
        <v>April</v>
      </c>
    </row>
    <row r="590" spans="1:13">
      <c r="A590" s="9" t="s">
        <v>1004</v>
      </c>
      <c r="B590" s="8">
        <v>12</v>
      </c>
      <c r="C590" s="8" t="s">
        <v>51</v>
      </c>
      <c r="D590" s="8" t="s">
        <v>46</v>
      </c>
      <c r="E590" s="34" t="s">
        <v>1005</v>
      </c>
      <c r="F590" s="8">
        <v>596</v>
      </c>
      <c r="G590" s="8">
        <v>200.42</v>
      </c>
      <c r="H590" s="10">
        <v>17.09</v>
      </c>
      <c r="I590" s="21">
        <f t="shared" si="45"/>
        <v>168.42016806722688</v>
      </c>
      <c r="J590" s="21">
        <f t="shared" si="46"/>
        <v>101.85639999999999</v>
      </c>
      <c r="K590" s="21">
        <f t="shared" si="47"/>
        <v>66.563768067226889</v>
      </c>
      <c r="L590" s="8">
        <f t="shared" si="48"/>
        <v>11.168417460944109</v>
      </c>
      <c r="M590" s="30" t="str">
        <f t="shared" si="49"/>
        <v>March</v>
      </c>
    </row>
    <row r="591" spans="1:13">
      <c r="A591" s="9" t="s">
        <v>1006</v>
      </c>
      <c r="B591" s="8">
        <v>12</v>
      </c>
      <c r="C591" s="8" t="s">
        <v>35</v>
      </c>
      <c r="D591" s="8" t="s">
        <v>56</v>
      </c>
      <c r="E591" s="34">
        <v>45778</v>
      </c>
      <c r="F591" s="8">
        <v>277</v>
      </c>
      <c r="G591" s="8">
        <v>108.33</v>
      </c>
      <c r="H591" s="10">
        <v>25.92</v>
      </c>
      <c r="I591" s="21">
        <f t="shared" si="45"/>
        <v>91.033613445378151</v>
      </c>
      <c r="J591" s="21">
        <f t="shared" si="46"/>
        <v>71.798400000000001</v>
      </c>
      <c r="K591" s="21">
        <f t="shared" si="47"/>
        <v>19.23521344537815</v>
      </c>
      <c r="L591" s="8">
        <f t="shared" si="48"/>
        <v>6.9441203773928342</v>
      </c>
      <c r="M591" s="30" t="str">
        <f t="shared" si="49"/>
        <v>July</v>
      </c>
    </row>
    <row r="592" spans="1:13">
      <c r="A592" s="9" t="s">
        <v>1007</v>
      </c>
      <c r="B592" s="8">
        <v>12</v>
      </c>
      <c r="C592" s="8" t="s">
        <v>39</v>
      </c>
      <c r="D592" s="8" t="s">
        <v>36</v>
      </c>
      <c r="E592" s="34" t="s">
        <v>112</v>
      </c>
      <c r="F592" s="8">
        <v>105</v>
      </c>
      <c r="G592" s="8">
        <v>47.3</v>
      </c>
      <c r="H592" s="10">
        <v>28.86</v>
      </c>
      <c r="I592" s="21">
        <f t="shared" si="45"/>
        <v>39.747899159663866</v>
      </c>
      <c r="J592" s="21">
        <f t="shared" si="46"/>
        <v>30.302999999999997</v>
      </c>
      <c r="K592" s="21">
        <f t="shared" si="47"/>
        <v>9.4448991596638692</v>
      </c>
      <c r="L592" s="8">
        <f t="shared" si="48"/>
        <v>8.9951420568227327</v>
      </c>
      <c r="M592" s="30" t="str">
        <f t="shared" si="49"/>
        <v>April</v>
      </c>
    </row>
    <row r="593" spans="1:13">
      <c r="A593" s="9" t="s">
        <v>1008</v>
      </c>
      <c r="B593" s="8">
        <v>24</v>
      </c>
      <c r="C593" s="8" t="s">
        <v>39</v>
      </c>
      <c r="D593" s="8" t="s">
        <v>56</v>
      </c>
      <c r="E593" s="34">
        <v>45418</v>
      </c>
      <c r="F593" s="8">
        <v>159</v>
      </c>
      <c r="G593" s="8">
        <v>66.45</v>
      </c>
      <c r="H593" s="10">
        <v>30.27</v>
      </c>
      <c r="I593" s="21">
        <f t="shared" si="45"/>
        <v>55.840336134453786</v>
      </c>
      <c r="J593" s="21">
        <f t="shared" si="46"/>
        <v>48.129300000000001</v>
      </c>
      <c r="K593" s="21">
        <f t="shared" si="47"/>
        <v>7.711036134453785</v>
      </c>
      <c r="L593" s="8">
        <f t="shared" si="48"/>
        <v>4.8497082606627577</v>
      </c>
      <c r="M593" s="30" t="str">
        <f t="shared" si="49"/>
        <v>July</v>
      </c>
    </row>
    <row r="594" spans="1:13">
      <c r="A594" s="9" t="s">
        <v>1009</v>
      </c>
      <c r="B594" s="8">
        <v>12</v>
      </c>
      <c r="C594" s="8" t="s">
        <v>39</v>
      </c>
      <c r="D594" s="8" t="s">
        <v>46</v>
      </c>
      <c r="E594" s="34" t="s">
        <v>248</v>
      </c>
      <c r="F594" s="8">
        <v>139</v>
      </c>
      <c r="G594" s="8">
        <v>62.57</v>
      </c>
      <c r="H594" s="10">
        <v>30.38</v>
      </c>
      <c r="I594" s="21">
        <f t="shared" si="45"/>
        <v>52.579831932773111</v>
      </c>
      <c r="J594" s="21">
        <f t="shared" si="46"/>
        <v>42.228199999999994</v>
      </c>
      <c r="K594" s="21">
        <f t="shared" si="47"/>
        <v>10.351631932773117</v>
      </c>
      <c r="L594" s="8">
        <f t="shared" si="48"/>
        <v>7.4472172178223852</v>
      </c>
      <c r="M594" s="30" t="str">
        <f t="shared" si="49"/>
        <v>March</v>
      </c>
    </row>
    <row r="595" spans="1:13">
      <c r="A595" s="9" t="s">
        <v>1010</v>
      </c>
      <c r="B595" s="8">
        <v>12</v>
      </c>
      <c r="C595" s="8" t="s">
        <v>35</v>
      </c>
      <c r="D595" s="8" t="s">
        <v>36</v>
      </c>
      <c r="E595" s="34" t="s">
        <v>801</v>
      </c>
      <c r="F595" s="8">
        <v>260</v>
      </c>
      <c r="G595" s="8">
        <v>97.19</v>
      </c>
      <c r="H595" s="10">
        <v>26.96</v>
      </c>
      <c r="I595" s="21">
        <f t="shared" si="45"/>
        <v>81.672268907563023</v>
      </c>
      <c r="J595" s="21">
        <f t="shared" si="46"/>
        <v>70.096000000000004</v>
      </c>
      <c r="K595" s="21">
        <f t="shared" si="47"/>
        <v>11.576268907563019</v>
      </c>
      <c r="L595" s="8">
        <f t="shared" si="48"/>
        <v>4.4524111182934689</v>
      </c>
      <c r="M595" s="30" t="str">
        <f t="shared" si="49"/>
        <v>June</v>
      </c>
    </row>
    <row r="596" spans="1:13">
      <c r="A596" s="9" t="s">
        <v>1011</v>
      </c>
      <c r="B596" s="8">
        <v>24</v>
      </c>
      <c r="C596" s="8" t="s">
        <v>39</v>
      </c>
      <c r="D596" s="8" t="s">
        <v>36</v>
      </c>
      <c r="E596" s="34" t="s">
        <v>1012</v>
      </c>
      <c r="F596" s="8">
        <v>92</v>
      </c>
      <c r="G596" s="8">
        <v>45.1</v>
      </c>
      <c r="H596" s="10">
        <v>28.13</v>
      </c>
      <c r="I596" s="21">
        <f t="shared" si="45"/>
        <v>37.899159663865547</v>
      </c>
      <c r="J596" s="21">
        <f t="shared" si="46"/>
        <v>25.8796</v>
      </c>
      <c r="K596" s="21">
        <f t="shared" si="47"/>
        <v>12.019559663865547</v>
      </c>
      <c r="L596" s="8">
        <f t="shared" si="48"/>
        <v>13.064738765071246</v>
      </c>
      <c r="M596" s="30" t="str">
        <f t="shared" si="49"/>
        <v>June</v>
      </c>
    </row>
    <row r="597" spans="1:13">
      <c r="A597" s="9" t="s">
        <v>1013</v>
      </c>
      <c r="B597" s="8">
        <v>12</v>
      </c>
      <c r="C597" s="8" t="s">
        <v>51</v>
      </c>
      <c r="D597" s="8" t="s">
        <v>56</v>
      </c>
      <c r="E597" s="34">
        <v>45361</v>
      </c>
      <c r="F597" s="8">
        <v>482</v>
      </c>
      <c r="G597" s="8">
        <v>163.04</v>
      </c>
      <c r="H597" s="10">
        <v>19.79</v>
      </c>
      <c r="I597" s="21">
        <f t="shared" si="45"/>
        <v>137.00840336134453</v>
      </c>
      <c r="J597" s="21">
        <f t="shared" si="46"/>
        <v>95.387799999999984</v>
      </c>
      <c r="K597" s="21">
        <f t="shared" si="47"/>
        <v>41.62060336134455</v>
      </c>
      <c r="L597" s="8">
        <f t="shared" si="48"/>
        <v>8.6349799504864215</v>
      </c>
      <c r="M597" s="30" t="str">
        <f t="shared" si="49"/>
        <v>February</v>
      </c>
    </row>
    <row r="598" spans="1:13">
      <c r="A598" s="9" t="s">
        <v>1014</v>
      </c>
      <c r="B598" s="8">
        <v>24</v>
      </c>
      <c r="C598" s="8" t="s">
        <v>35</v>
      </c>
      <c r="D598" s="8" t="s">
        <v>36</v>
      </c>
      <c r="E598" s="34">
        <v>45935</v>
      </c>
      <c r="F598" s="8">
        <v>243</v>
      </c>
      <c r="G598" s="8">
        <v>94.65</v>
      </c>
      <c r="H598" s="10">
        <v>26.13</v>
      </c>
      <c r="I598" s="21">
        <f t="shared" si="45"/>
        <v>79.537815126050432</v>
      </c>
      <c r="J598" s="21">
        <f t="shared" si="46"/>
        <v>63.495899999999999</v>
      </c>
      <c r="K598" s="21">
        <f t="shared" si="47"/>
        <v>16.041915126050434</v>
      </c>
      <c r="L598" s="8">
        <f t="shared" si="48"/>
        <v>6.6016111629837173</v>
      </c>
      <c r="M598" s="30" t="str">
        <f t="shared" si="49"/>
        <v>December</v>
      </c>
    </row>
    <row r="599" spans="1:13">
      <c r="A599" s="9" t="s">
        <v>1016</v>
      </c>
      <c r="B599" s="8">
        <v>12</v>
      </c>
      <c r="C599" s="8" t="s">
        <v>39</v>
      </c>
      <c r="D599" s="8" t="s">
        <v>36</v>
      </c>
      <c r="E599" s="34" t="s">
        <v>748</v>
      </c>
      <c r="F599" s="8">
        <v>156</v>
      </c>
      <c r="G599" s="8">
        <v>64.84</v>
      </c>
      <c r="H599" s="10">
        <v>28.41</v>
      </c>
      <c r="I599" s="21">
        <f t="shared" si="45"/>
        <v>54.487394957983199</v>
      </c>
      <c r="J599" s="21">
        <f t="shared" si="46"/>
        <v>44.319600000000001</v>
      </c>
      <c r="K599" s="21">
        <f t="shared" si="47"/>
        <v>10.167794957983197</v>
      </c>
      <c r="L599" s="8">
        <f t="shared" si="48"/>
        <v>6.51781728075846</v>
      </c>
      <c r="M599" s="30" t="str">
        <f t="shared" si="49"/>
        <v>April</v>
      </c>
    </row>
    <row r="600" spans="1:13">
      <c r="A600" s="9" t="s">
        <v>1017</v>
      </c>
      <c r="B600" s="8">
        <v>12</v>
      </c>
      <c r="C600" s="8" t="s">
        <v>35</v>
      </c>
      <c r="D600" s="8" t="s">
        <v>36</v>
      </c>
      <c r="E600" s="34" t="s">
        <v>691</v>
      </c>
      <c r="F600" s="8">
        <v>258</v>
      </c>
      <c r="G600" s="8">
        <v>96.41</v>
      </c>
      <c r="H600" s="10">
        <v>22.69</v>
      </c>
      <c r="I600" s="21">
        <f t="shared" si="45"/>
        <v>81.016806722689083</v>
      </c>
      <c r="J600" s="21">
        <f t="shared" si="46"/>
        <v>58.540200000000006</v>
      </c>
      <c r="K600" s="21">
        <f t="shared" si="47"/>
        <v>22.476606722689077</v>
      </c>
      <c r="L600" s="8">
        <f t="shared" si="48"/>
        <v>8.71186307080972</v>
      </c>
      <c r="M600" s="30" t="str">
        <f t="shared" si="49"/>
        <v>March</v>
      </c>
    </row>
    <row r="601" spans="1:13">
      <c r="A601" s="9" t="s">
        <v>1018</v>
      </c>
      <c r="B601" s="8">
        <v>12</v>
      </c>
      <c r="C601" s="8" t="s">
        <v>35</v>
      </c>
      <c r="D601" s="8" t="s">
        <v>56</v>
      </c>
      <c r="E601" s="34">
        <v>45301</v>
      </c>
      <c r="F601" s="8">
        <v>230</v>
      </c>
      <c r="G601" s="8">
        <v>88.43</v>
      </c>
      <c r="H601" s="10">
        <v>24.27</v>
      </c>
      <c r="I601" s="21">
        <f t="shared" si="45"/>
        <v>74.310924369747909</v>
      </c>
      <c r="J601" s="21">
        <f t="shared" si="46"/>
        <v>55.820999999999998</v>
      </c>
      <c r="K601" s="21">
        <f t="shared" si="47"/>
        <v>18.489924369747911</v>
      </c>
      <c r="L601" s="8">
        <f t="shared" si="48"/>
        <v>8.0390975520643089</v>
      </c>
      <c r="M601" s="30" t="str">
        <f t="shared" si="49"/>
        <v>February</v>
      </c>
    </row>
    <row r="602" spans="1:13">
      <c r="A602" s="9" t="s">
        <v>1019</v>
      </c>
      <c r="B602" s="8">
        <v>12</v>
      </c>
      <c r="C602" s="8" t="s">
        <v>39</v>
      </c>
      <c r="D602" s="8" t="s">
        <v>46</v>
      </c>
      <c r="E602" s="34" t="s">
        <v>1020</v>
      </c>
      <c r="F602" s="8">
        <v>165</v>
      </c>
      <c r="G602" s="8">
        <v>66.88</v>
      </c>
      <c r="H602" s="10">
        <v>29.19</v>
      </c>
      <c r="I602" s="21">
        <f t="shared" si="45"/>
        <v>56.201680672268907</v>
      </c>
      <c r="J602" s="21">
        <f t="shared" si="46"/>
        <v>48.163500000000006</v>
      </c>
      <c r="K602" s="21">
        <f t="shared" si="47"/>
        <v>8.0381806722689007</v>
      </c>
      <c r="L602" s="8">
        <f t="shared" si="48"/>
        <v>4.8716246498599398</v>
      </c>
      <c r="M602" s="30" t="str">
        <f t="shared" si="49"/>
        <v>November</v>
      </c>
    </row>
    <row r="603" spans="1:13">
      <c r="A603" s="9" t="s">
        <v>1021</v>
      </c>
      <c r="B603" s="8">
        <v>12</v>
      </c>
      <c r="C603" s="8" t="s">
        <v>39</v>
      </c>
      <c r="D603" s="8" t="s">
        <v>46</v>
      </c>
      <c r="E603" s="34">
        <v>45513</v>
      </c>
      <c r="F603" s="8">
        <v>92</v>
      </c>
      <c r="G603" s="8">
        <v>47.46</v>
      </c>
      <c r="H603" s="10">
        <v>31.75</v>
      </c>
      <c r="I603" s="21">
        <f t="shared" si="45"/>
        <v>39.882352941176471</v>
      </c>
      <c r="J603" s="21">
        <f t="shared" si="46"/>
        <v>29.21</v>
      </c>
      <c r="K603" s="21">
        <f t="shared" si="47"/>
        <v>10.67235294117647</v>
      </c>
      <c r="L603" s="8">
        <f t="shared" si="48"/>
        <v>11.600383631713553</v>
      </c>
      <c r="M603" s="30" t="str">
        <f t="shared" si="49"/>
        <v>February</v>
      </c>
    </row>
    <row r="604" spans="1:13">
      <c r="A604" s="9" t="s">
        <v>1023</v>
      </c>
      <c r="B604" s="8">
        <v>12</v>
      </c>
      <c r="C604" s="8" t="s">
        <v>39</v>
      </c>
      <c r="D604" s="8" t="s">
        <v>36</v>
      </c>
      <c r="E604" s="37">
        <v>45380</v>
      </c>
      <c r="F604" s="8">
        <v>118</v>
      </c>
      <c r="G604" s="8">
        <v>57.41</v>
      </c>
      <c r="H604" s="10">
        <v>31.27</v>
      </c>
      <c r="I604" s="21">
        <f t="shared" si="45"/>
        <v>48.243697478991599</v>
      </c>
      <c r="J604" s="21">
        <f t="shared" si="46"/>
        <v>36.898600000000002</v>
      </c>
      <c r="K604" s="21">
        <f t="shared" si="47"/>
        <v>11.345097478991597</v>
      </c>
      <c r="L604" s="8">
        <f t="shared" si="48"/>
        <v>9.6144893889759295</v>
      </c>
      <c r="M604" s="30" t="str">
        <f t="shared" si="49"/>
        <v>September</v>
      </c>
    </row>
    <row r="605" spans="1:13">
      <c r="A605" s="9" t="s">
        <v>1025</v>
      </c>
      <c r="B605" s="8">
        <v>12</v>
      </c>
      <c r="C605" s="8" t="s">
        <v>35</v>
      </c>
      <c r="D605" s="8" t="s">
        <v>46</v>
      </c>
      <c r="E605" s="37">
        <v>45577</v>
      </c>
      <c r="F605" s="8">
        <v>45363</v>
      </c>
      <c r="G605" s="8">
        <v>67.87</v>
      </c>
      <c r="H605" s="10">
        <v>25.93</v>
      </c>
      <c r="I605" s="21">
        <f t="shared" si="45"/>
        <v>57.033613445378158</v>
      </c>
      <c r="J605" s="21">
        <f t="shared" si="46"/>
        <v>11762.625900000001</v>
      </c>
      <c r="K605" s="21">
        <f t="shared" si="47"/>
        <v>-11705.592286554624</v>
      </c>
      <c r="L605" s="8">
        <f t="shared" si="48"/>
        <v>-25.804272835911696</v>
      </c>
      <c r="M605" s="30" t="str">
        <f t="shared" si="49"/>
        <v>June</v>
      </c>
    </row>
    <row r="606" spans="1:13">
      <c r="A606" s="9" t="s">
        <v>1027</v>
      </c>
      <c r="B606" s="8">
        <v>12</v>
      </c>
      <c r="C606" s="8" t="s">
        <v>35</v>
      </c>
      <c r="D606" s="8" t="s">
        <v>46</v>
      </c>
      <c r="E606" s="34">
        <v>45812</v>
      </c>
      <c r="F606" s="8">
        <v>290</v>
      </c>
      <c r="G606" s="8">
        <v>110.32</v>
      </c>
      <c r="H606" s="10">
        <v>23.04</v>
      </c>
      <c r="I606" s="21">
        <f t="shared" si="45"/>
        <v>92.705882352941174</v>
      </c>
      <c r="J606" s="21">
        <f t="shared" si="46"/>
        <v>66.815999999999988</v>
      </c>
      <c r="K606" s="21">
        <f t="shared" si="47"/>
        <v>25.889882352941186</v>
      </c>
      <c r="L606" s="8">
        <f t="shared" si="48"/>
        <v>8.9275456389452366</v>
      </c>
      <c r="M606" s="30" t="str">
        <f t="shared" si="49"/>
        <v>January</v>
      </c>
    </row>
    <row r="607" spans="1:13">
      <c r="A607" s="9" t="s">
        <v>1029</v>
      </c>
      <c r="B607" s="8">
        <v>12</v>
      </c>
      <c r="C607" s="8" t="s">
        <v>35</v>
      </c>
      <c r="D607" s="8" t="s">
        <v>56</v>
      </c>
      <c r="E607" s="34">
        <v>45452</v>
      </c>
      <c r="F607" s="8">
        <v>319</v>
      </c>
      <c r="G607" s="8">
        <v>124.73</v>
      </c>
      <c r="H607" s="10">
        <v>25.88</v>
      </c>
      <c r="I607" s="21">
        <f t="shared" si="45"/>
        <v>104.81512605042018</v>
      </c>
      <c r="J607" s="21">
        <f t="shared" si="46"/>
        <v>82.557199999999995</v>
      </c>
      <c r="K607" s="21">
        <f t="shared" si="47"/>
        <v>22.257926050420181</v>
      </c>
      <c r="L607" s="8">
        <f t="shared" si="48"/>
        <v>6.9774062853981755</v>
      </c>
      <c r="M607" s="30" t="str">
        <f t="shared" si="49"/>
        <v>May</v>
      </c>
    </row>
    <row r="608" spans="1:13">
      <c r="A608" s="9" t="s">
        <v>1030</v>
      </c>
      <c r="B608" s="8">
        <v>12</v>
      </c>
      <c r="C608" s="8" t="s">
        <v>51</v>
      </c>
      <c r="D608" s="8" t="s">
        <v>56</v>
      </c>
      <c r="E608" s="34" t="s">
        <v>805</v>
      </c>
      <c r="F608" s="8">
        <v>426</v>
      </c>
      <c r="G608" s="8">
        <v>151.36000000000001</v>
      </c>
      <c r="H608" s="10">
        <v>18.66</v>
      </c>
      <c r="I608" s="21">
        <f t="shared" si="45"/>
        <v>127.19327731092439</v>
      </c>
      <c r="J608" s="21">
        <f t="shared" si="46"/>
        <v>79.491600000000005</v>
      </c>
      <c r="K608" s="21">
        <f t="shared" si="47"/>
        <v>47.701677310924381</v>
      </c>
      <c r="L608" s="8">
        <f t="shared" si="48"/>
        <v>11.197576833550324</v>
      </c>
      <c r="M608" s="30" t="str">
        <f t="shared" si="49"/>
        <v>April</v>
      </c>
    </row>
    <row r="609" spans="1:13">
      <c r="A609" s="9" t="s">
        <v>1031</v>
      </c>
      <c r="B609" s="8">
        <v>12</v>
      </c>
      <c r="C609" s="8" t="s">
        <v>51</v>
      </c>
      <c r="D609" s="8" t="s">
        <v>36</v>
      </c>
      <c r="E609" s="34" t="s">
        <v>164</v>
      </c>
      <c r="F609" s="8">
        <v>620</v>
      </c>
      <c r="G609" s="8">
        <v>196.36</v>
      </c>
      <c r="H609" s="10">
        <v>18.239999999999998</v>
      </c>
      <c r="I609" s="21">
        <f t="shared" si="45"/>
        <v>165.00840336134456</v>
      </c>
      <c r="J609" s="21">
        <f t="shared" si="46"/>
        <v>113.08799999999999</v>
      </c>
      <c r="K609" s="21">
        <f t="shared" si="47"/>
        <v>51.920403361344569</v>
      </c>
      <c r="L609" s="8">
        <f t="shared" si="48"/>
        <v>8.3742586066684783</v>
      </c>
      <c r="M609" s="30" t="str">
        <f t="shared" si="49"/>
        <v>January</v>
      </c>
    </row>
    <row r="610" spans="1:13">
      <c r="A610" s="9" t="s">
        <v>1032</v>
      </c>
      <c r="B610" s="8">
        <v>12</v>
      </c>
      <c r="C610" s="8" t="s">
        <v>35</v>
      </c>
      <c r="D610" s="8" t="s">
        <v>46</v>
      </c>
      <c r="E610" s="34">
        <v>45577</v>
      </c>
      <c r="F610" s="8">
        <v>216</v>
      </c>
      <c r="G610" s="8">
        <v>86.36</v>
      </c>
      <c r="H610" s="10">
        <v>22.2</v>
      </c>
      <c r="I610" s="21">
        <f t="shared" si="45"/>
        <v>72.571428571428569</v>
      </c>
      <c r="J610" s="21">
        <f t="shared" si="46"/>
        <v>47.951999999999998</v>
      </c>
      <c r="K610" s="21">
        <f t="shared" si="47"/>
        <v>24.619428571428571</v>
      </c>
      <c r="L610" s="8">
        <f t="shared" si="48"/>
        <v>11.397883597883597</v>
      </c>
      <c r="M610" s="30" t="str">
        <f t="shared" si="49"/>
        <v>June</v>
      </c>
    </row>
    <row r="611" spans="1:13">
      <c r="A611" s="9" t="s">
        <v>1033</v>
      </c>
      <c r="B611" s="8">
        <v>24</v>
      </c>
      <c r="C611" s="8" t="s">
        <v>51</v>
      </c>
      <c r="D611" s="8" t="s">
        <v>36</v>
      </c>
      <c r="E611" s="34" t="s">
        <v>898</v>
      </c>
      <c r="F611" s="8">
        <v>637</v>
      </c>
      <c r="G611" s="8">
        <v>210.15</v>
      </c>
      <c r="H611" s="10">
        <v>16.760000000000002</v>
      </c>
      <c r="I611" s="21">
        <f t="shared" si="45"/>
        <v>176.59663865546219</v>
      </c>
      <c r="J611" s="21">
        <f t="shared" si="46"/>
        <v>106.7612</v>
      </c>
      <c r="K611" s="21">
        <f t="shared" si="47"/>
        <v>69.835438655462184</v>
      </c>
      <c r="L611" s="8">
        <f t="shared" si="48"/>
        <v>10.963177182961097</v>
      </c>
      <c r="M611" s="30" t="str">
        <f t="shared" si="49"/>
        <v>January</v>
      </c>
    </row>
    <row r="612" spans="1:13">
      <c r="A612" s="9" t="s">
        <v>1034</v>
      </c>
      <c r="B612" s="8">
        <v>12</v>
      </c>
      <c r="C612" s="8" t="s">
        <v>39</v>
      </c>
      <c r="D612" s="8" t="s">
        <v>36</v>
      </c>
      <c r="E612" s="34" t="s">
        <v>789</v>
      </c>
      <c r="F612" s="8">
        <v>146</v>
      </c>
      <c r="G612" s="8">
        <v>63.32</v>
      </c>
      <c r="H612" s="10">
        <v>32.770000000000003</v>
      </c>
      <c r="I612" s="21">
        <f t="shared" si="45"/>
        <v>53.210084033613448</v>
      </c>
      <c r="J612" s="21">
        <f t="shared" si="46"/>
        <v>47.844200000000001</v>
      </c>
      <c r="K612" s="21">
        <f t="shared" si="47"/>
        <v>5.3658840336134475</v>
      </c>
      <c r="L612" s="8">
        <f t="shared" si="48"/>
        <v>3.6752630367215393</v>
      </c>
      <c r="M612" s="30" t="str">
        <f t="shared" si="49"/>
        <v>May</v>
      </c>
    </row>
    <row r="613" spans="1:13">
      <c r="A613" s="9" t="s">
        <v>1035</v>
      </c>
      <c r="B613" s="8">
        <v>24</v>
      </c>
      <c r="C613" s="8" t="s">
        <v>39</v>
      </c>
      <c r="D613" s="8" t="s">
        <v>36</v>
      </c>
      <c r="E613" s="34" t="s">
        <v>170</v>
      </c>
      <c r="F613" s="8">
        <v>151</v>
      </c>
      <c r="G613" s="8">
        <v>61.34</v>
      </c>
      <c r="H613" s="10">
        <v>29.83</v>
      </c>
      <c r="I613" s="21">
        <f t="shared" si="45"/>
        <v>51.546218487394967</v>
      </c>
      <c r="J613" s="21">
        <f t="shared" si="46"/>
        <v>45.043300000000002</v>
      </c>
      <c r="K613" s="21">
        <f t="shared" si="47"/>
        <v>6.5029184873949646</v>
      </c>
      <c r="L613" s="8">
        <f t="shared" si="48"/>
        <v>4.306568534698652</v>
      </c>
      <c r="M613" s="30" t="str">
        <f t="shared" si="49"/>
        <v>November</v>
      </c>
    </row>
    <row r="614" spans="1:13">
      <c r="A614" s="9" t="s">
        <v>1036</v>
      </c>
      <c r="B614" s="8">
        <v>24</v>
      </c>
      <c r="C614" s="8" t="s">
        <v>39</v>
      </c>
      <c r="D614" s="8" t="s">
        <v>36</v>
      </c>
      <c r="E614" s="34">
        <v>45419</v>
      </c>
      <c r="F614" s="8">
        <v>84</v>
      </c>
      <c r="G614" s="8">
        <v>42.65</v>
      </c>
      <c r="H614" s="10">
        <v>28.91</v>
      </c>
      <c r="I614" s="21">
        <f t="shared" si="45"/>
        <v>35.840336134453779</v>
      </c>
      <c r="J614" s="21">
        <f t="shared" si="46"/>
        <v>24.284400000000002</v>
      </c>
      <c r="K614" s="21">
        <f t="shared" si="47"/>
        <v>11.555936134453777</v>
      </c>
      <c r="L614" s="8">
        <f t="shared" si="48"/>
        <v>13.757066826730687</v>
      </c>
      <c r="M614" s="30" t="str">
        <f t="shared" si="49"/>
        <v>August</v>
      </c>
    </row>
    <row r="615" spans="1:13">
      <c r="A615" s="9" t="s">
        <v>1037</v>
      </c>
      <c r="B615" s="8">
        <v>12</v>
      </c>
      <c r="C615" s="8" t="s">
        <v>39</v>
      </c>
      <c r="D615" s="8" t="s">
        <v>36</v>
      </c>
      <c r="E615" s="34" t="s">
        <v>1038</v>
      </c>
      <c r="F615" s="8">
        <v>164</v>
      </c>
      <c r="G615" s="8">
        <v>65.03</v>
      </c>
      <c r="H615" s="10">
        <v>32.46</v>
      </c>
      <c r="I615" s="21">
        <f t="shared" si="45"/>
        <v>54.647058823529413</v>
      </c>
      <c r="J615" s="21">
        <f t="shared" si="46"/>
        <v>53.234400000000008</v>
      </c>
      <c r="K615" s="21">
        <f t="shared" si="47"/>
        <v>1.4126588235294051</v>
      </c>
      <c r="L615" s="8">
        <f t="shared" si="48"/>
        <v>0.86137733142036887</v>
      </c>
      <c r="M615" s="30" t="str">
        <f t="shared" si="49"/>
        <v>May</v>
      </c>
    </row>
    <row r="616" spans="1:13">
      <c r="A616" s="9" t="s">
        <v>1039</v>
      </c>
      <c r="B616" s="8">
        <v>24</v>
      </c>
      <c r="C616" s="8" t="s">
        <v>35</v>
      </c>
      <c r="D616" s="8" t="s">
        <v>46</v>
      </c>
      <c r="E616" s="34">
        <v>45420</v>
      </c>
      <c r="F616" s="8">
        <v>288</v>
      </c>
      <c r="G616" s="8">
        <v>104.73</v>
      </c>
      <c r="H616" s="10">
        <v>23.01</v>
      </c>
      <c r="I616" s="21">
        <f t="shared" si="45"/>
        <v>88.008403361344548</v>
      </c>
      <c r="J616" s="21">
        <f t="shared" si="46"/>
        <v>66.268799999999999</v>
      </c>
      <c r="K616" s="21">
        <f t="shared" si="47"/>
        <v>21.73960336134455</v>
      </c>
      <c r="L616" s="8">
        <f t="shared" si="48"/>
        <v>7.5484733893557463</v>
      </c>
      <c r="M616" s="30" t="str">
        <f t="shared" si="49"/>
        <v>September</v>
      </c>
    </row>
    <row r="617" spans="1:13">
      <c r="A617" s="9" t="s">
        <v>1040</v>
      </c>
      <c r="B617" s="8">
        <v>24</v>
      </c>
      <c r="C617" s="8" t="s">
        <v>51</v>
      </c>
      <c r="D617" s="8" t="s">
        <v>36</v>
      </c>
      <c r="E617" s="34" t="s">
        <v>149</v>
      </c>
      <c r="F617" s="8">
        <v>435</v>
      </c>
      <c r="G617" s="8">
        <v>145.63</v>
      </c>
      <c r="H617" s="10">
        <v>19.39</v>
      </c>
      <c r="I617" s="21">
        <f t="shared" si="45"/>
        <v>122.3781512605042</v>
      </c>
      <c r="J617" s="21">
        <f t="shared" si="46"/>
        <v>84.346499999999992</v>
      </c>
      <c r="K617" s="21">
        <f t="shared" si="47"/>
        <v>38.031651260504205</v>
      </c>
      <c r="L617" s="8">
        <f t="shared" si="48"/>
        <v>8.7429083357480923</v>
      </c>
      <c r="M617" s="30" t="str">
        <f t="shared" si="49"/>
        <v>December</v>
      </c>
    </row>
    <row r="618" spans="1:13">
      <c r="A618" s="9" t="s">
        <v>1041</v>
      </c>
      <c r="B618" s="8">
        <v>12</v>
      </c>
      <c r="C618" s="8" t="s">
        <v>39</v>
      </c>
      <c r="D618" s="8" t="s">
        <v>46</v>
      </c>
      <c r="E618" s="34" t="s">
        <v>1042</v>
      </c>
      <c r="F618" s="8">
        <v>153</v>
      </c>
      <c r="G618" s="8">
        <v>66.489999999999995</v>
      </c>
      <c r="H618" s="10">
        <v>29.44</v>
      </c>
      <c r="I618" s="21">
        <f t="shared" si="45"/>
        <v>55.87394957983193</v>
      </c>
      <c r="J618" s="21">
        <f t="shared" si="46"/>
        <v>45.043200000000006</v>
      </c>
      <c r="K618" s="21">
        <f t="shared" si="47"/>
        <v>10.830749579831924</v>
      </c>
      <c r="L618" s="8">
        <f t="shared" si="48"/>
        <v>7.0789212940077935</v>
      </c>
      <c r="M618" s="30" t="str">
        <f t="shared" si="49"/>
        <v>September</v>
      </c>
    </row>
    <row r="619" spans="1:13">
      <c r="A619" s="9" t="s">
        <v>1043</v>
      </c>
      <c r="B619" s="8">
        <v>12</v>
      </c>
      <c r="C619" s="8" t="s">
        <v>39</v>
      </c>
      <c r="D619" s="8" t="s">
        <v>36</v>
      </c>
      <c r="E619" s="34" t="s">
        <v>88</v>
      </c>
      <c r="F619" s="8">
        <v>107</v>
      </c>
      <c r="G619" s="8">
        <v>49.87</v>
      </c>
      <c r="H619" s="10">
        <v>31.29</v>
      </c>
      <c r="I619" s="21">
        <f t="shared" si="45"/>
        <v>41.907563025210081</v>
      </c>
      <c r="J619" s="21">
        <f t="shared" si="46"/>
        <v>33.4803</v>
      </c>
      <c r="K619" s="21">
        <f t="shared" si="47"/>
        <v>8.4272630252100811</v>
      </c>
      <c r="L619" s="8">
        <f t="shared" si="48"/>
        <v>7.8759467525327862</v>
      </c>
      <c r="M619" s="30" t="str">
        <f t="shared" si="49"/>
        <v>December</v>
      </c>
    </row>
    <row r="620" spans="1:13">
      <c r="A620" s="9" t="s">
        <v>1044</v>
      </c>
      <c r="B620" s="8">
        <v>24</v>
      </c>
      <c r="C620" s="8" t="s">
        <v>35</v>
      </c>
      <c r="D620" s="8" t="s">
        <v>36</v>
      </c>
      <c r="E620" s="34" t="s">
        <v>1045</v>
      </c>
      <c r="F620" s="8">
        <v>312</v>
      </c>
      <c r="G620" s="8">
        <v>115.44</v>
      </c>
      <c r="H620" s="10">
        <v>25.28</v>
      </c>
      <c r="I620" s="21">
        <f t="shared" si="45"/>
        <v>97.008403361344534</v>
      </c>
      <c r="J620" s="21">
        <f t="shared" si="46"/>
        <v>78.87360000000001</v>
      </c>
      <c r="K620" s="21">
        <f t="shared" si="47"/>
        <v>18.134803361344524</v>
      </c>
      <c r="L620" s="8">
        <f t="shared" si="48"/>
        <v>5.8124369747899109</v>
      </c>
      <c r="M620" s="30" t="str">
        <f t="shared" si="49"/>
        <v>October</v>
      </c>
    </row>
    <row r="621" spans="1:13">
      <c r="A621" s="9" t="s">
        <v>1046</v>
      </c>
      <c r="B621" s="8">
        <v>24</v>
      </c>
      <c r="C621" s="8" t="s">
        <v>51</v>
      </c>
      <c r="D621" s="8" t="s">
        <v>46</v>
      </c>
      <c r="E621" s="34">
        <v>45545</v>
      </c>
      <c r="F621" s="8">
        <v>371</v>
      </c>
      <c r="G621" s="8">
        <v>132.66999999999999</v>
      </c>
      <c r="H621" s="10">
        <v>18.89</v>
      </c>
      <c r="I621" s="21">
        <f t="shared" si="45"/>
        <v>111.48739495798318</v>
      </c>
      <c r="J621" s="21">
        <f t="shared" si="46"/>
        <v>70.081900000000005</v>
      </c>
      <c r="K621" s="21">
        <f t="shared" si="47"/>
        <v>41.40549495798318</v>
      </c>
      <c r="L621" s="8">
        <f t="shared" si="48"/>
        <v>11.160510770345871</v>
      </c>
      <c r="M621" s="30" t="str">
        <f t="shared" si="49"/>
        <v>October</v>
      </c>
    </row>
    <row r="622" spans="1:13">
      <c r="A622" s="9" t="s">
        <v>1048</v>
      </c>
      <c r="B622" s="8">
        <v>12</v>
      </c>
      <c r="C622" s="8" t="s">
        <v>39</v>
      </c>
      <c r="D622" s="8" t="s">
        <v>36</v>
      </c>
      <c r="E622" s="34">
        <v>45597</v>
      </c>
      <c r="F622" s="8">
        <v>142</v>
      </c>
      <c r="G622" s="8">
        <v>62.13</v>
      </c>
      <c r="H622" s="10">
        <v>29.4</v>
      </c>
      <c r="I622" s="21">
        <f t="shared" si="45"/>
        <v>52.210084033613448</v>
      </c>
      <c r="J622" s="21">
        <f t="shared" si="46"/>
        <v>41.748000000000005</v>
      </c>
      <c r="K622" s="21">
        <f t="shared" si="47"/>
        <v>10.462084033613444</v>
      </c>
      <c r="L622" s="8">
        <f t="shared" si="48"/>
        <v>7.3676648124038335</v>
      </c>
      <c r="M622" s="30" t="str">
        <f t="shared" si="49"/>
        <v>February</v>
      </c>
    </row>
    <row r="623" spans="1:13">
      <c r="A623" s="9" t="s">
        <v>1050</v>
      </c>
      <c r="B623" s="8">
        <v>12</v>
      </c>
      <c r="C623" s="8" t="s">
        <v>35</v>
      </c>
      <c r="D623" s="8" t="s">
        <v>36</v>
      </c>
      <c r="E623" s="34" t="s">
        <v>327</v>
      </c>
      <c r="F623" s="8">
        <v>257</v>
      </c>
      <c r="G623" s="8">
        <v>98.98</v>
      </c>
      <c r="H623" s="10">
        <v>23.45</v>
      </c>
      <c r="I623" s="21">
        <f t="shared" si="45"/>
        <v>83.176470588235304</v>
      </c>
      <c r="J623" s="21">
        <f t="shared" si="46"/>
        <v>60.266499999999994</v>
      </c>
      <c r="K623" s="21">
        <f t="shared" si="47"/>
        <v>22.909970588235311</v>
      </c>
      <c r="L623" s="8">
        <f t="shared" si="48"/>
        <v>8.9143854428931171</v>
      </c>
      <c r="M623" s="30" t="str">
        <f t="shared" si="49"/>
        <v>June</v>
      </c>
    </row>
    <row r="624" spans="1:13">
      <c r="A624" s="9" t="s">
        <v>1051</v>
      </c>
      <c r="B624" s="8">
        <v>12</v>
      </c>
      <c r="C624" s="8" t="s">
        <v>39</v>
      </c>
      <c r="D624" s="8" t="s">
        <v>46</v>
      </c>
      <c r="E624" s="34" t="s">
        <v>1052</v>
      </c>
      <c r="F624" s="8">
        <v>91</v>
      </c>
      <c r="G624" s="8">
        <v>44.99</v>
      </c>
      <c r="H624" s="10">
        <v>31.22</v>
      </c>
      <c r="I624" s="21">
        <f t="shared" si="45"/>
        <v>37.806722689075634</v>
      </c>
      <c r="J624" s="21">
        <f t="shared" si="46"/>
        <v>28.4102</v>
      </c>
      <c r="K624" s="21">
        <f t="shared" si="47"/>
        <v>9.3965226890756348</v>
      </c>
      <c r="L624" s="8">
        <f t="shared" si="48"/>
        <v>10.325849108874325</v>
      </c>
      <c r="M624" s="30" t="str">
        <f t="shared" si="49"/>
        <v>July</v>
      </c>
    </row>
    <row r="625" spans="1:13">
      <c r="A625" s="9" t="s">
        <v>1053</v>
      </c>
      <c r="B625" s="8">
        <v>12</v>
      </c>
      <c r="C625" s="8" t="s">
        <v>39</v>
      </c>
      <c r="D625" s="8" t="s">
        <v>36</v>
      </c>
      <c r="E625" s="34" t="s">
        <v>296</v>
      </c>
      <c r="F625" s="8">
        <v>103</v>
      </c>
      <c r="G625" s="8">
        <v>48.44</v>
      </c>
      <c r="H625" s="10">
        <v>29.31</v>
      </c>
      <c r="I625" s="21">
        <f t="shared" si="45"/>
        <v>40.705882352941174</v>
      </c>
      <c r="J625" s="21">
        <f t="shared" si="46"/>
        <v>30.189299999999999</v>
      </c>
      <c r="K625" s="21">
        <f t="shared" si="47"/>
        <v>10.516582352941175</v>
      </c>
      <c r="L625" s="8">
        <f t="shared" si="48"/>
        <v>10.2102741290691</v>
      </c>
      <c r="M625" s="30" t="str">
        <f t="shared" si="49"/>
        <v>March</v>
      </c>
    </row>
    <row r="626" spans="1:13">
      <c r="A626" s="9" t="s">
        <v>1054</v>
      </c>
      <c r="B626" s="8">
        <v>24</v>
      </c>
      <c r="C626" s="8" t="s">
        <v>51</v>
      </c>
      <c r="D626" s="8" t="s">
        <v>36</v>
      </c>
      <c r="E626" s="34">
        <v>45391</v>
      </c>
      <c r="F626" s="8">
        <v>337</v>
      </c>
      <c r="G626" s="8">
        <v>123.32</v>
      </c>
      <c r="H626" s="10">
        <v>17.55</v>
      </c>
      <c r="I626" s="21">
        <f t="shared" si="45"/>
        <v>103.63025210084034</v>
      </c>
      <c r="J626" s="21">
        <f t="shared" si="46"/>
        <v>59.143500000000003</v>
      </c>
      <c r="K626" s="21">
        <f t="shared" si="47"/>
        <v>44.486752100840334</v>
      </c>
      <c r="L626" s="8">
        <f t="shared" si="48"/>
        <v>13.200816647133632</v>
      </c>
      <c r="M626" s="30" t="str">
        <f t="shared" si="49"/>
        <v>August</v>
      </c>
    </row>
    <row r="627" spans="1:13">
      <c r="A627" s="9" t="s">
        <v>1056</v>
      </c>
      <c r="B627" s="8">
        <v>12</v>
      </c>
      <c r="C627" s="8" t="s">
        <v>51</v>
      </c>
      <c r="D627" s="8" t="s">
        <v>36</v>
      </c>
      <c r="E627" s="34" t="s">
        <v>374</v>
      </c>
      <c r="F627" s="8">
        <v>490</v>
      </c>
      <c r="G627" s="8">
        <v>166.96</v>
      </c>
      <c r="H627" s="10">
        <v>16.920000000000002</v>
      </c>
      <c r="I627" s="21">
        <f t="shared" si="45"/>
        <v>140.30252100840337</v>
      </c>
      <c r="J627" s="21">
        <f t="shared" si="46"/>
        <v>82.908000000000015</v>
      </c>
      <c r="K627" s="21">
        <f t="shared" si="47"/>
        <v>57.394521008403359</v>
      </c>
      <c r="L627" s="8">
        <f t="shared" si="48"/>
        <v>11.71316755273538</v>
      </c>
      <c r="M627" s="30" t="str">
        <f t="shared" si="49"/>
        <v>February</v>
      </c>
    </row>
    <row r="628" spans="1:13">
      <c r="A628" s="9" t="s">
        <v>1057</v>
      </c>
      <c r="B628" s="8">
        <v>12</v>
      </c>
      <c r="C628" s="8" t="s">
        <v>39</v>
      </c>
      <c r="D628" s="8" t="s">
        <v>56</v>
      </c>
      <c r="E628" s="34" t="s">
        <v>281</v>
      </c>
      <c r="F628" s="8">
        <v>108</v>
      </c>
      <c r="G628" s="8">
        <v>51.56</v>
      </c>
      <c r="H628" s="10">
        <v>31.87</v>
      </c>
      <c r="I628" s="21">
        <f t="shared" si="45"/>
        <v>43.327731092436977</v>
      </c>
      <c r="J628" s="21">
        <f t="shared" si="46"/>
        <v>34.419600000000003</v>
      </c>
      <c r="K628" s="21">
        <f t="shared" si="47"/>
        <v>8.9081310924369745</v>
      </c>
      <c r="L628" s="8">
        <f t="shared" si="48"/>
        <v>8.2482695300342357</v>
      </c>
      <c r="M628" s="30" t="str">
        <f t="shared" si="49"/>
        <v>May</v>
      </c>
    </row>
    <row r="629" spans="1:13">
      <c r="A629" s="9" t="s">
        <v>1058</v>
      </c>
      <c r="B629" s="8">
        <v>24</v>
      </c>
      <c r="C629" s="8" t="s">
        <v>51</v>
      </c>
      <c r="D629" s="8" t="s">
        <v>46</v>
      </c>
      <c r="E629" s="34">
        <v>45360</v>
      </c>
      <c r="F629" s="8">
        <v>533</v>
      </c>
      <c r="G629" s="8">
        <v>178.72</v>
      </c>
      <c r="H629" s="10">
        <v>18.91</v>
      </c>
      <c r="I629" s="21">
        <f t="shared" si="45"/>
        <v>150.18487394957984</v>
      </c>
      <c r="J629" s="21">
        <f t="shared" si="46"/>
        <v>100.7903</v>
      </c>
      <c r="K629" s="21">
        <f t="shared" si="47"/>
        <v>49.394573949579836</v>
      </c>
      <c r="L629" s="8">
        <f t="shared" si="48"/>
        <v>9.2672746622101005</v>
      </c>
      <c r="M629" s="30" t="str">
        <f t="shared" si="49"/>
        <v>January</v>
      </c>
    </row>
    <row r="630" spans="1:13">
      <c r="A630" s="9" t="s">
        <v>1060</v>
      </c>
      <c r="B630" s="8">
        <v>12</v>
      </c>
      <c r="C630" s="8" t="s">
        <v>35</v>
      </c>
      <c r="D630" s="8" t="s">
        <v>46</v>
      </c>
      <c r="E630" s="34">
        <v>45693</v>
      </c>
      <c r="F630" s="8">
        <v>216</v>
      </c>
      <c r="G630" s="8">
        <v>85.97</v>
      </c>
      <c r="H630" s="10">
        <v>27.36</v>
      </c>
      <c r="I630" s="21">
        <f t="shared" si="45"/>
        <v>72.243697478991592</v>
      </c>
      <c r="J630" s="21">
        <f t="shared" si="46"/>
        <v>59.0976</v>
      </c>
      <c r="K630" s="21">
        <f t="shared" si="47"/>
        <v>13.146097478991592</v>
      </c>
      <c r="L630" s="8">
        <f t="shared" si="48"/>
        <v>6.0861562402738851</v>
      </c>
      <c r="M630" s="30" t="str">
        <f t="shared" si="49"/>
        <v>October</v>
      </c>
    </row>
    <row r="631" spans="1:13">
      <c r="A631" s="9" t="s">
        <v>1062</v>
      </c>
      <c r="B631" s="8">
        <v>12</v>
      </c>
      <c r="C631" s="8" t="s">
        <v>51</v>
      </c>
      <c r="D631" s="8" t="s">
        <v>46</v>
      </c>
      <c r="E631" s="37">
        <v>45794</v>
      </c>
      <c r="F631" s="8">
        <v>433</v>
      </c>
      <c r="G631" s="8">
        <v>147.11000000000001</v>
      </c>
      <c r="H631" s="10">
        <v>19.61</v>
      </c>
      <c r="I631" s="21">
        <f t="shared" si="45"/>
        <v>123.62184873949582</v>
      </c>
      <c r="J631" s="21">
        <f t="shared" si="46"/>
        <v>84.911299999999997</v>
      </c>
      <c r="K631" s="21">
        <f t="shared" si="47"/>
        <v>38.71054873949582</v>
      </c>
      <c r="L631" s="8">
        <f t="shared" si="48"/>
        <v>8.9400805402992649</v>
      </c>
      <c r="M631" s="30" t="str">
        <f t="shared" si="49"/>
        <v>November</v>
      </c>
    </row>
    <row r="632" spans="1:13">
      <c r="A632" s="9" t="s">
        <v>1064</v>
      </c>
      <c r="B632" s="8">
        <v>24</v>
      </c>
      <c r="C632" s="8" t="s">
        <v>35</v>
      </c>
      <c r="D632" s="8" t="s">
        <v>36</v>
      </c>
      <c r="E632" s="34">
        <v>45720</v>
      </c>
      <c r="F632" s="8">
        <v>290</v>
      </c>
      <c r="G632" s="8">
        <v>106.96</v>
      </c>
      <c r="H632" s="10">
        <v>23.52</v>
      </c>
      <c r="I632" s="21">
        <f t="shared" si="45"/>
        <v>89.882352941176464</v>
      </c>
      <c r="J632" s="21">
        <f t="shared" si="46"/>
        <v>68.207999999999998</v>
      </c>
      <c r="K632" s="21">
        <f t="shared" si="47"/>
        <v>21.674352941176465</v>
      </c>
      <c r="L632" s="8">
        <f t="shared" si="48"/>
        <v>7.4739148073022292</v>
      </c>
      <c r="M632" s="30" t="str">
        <f t="shared" si="49"/>
        <v>September</v>
      </c>
    </row>
    <row r="633" spans="1:13">
      <c r="A633" s="9" t="s">
        <v>1066</v>
      </c>
      <c r="B633" s="8">
        <v>24</v>
      </c>
      <c r="C633" s="8" t="s">
        <v>35</v>
      </c>
      <c r="D633" s="8" t="s">
        <v>36</v>
      </c>
      <c r="E633" s="34" t="s">
        <v>1067</v>
      </c>
      <c r="F633" s="8">
        <v>175</v>
      </c>
      <c r="G633" s="8">
        <v>68.12</v>
      </c>
      <c r="H633" s="10">
        <v>25.23</v>
      </c>
      <c r="I633" s="21">
        <f t="shared" si="45"/>
        <v>57.243697478991606</v>
      </c>
      <c r="J633" s="21">
        <f t="shared" si="46"/>
        <v>44.152500000000003</v>
      </c>
      <c r="K633" s="21">
        <f t="shared" si="47"/>
        <v>13.091197478991603</v>
      </c>
      <c r="L633" s="8">
        <f t="shared" si="48"/>
        <v>7.4806842737094872</v>
      </c>
      <c r="M633" s="30" t="str">
        <f t="shared" si="49"/>
        <v>January</v>
      </c>
    </row>
    <row r="634" spans="1:13">
      <c r="A634" s="9" t="s">
        <v>1068</v>
      </c>
      <c r="B634" s="8">
        <v>12</v>
      </c>
      <c r="C634" s="8" t="s">
        <v>35</v>
      </c>
      <c r="D634" s="8" t="s">
        <v>46</v>
      </c>
      <c r="E634" s="34">
        <v>45416</v>
      </c>
      <c r="F634" s="8">
        <v>317</v>
      </c>
      <c r="G634" s="8">
        <v>121.77</v>
      </c>
      <c r="H634" s="10">
        <v>25.29</v>
      </c>
      <c r="I634" s="21">
        <f t="shared" si="45"/>
        <v>102.32773109243698</v>
      </c>
      <c r="J634" s="21">
        <f t="shared" si="46"/>
        <v>80.169299999999993</v>
      </c>
      <c r="K634" s="21">
        <f t="shared" si="47"/>
        <v>22.158431092436984</v>
      </c>
      <c r="L634" s="8">
        <f t="shared" si="48"/>
        <v>6.9900413540810682</v>
      </c>
      <c r="M634" s="30" t="str">
        <f t="shared" si="49"/>
        <v>May</v>
      </c>
    </row>
    <row r="635" spans="1:13">
      <c r="A635" s="9" t="s">
        <v>1069</v>
      </c>
      <c r="B635" s="8">
        <v>12</v>
      </c>
      <c r="C635" s="8" t="s">
        <v>35</v>
      </c>
      <c r="D635" s="8" t="s">
        <v>36</v>
      </c>
      <c r="E635" s="34" t="s">
        <v>1070</v>
      </c>
      <c r="F635" s="8">
        <v>308</v>
      </c>
      <c r="G635" s="8">
        <v>116.59</v>
      </c>
      <c r="H635" s="10">
        <v>23.54</v>
      </c>
      <c r="I635" s="21">
        <f t="shared" si="45"/>
        <v>97.974789915966397</v>
      </c>
      <c r="J635" s="21">
        <f t="shared" si="46"/>
        <v>72.503199999999993</v>
      </c>
      <c r="K635" s="21">
        <f t="shared" si="47"/>
        <v>25.471589915966405</v>
      </c>
      <c r="L635" s="8">
        <f t="shared" si="48"/>
        <v>8.2699967259631197</v>
      </c>
      <c r="M635" s="30" t="str">
        <f t="shared" si="49"/>
        <v>October</v>
      </c>
    </row>
    <row r="636" spans="1:13">
      <c r="A636" s="9" t="s">
        <v>1071</v>
      </c>
      <c r="B636" s="8">
        <v>12</v>
      </c>
      <c r="C636" s="8" t="s">
        <v>39</v>
      </c>
      <c r="D636" s="8" t="s">
        <v>36</v>
      </c>
      <c r="E636" s="34" t="s">
        <v>1072</v>
      </c>
      <c r="F636" s="8">
        <v>139</v>
      </c>
      <c r="G636" s="8">
        <v>59.38</v>
      </c>
      <c r="H636" s="10">
        <v>29.84</v>
      </c>
      <c r="I636" s="21">
        <f t="shared" si="45"/>
        <v>49.899159663865554</v>
      </c>
      <c r="J636" s="21">
        <f t="shared" si="46"/>
        <v>41.477600000000002</v>
      </c>
      <c r="K636" s="21">
        <f t="shared" si="47"/>
        <v>8.4215596638655512</v>
      </c>
      <c r="L636" s="8">
        <f t="shared" si="48"/>
        <v>6.0586760171694616</v>
      </c>
      <c r="M636" s="30" t="str">
        <f t="shared" si="49"/>
        <v>August</v>
      </c>
    </row>
    <row r="637" spans="1:13">
      <c r="A637" s="9" t="s">
        <v>1073</v>
      </c>
      <c r="B637" s="8">
        <v>12</v>
      </c>
      <c r="C637" s="8" t="s">
        <v>39</v>
      </c>
      <c r="D637" s="8" t="s">
        <v>36</v>
      </c>
      <c r="E637" s="34" t="s">
        <v>1074</v>
      </c>
      <c r="F637" s="8">
        <v>133</v>
      </c>
      <c r="G637" s="8">
        <v>61.81</v>
      </c>
      <c r="H637" s="10">
        <v>29.21</v>
      </c>
      <c r="I637" s="21">
        <f t="shared" si="45"/>
        <v>51.941176470588239</v>
      </c>
      <c r="J637" s="21">
        <f t="shared" si="46"/>
        <v>38.849299999999999</v>
      </c>
      <c r="K637" s="21">
        <f t="shared" si="47"/>
        <v>13.09187647058824</v>
      </c>
      <c r="L637" s="8">
        <f t="shared" si="48"/>
        <v>9.8435161432994285</v>
      </c>
      <c r="M637" s="30" t="str">
        <f t="shared" si="49"/>
        <v>February</v>
      </c>
    </row>
    <row r="638" spans="1:13">
      <c r="A638" s="9" t="s">
        <v>1075</v>
      </c>
      <c r="B638" s="8">
        <v>12</v>
      </c>
      <c r="C638" s="8" t="s">
        <v>39</v>
      </c>
      <c r="D638" s="8" t="s">
        <v>36</v>
      </c>
      <c r="E638" s="34">
        <v>45452</v>
      </c>
      <c r="F638" s="8">
        <v>158</v>
      </c>
      <c r="G638" s="8">
        <v>65.03</v>
      </c>
      <c r="H638" s="10">
        <v>31.73</v>
      </c>
      <c r="I638" s="21">
        <f t="shared" si="45"/>
        <v>54.647058823529413</v>
      </c>
      <c r="J638" s="21">
        <f t="shared" si="46"/>
        <v>50.133400000000002</v>
      </c>
      <c r="K638" s="21">
        <f t="shared" si="47"/>
        <v>4.5136588235294113</v>
      </c>
      <c r="L638" s="8">
        <f t="shared" si="48"/>
        <v>2.8567460908413995</v>
      </c>
      <c r="M638" s="30" t="str">
        <f t="shared" si="49"/>
        <v>May</v>
      </c>
    </row>
    <row r="639" spans="1:13">
      <c r="A639" s="9" t="s">
        <v>1076</v>
      </c>
      <c r="B639" s="8">
        <v>12</v>
      </c>
      <c r="C639" s="8" t="s">
        <v>35</v>
      </c>
      <c r="D639" s="8" t="s">
        <v>56</v>
      </c>
      <c r="E639" s="34">
        <v>45546</v>
      </c>
      <c r="F639" s="8">
        <v>198</v>
      </c>
      <c r="G639" s="8">
        <v>80.59</v>
      </c>
      <c r="H639" s="10">
        <v>22.47</v>
      </c>
      <c r="I639" s="21">
        <f t="shared" si="45"/>
        <v>67.722689075630257</v>
      </c>
      <c r="J639" s="21">
        <f t="shared" si="46"/>
        <v>44.490599999999993</v>
      </c>
      <c r="K639" s="21">
        <f t="shared" si="47"/>
        <v>23.232089075630263</v>
      </c>
      <c r="L639" s="8">
        <f t="shared" si="48"/>
        <v>11.733378321025386</v>
      </c>
      <c r="M639" s="30" t="str">
        <f t="shared" si="49"/>
        <v>November</v>
      </c>
    </row>
    <row r="640" spans="1:13">
      <c r="A640" s="9" t="s">
        <v>1078</v>
      </c>
      <c r="B640" s="8">
        <v>12</v>
      </c>
      <c r="C640" s="8" t="s">
        <v>39</v>
      </c>
      <c r="D640" s="8" t="s">
        <v>36</v>
      </c>
      <c r="E640" s="34">
        <v>45992</v>
      </c>
      <c r="F640" s="8">
        <v>90</v>
      </c>
      <c r="G640" s="8">
        <v>41.93</v>
      </c>
      <c r="H640" s="10">
        <v>31.73</v>
      </c>
      <c r="I640" s="21">
        <f t="shared" si="45"/>
        <v>35.235294117647058</v>
      </c>
      <c r="J640" s="21">
        <f t="shared" si="46"/>
        <v>28.556999999999999</v>
      </c>
      <c r="K640" s="21">
        <f t="shared" si="47"/>
        <v>6.6782941176470594</v>
      </c>
      <c r="L640" s="8">
        <f t="shared" si="48"/>
        <v>7.4203267973856217</v>
      </c>
      <c r="M640" s="30" t="str">
        <f t="shared" si="49"/>
        <v>September</v>
      </c>
    </row>
    <row r="641" spans="1:13">
      <c r="A641" s="9" t="s">
        <v>1080</v>
      </c>
      <c r="B641" s="8">
        <v>12</v>
      </c>
      <c r="C641" s="8" t="s">
        <v>35</v>
      </c>
      <c r="D641" s="8" t="s">
        <v>36</v>
      </c>
      <c r="E641" s="34" t="s">
        <v>369</v>
      </c>
      <c r="F641" s="8">
        <v>207</v>
      </c>
      <c r="G641" s="8">
        <v>84.76</v>
      </c>
      <c r="H641" s="10">
        <v>24.74</v>
      </c>
      <c r="I641" s="21">
        <f t="shared" si="45"/>
        <v>71.226890756302524</v>
      </c>
      <c r="J641" s="21">
        <f t="shared" si="46"/>
        <v>51.211799999999997</v>
      </c>
      <c r="K641" s="21">
        <f t="shared" si="47"/>
        <v>20.015090756302527</v>
      </c>
      <c r="L641" s="8">
        <f t="shared" si="48"/>
        <v>9.6691259692282738</v>
      </c>
      <c r="M641" s="30" t="str">
        <f t="shared" si="49"/>
        <v>April</v>
      </c>
    </row>
    <row r="642" spans="1:13">
      <c r="A642" s="9" t="s">
        <v>1081</v>
      </c>
      <c r="B642" s="8">
        <v>12</v>
      </c>
      <c r="C642" s="8" t="s">
        <v>51</v>
      </c>
      <c r="D642" s="8" t="s">
        <v>36</v>
      </c>
      <c r="E642" s="34" t="s">
        <v>275</v>
      </c>
      <c r="F642" s="8">
        <v>598</v>
      </c>
      <c r="G642" s="8">
        <v>206.4</v>
      </c>
      <c r="H642" s="10">
        <v>19.16</v>
      </c>
      <c r="I642" s="21">
        <f t="shared" ref="I642:I705" si="50">G642/1.19</f>
        <v>173.44537815126051</v>
      </c>
      <c r="J642" s="21">
        <f t="shared" ref="J642:J705" si="51">F642*H642/100</f>
        <v>114.57680000000001</v>
      </c>
      <c r="K642" s="21">
        <f t="shared" ref="K642:K705" si="52">I642-J642</f>
        <v>58.868578151260508</v>
      </c>
      <c r="L642" s="8">
        <f t="shared" ref="L642:L705" si="53">IF(F642=0,"",K642/F642*100)</f>
        <v>9.8442438380034289</v>
      </c>
      <c r="M642" s="30" t="str">
        <f t="shared" ref="M642:M705" si="54">TEXT(DATE(RIGHT(E642,4),MID(E642,4,2),LEFT(E642,2)),"mmmm")</f>
        <v>June</v>
      </c>
    </row>
    <row r="643" spans="1:13">
      <c r="A643" s="9" t="s">
        <v>1082</v>
      </c>
      <c r="B643" s="8">
        <v>12</v>
      </c>
      <c r="C643" s="8" t="s">
        <v>39</v>
      </c>
      <c r="D643" s="8" t="s">
        <v>56</v>
      </c>
      <c r="E643" s="34" t="s">
        <v>106</v>
      </c>
      <c r="F643" s="8">
        <v>86</v>
      </c>
      <c r="G643" s="8">
        <v>40.14</v>
      </c>
      <c r="H643" s="10">
        <v>28.13</v>
      </c>
      <c r="I643" s="21">
        <f t="shared" si="50"/>
        <v>33.731092436974791</v>
      </c>
      <c r="J643" s="21">
        <f t="shared" si="51"/>
        <v>24.191799999999997</v>
      </c>
      <c r="K643" s="21">
        <f t="shared" si="52"/>
        <v>9.5392924369747938</v>
      </c>
      <c r="L643" s="8">
        <f t="shared" si="53"/>
        <v>11.092200508110226</v>
      </c>
      <c r="M643" s="30" t="str">
        <f t="shared" si="54"/>
        <v>December</v>
      </c>
    </row>
    <row r="644" spans="1:13">
      <c r="A644" s="9" t="s">
        <v>1083</v>
      </c>
      <c r="B644" s="8">
        <v>12</v>
      </c>
      <c r="C644" s="8" t="s">
        <v>35</v>
      </c>
      <c r="D644" s="8" t="s">
        <v>36</v>
      </c>
      <c r="E644" s="34">
        <v>45964</v>
      </c>
      <c r="F644" s="8">
        <v>264</v>
      </c>
      <c r="G644" s="8">
        <v>101.42</v>
      </c>
      <c r="H644" s="10">
        <v>23.9</v>
      </c>
      <c r="I644" s="21">
        <f t="shared" si="50"/>
        <v>85.226890756302524</v>
      </c>
      <c r="J644" s="21">
        <f t="shared" si="51"/>
        <v>63.095999999999997</v>
      </c>
      <c r="K644" s="21">
        <f t="shared" si="52"/>
        <v>22.130890756302527</v>
      </c>
      <c r="L644" s="8">
        <f t="shared" si="53"/>
        <v>8.3829131652661086</v>
      </c>
      <c r="M644" s="30" t="str">
        <f t="shared" si="54"/>
        <v>May</v>
      </c>
    </row>
    <row r="645" spans="1:13">
      <c r="A645" s="9" t="s">
        <v>1084</v>
      </c>
      <c r="B645" s="8">
        <v>12</v>
      </c>
      <c r="C645" s="8" t="s">
        <v>35</v>
      </c>
      <c r="D645" s="8" t="s">
        <v>36</v>
      </c>
      <c r="E645" s="34">
        <v>45394</v>
      </c>
      <c r="F645" s="8">
        <v>332</v>
      </c>
      <c r="G645" s="8">
        <v>120.39</v>
      </c>
      <c r="H645" s="10">
        <v>23.63</v>
      </c>
      <c r="I645" s="21">
        <f t="shared" si="50"/>
        <v>101.16806722689076</v>
      </c>
      <c r="J645" s="21">
        <f t="shared" si="51"/>
        <v>78.451599999999999</v>
      </c>
      <c r="K645" s="21">
        <f t="shared" si="52"/>
        <v>22.716467226890757</v>
      </c>
      <c r="L645" s="8">
        <f t="shared" si="53"/>
        <v>6.8423094056899867</v>
      </c>
      <c r="M645" s="30" t="str">
        <f t="shared" si="54"/>
        <v>November</v>
      </c>
    </row>
    <row r="646" spans="1:13">
      <c r="A646" s="9" t="s">
        <v>1085</v>
      </c>
      <c r="B646" s="8">
        <v>12</v>
      </c>
      <c r="C646" s="8" t="s">
        <v>51</v>
      </c>
      <c r="D646" s="8" t="s">
        <v>46</v>
      </c>
      <c r="E646" s="34" t="s">
        <v>884</v>
      </c>
      <c r="F646" s="8">
        <v>619</v>
      </c>
      <c r="G646" s="8">
        <v>205.89</v>
      </c>
      <c r="H646" s="10">
        <v>17.309999999999999</v>
      </c>
      <c r="I646" s="21">
        <f t="shared" si="50"/>
        <v>173.01680672268907</v>
      </c>
      <c r="J646" s="21">
        <f t="shared" si="51"/>
        <v>107.1489</v>
      </c>
      <c r="K646" s="21">
        <f t="shared" si="52"/>
        <v>65.867906722689071</v>
      </c>
      <c r="L646" s="8">
        <f t="shared" si="53"/>
        <v>10.641018856654131</v>
      </c>
      <c r="M646" s="30" t="str">
        <f t="shared" si="54"/>
        <v>December</v>
      </c>
    </row>
    <row r="647" spans="1:13">
      <c r="A647" s="9" t="s">
        <v>1086</v>
      </c>
      <c r="B647" s="8">
        <v>24</v>
      </c>
      <c r="C647" s="8" t="s">
        <v>39</v>
      </c>
      <c r="D647" s="8" t="s">
        <v>46</v>
      </c>
      <c r="E647" s="34">
        <v>45904</v>
      </c>
      <c r="F647" s="8">
        <v>127</v>
      </c>
      <c r="G647" s="8">
        <v>56.09</v>
      </c>
      <c r="H647" s="10">
        <v>30.63</v>
      </c>
      <c r="I647" s="21">
        <f t="shared" si="50"/>
        <v>47.134453781512612</v>
      </c>
      <c r="J647" s="21">
        <f t="shared" si="51"/>
        <v>38.900099999999995</v>
      </c>
      <c r="K647" s="21">
        <f t="shared" si="52"/>
        <v>8.2343537815126169</v>
      </c>
      <c r="L647" s="8">
        <f t="shared" si="53"/>
        <v>6.4837431350493056</v>
      </c>
      <c r="M647" s="30" t="str">
        <f t="shared" si="54"/>
        <v>May</v>
      </c>
    </row>
    <row r="648" spans="1:13">
      <c r="A648" s="9" t="s">
        <v>1087</v>
      </c>
      <c r="B648" s="8">
        <v>24</v>
      </c>
      <c r="C648" s="8" t="s">
        <v>35</v>
      </c>
      <c r="D648" s="8" t="s">
        <v>36</v>
      </c>
      <c r="E648" s="34">
        <v>45392</v>
      </c>
      <c r="F648" s="8">
        <v>178</v>
      </c>
      <c r="G648" s="8">
        <v>72.53</v>
      </c>
      <c r="H648" s="10">
        <v>25.88</v>
      </c>
      <c r="I648" s="21">
        <f t="shared" si="50"/>
        <v>60.949579831932773</v>
      </c>
      <c r="J648" s="21">
        <f t="shared" si="51"/>
        <v>46.066399999999994</v>
      </c>
      <c r="K648" s="21">
        <f t="shared" si="52"/>
        <v>14.883179831932779</v>
      </c>
      <c r="L648" s="8">
        <f t="shared" si="53"/>
        <v>8.3613369842318992</v>
      </c>
      <c r="M648" s="30" t="str">
        <f t="shared" si="54"/>
        <v>September</v>
      </c>
    </row>
    <row r="649" spans="1:13">
      <c r="A649" s="9" t="s">
        <v>1089</v>
      </c>
      <c r="B649" s="8">
        <v>24</v>
      </c>
      <c r="C649" s="8" t="s">
        <v>51</v>
      </c>
      <c r="D649" s="8" t="s">
        <v>36</v>
      </c>
      <c r="E649" s="34">
        <v>45546</v>
      </c>
      <c r="F649" s="8">
        <v>611</v>
      </c>
      <c r="G649" s="8">
        <v>199.68</v>
      </c>
      <c r="H649" s="10">
        <v>19.309999999999999</v>
      </c>
      <c r="I649" s="21">
        <f t="shared" si="50"/>
        <v>167.79831932773109</v>
      </c>
      <c r="J649" s="21">
        <f t="shared" si="51"/>
        <v>117.9841</v>
      </c>
      <c r="K649" s="21">
        <f t="shared" si="52"/>
        <v>49.814219327731095</v>
      </c>
      <c r="L649" s="8">
        <f t="shared" si="53"/>
        <v>8.1529000536384775</v>
      </c>
      <c r="M649" s="30" t="str">
        <f t="shared" si="54"/>
        <v>November</v>
      </c>
    </row>
    <row r="650" spans="1:13">
      <c r="A650" s="9" t="s">
        <v>1090</v>
      </c>
      <c r="B650" s="8">
        <v>24</v>
      </c>
      <c r="C650" s="8" t="s">
        <v>51</v>
      </c>
      <c r="D650" s="8" t="s">
        <v>36</v>
      </c>
      <c r="E650" s="34" t="s">
        <v>238</v>
      </c>
      <c r="F650" s="8">
        <v>533</v>
      </c>
      <c r="G650" s="8">
        <v>187.33</v>
      </c>
      <c r="H650" s="10">
        <v>20.07</v>
      </c>
      <c r="I650" s="21">
        <f t="shared" si="50"/>
        <v>157.42016806722691</v>
      </c>
      <c r="J650" s="21">
        <f t="shared" si="51"/>
        <v>106.97309999999999</v>
      </c>
      <c r="K650" s="21">
        <f t="shared" si="52"/>
        <v>50.447068067226922</v>
      </c>
      <c r="L650" s="8">
        <f t="shared" si="53"/>
        <v>9.4647407255585225</v>
      </c>
      <c r="M650" s="30" t="str">
        <f t="shared" si="54"/>
        <v>September</v>
      </c>
    </row>
    <row r="651" spans="1:13">
      <c r="A651" s="9" t="s">
        <v>1091</v>
      </c>
      <c r="B651" s="8">
        <v>12</v>
      </c>
      <c r="C651" s="8" t="s">
        <v>35</v>
      </c>
      <c r="D651" s="8" t="s">
        <v>36</v>
      </c>
      <c r="E651" s="34" t="s">
        <v>857</v>
      </c>
      <c r="F651" s="8">
        <v>186</v>
      </c>
      <c r="G651" s="8">
        <v>69.930000000000007</v>
      </c>
      <c r="H651" s="10">
        <v>22.27</v>
      </c>
      <c r="I651" s="21">
        <f t="shared" si="50"/>
        <v>58.764705882352949</v>
      </c>
      <c r="J651" s="21">
        <f t="shared" si="51"/>
        <v>41.422200000000004</v>
      </c>
      <c r="K651" s="21">
        <f t="shared" si="52"/>
        <v>17.342505882352945</v>
      </c>
      <c r="L651" s="8">
        <f t="shared" si="53"/>
        <v>9.3239278937381425</v>
      </c>
      <c r="M651" s="30" t="str">
        <f t="shared" si="54"/>
        <v>August</v>
      </c>
    </row>
    <row r="652" spans="1:13">
      <c r="A652" s="9" t="s">
        <v>1092</v>
      </c>
      <c r="B652" s="8">
        <v>12</v>
      </c>
      <c r="C652" s="8" t="s">
        <v>35</v>
      </c>
      <c r="D652" s="8" t="s">
        <v>36</v>
      </c>
      <c r="E652" s="34">
        <v>45356</v>
      </c>
      <c r="F652" s="8">
        <v>183</v>
      </c>
      <c r="G652" s="8">
        <v>68.83</v>
      </c>
      <c r="H652" s="10">
        <v>23.67</v>
      </c>
      <c r="I652" s="21">
        <f t="shared" si="50"/>
        <v>57.840336134453786</v>
      </c>
      <c r="J652" s="21">
        <f t="shared" si="51"/>
        <v>43.316100000000006</v>
      </c>
      <c r="K652" s="21">
        <f t="shared" si="52"/>
        <v>14.52423613445378</v>
      </c>
      <c r="L652" s="8">
        <f t="shared" si="53"/>
        <v>7.9367410570785681</v>
      </c>
      <c r="M652" s="30" t="str">
        <f t="shared" si="54"/>
        <v>September</v>
      </c>
    </row>
    <row r="653" spans="1:13">
      <c r="A653" s="9" t="s">
        <v>1093</v>
      </c>
      <c r="B653" s="8">
        <v>12</v>
      </c>
      <c r="C653" s="8" t="s">
        <v>35</v>
      </c>
      <c r="D653" s="8" t="s">
        <v>36</v>
      </c>
      <c r="E653" s="34" t="s">
        <v>662</v>
      </c>
      <c r="F653" s="8">
        <v>318</v>
      </c>
      <c r="G653" s="8">
        <v>119.08</v>
      </c>
      <c r="H653" s="10">
        <v>22.47</v>
      </c>
      <c r="I653" s="21">
        <f t="shared" si="50"/>
        <v>100.0672268907563</v>
      </c>
      <c r="J653" s="21">
        <f t="shared" si="51"/>
        <v>71.454599999999999</v>
      </c>
      <c r="K653" s="21">
        <f t="shared" si="52"/>
        <v>28.612626890756303</v>
      </c>
      <c r="L653" s="8">
        <f t="shared" si="53"/>
        <v>8.9976814121875162</v>
      </c>
      <c r="M653" s="30" t="str">
        <f t="shared" si="54"/>
        <v>July</v>
      </c>
    </row>
    <row r="654" spans="1:13">
      <c r="A654" s="9" t="s">
        <v>1094</v>
      </c>
      <c r="B654" s="8">
        <v>24</v>
      </c>
      <c r="C654" s="8" t="s">
        <v>51</v>
      </c>
      <c r="D654" s="8" t="s">
        <v>36</v>
      </c>
      <c r="E654" s="34" t="s">
        <v>177</v>
      </c>
      <c r="F654" s="8">
        <v>556</v>
      </c>
      <c r="G654" s="8">
        <v>185.56</v>
      </c>
      <c r="H654" s="10">
        <v>19.559999999999999</v>
      </c>
      <c r="I654" s="21">
        <f t="shared" si="50"/>
        <v>155.9327731092437</v>
      </c>
      <c r="J654" s="21">
        <f t="shared" si="51"/>
        <v>108.75359999999999</v>
      </c>
      <c r="K654" s="21">
        <f t="shared" si="52"/>
        <v>47.179173109243706</v>
      </c>
      <c r="L654" s="8">
        <f t="shared" si="53"/>
        <v>8.4854627894323222</v>
      </c>
      <c r="M654" s="30" t="str">
        <f t="shared" si="54"/>
        <v>November</v>
      </c>
    </row>
    <row r="655" spans="1:13">
      <c r="A655" s="9" t="s">
        <v>1095</v>
      </c>
      <c r="B655" s="8">
        <v>24</v>
      </c>
      <c r="C655" s="8" t="s">
        <v>35</v>
      </c>
      <c r="D655" s="8" t="s">
        <v>36</v>
      </c>
      <c r="E655" s="37">
        <v>45414</v>
      </c>
      <c r="F655" s="8">
        <v>305</v>
      </c>
      <c r="G655" s="8">
        <v>118.62</v>
      </c>
      <c r="H655" s="10">
        <v>25.75</v>
      </c>
      <c r="I655" s="21">
        <f t="shared" si="50"/>
        <v>99.680672268907571</v>
      </c>
      <c r="J655" s="21">
        <f t="shared" si="51"/>
        <v>78.537499999999994</v>
      </c>
      <c r="K655" s="21">
        <f t="shared" si="52"/>
        <v>21.143172268907577</v>
      </c>
      <c r="L655" s="8">
        <f t="shared" si="53"/>
        <v>6.9321876291500262</v>
      </c>
      <c r="M655" s="30" t="str">
        <f t="shared" si="54"/>
        <v>March</v>
      </c>
    </row>
    <row r="656" spans="1:13">
      <c r="A656" s="9" t="s">
        <v>1097</v>
      </c>
      <c r="B656" s="8">
        <v>12</v>
      </c>
      <c r="C656" s="8" t="s">
        <v>39</v>
      </c>
      <c r="D656" s="8" t="s">
        <v>46</v>
      </c>
      <c r="E656" s="34">
        <v>45511</v>
      </c>
      <c r="F656" s="8">
        <v>157</v>
      </c>
      <c r="G656" s="8">
        <v>67.27</v>
      </c>
      <c r="H656" s="10">
        <v>30.65</v>
      </c>
      <c r="I656" s="21">
        <f t="shared" si="50"/>
        <v>56.529411764705884</v>
      </c>
      <c r="J656" s="21">
        <f t="shared" si="51"/>
        <v>48.1205</v>
      </c>
      <c r="K656" s="21">
        <f t="shared" si="52"/>
        <v>8.4089117647058842</v>
      </c>
      <c r="L656" s="8">
        <f t="shared" si="53"/>
        <v>5.3559947545897355</v>
      </c>
      <c r="M656" s="30" t="str">
        <f t="shared" si="54"/>
        <v>December</v>
      </c>
    </row>
    <row r="657" spans="1:13">
      <c r="A657" s="9" t="s">
        <v>1099</v>
      </c>
      <c r="B657" s="8">
        <v>12</v>
      </c>
      <c r="C657" s="8" t="s">
        <v>51</v>
      </c>
      <c r="D657" s="8" t="s">
        <v>56</v>
      </c>
      <c r="E657" s="34" t="s">
        <v>124</v>
      </c>
      <c r="F657" s="8">
        <v>524</v>
      </c>
      <c r="G657" s="8">
        <v>166.45</v>
      </c>
      <c r="H657" s="10">
        <v>0.18</v>
      </c>
      <c r="I657" s="21">
        <f t="shared" si="50"/>
        <v>139.87394957983193</v>
      </c>
      <c r="J657" s="21">
        <f t="shared" si="51"/>
        <v>0.94319999999999993</v>
      </c>
      <c r="K657" s="21">
        <f t="shared" si="52"/>
        <v>138.93074957983194</v>
      </c>
      <c r="L657" s="8">
        <f t="shared" si="53"/>
        <v>26.513501828212206</v>
      </c>
      <c r="M657" s="30" t="str">
        <f t="shared" si="54"/>
        <v>July</v>
      </c>
    </row>
    <row r="658" spans="1:13">
      <c r="A658" s="9" t="s">
        <v>1100</v>
      </c>
      <c r="B658" s="8">
        <v>12</v>
      </c>
      <c r="C658" s="8" t="s">
        <v>35</v>
      </c>
      <c r="D658" s="8" t="s">
        <v>46</v>
      </c>
      <c r="E658" s="34">
        <v>45543</v>
      </c>
      <c r="F658" s="8">
        <v>253</v>
      </c>
      <c r="G658" s="8">
        <v>98.58</v>
      </c>
      <c r="H658" s="10">
        <v>23.42</v>
      </c>
      <c r="I658" s="21">
        <f t="shared" si="50"/>
        <v>82.840336134453779</v>
      </c>
      <c r="J658" s="21">
        <f t="shared" si="51"/>
        <v>59.252600000000001</v>
      </c>
      <c r="K658" s="21">
        <f t="shared" si="52"/>
        <v>23.587736134453777</v>
      </c>
      <c r="L658" s="8">
        <f t="shared" si="53"/>
        <v>9.3232158634204652</v>
      </c>
      <c r="M658" s="30" t="str">
        <f t="shared" si="54"/>
        <v>August</v>
      </c>
    </row>
    <row r="659" spans="1:13">
      <c r="A659" s="9" t="s">
        <v>1102</v>
      </c>
      <c r="B659" s="8">
        <v>12</v>
      </c>
      <c r="C659" s="8" t="s">
        <v>35</v>
      </c>
      <c r="D659" s="8" t="s">
        <v>36</v>
      </c>
      <c r="E659" s="34">
        <v>45935</v>
      </c>
      <c r="F659" s="8">
        <v>238</v>
      </c>
      <c r="G659" s="8">
        <v>91.27</v>
      </c>
      <c r="H659" s="10">
        <v>26.2</v>
      </c>
      <c r="I659" s="21">
        <f t="shared" si="50"/>
        <v>76.69747899159664</v>
      </c>
      <c r="J659" s="21">
        <f t="shared" si="51"/>
        <v>62.355999999999995</v>
      </c>
      <c r="K659" s="21">
        <f t="shared" si="52"/>
        <v>14.341478991596645</v>
      </c>
      <c r="L659" s="8">
        <f t="shared" si="53"/>
        <v>6.0258315090742203</v>
      </c>
      <c r="M659" s="30" t="str">
        <f t="shared" si="54"/>
        <v>December</v>
      </c>
    </row>
    <row r="660" spans="1:13">
      <c r="A660" s="9" t="s">
        <v>1103</v>
      </c>
      <c r="B660" s="8">
        <v>24</v>
      </c>
      <c r="C660" s="8" t="s">
        <v>39</v>
      </c>
      <c r="D660" s="8" t="s">
        <v>36</v>
      </c>
      <c r="E660" s="34">
        <v>45575</v>
      </c>
      <c r="F660" s="8">
        <v>110</v>
      </c>
      <c r="G660" s="8">
        <v>51.44</v>
      </c>
      <c r="H660" s="10">
        <v>29.61</v>
      </c>
      <c r="I660" s="21">
        <f t="shared" si="50"/>
        <v>43.226890756302524</v>
      </c>
      <c r="J660" s="21">
        <f t="shared" si="51"/>
        <v>32.570999999999998</v>
      </c>
      <c r="K660" s="21">
        <f t="shared" si="52"/>
        <v>10.655890756302526</v>
      </c>
      <c r="L660" s="8">
        <f t="shared" si="53"/>
        <v>9.687173414820478</v>
      </c>
      <c r="M660" s="30" t="str">
        <f t="shared" si="54"/>
        <v>April</v>
      </c>
    </row>
    <row r="661" spans="1:13">
      <c r="A661" s="9" t="s">
        <v>1104</v>
      </c>
      <c r="B661" s="8">
        <v>24</v>
      </c>
      <c r="C661" s="8" t="s">
        <v>35</v>
      </c>
      <c r="D661" s="8" t="s">
        <v>56</v>
      </c>
      <c r="E661" s="34" t="s">
        <v>1105</v>
      </c>
      <c r="F661" s="8">
        <v>239</v>
      </c>
      <c r="G661" s="8">
        <v>97.03</v>
      </c>
      <c r="H661" s="10">
        <v>25.33</v>
      </c>
      <c r="I661" s="21">
        <f t="shared" si="50"/>
        <v>81.537815126050418</v>
      </c>
      <c r="J661" s="21">
        <f t="shared" si="51"/>
        <v>60.538699999999999</v>
      </c>
      <c r="K661" s="21">
        <f t="shared" si="52"/>
        <v>20.99911512605042</v>
      </c>
      <c r="L661" s="8">
        <f t="shared" si="53"/>
        <v>8.7862406385148191</v>
      </c>
      <c r="M661" s="30" t="str">
        <f t="shared" si="54"/>
        <v>June</v>
      </c>
    </row>
    <row r="662" spans="1:13">
      <c r="A662" s="9" t="s">
        <v>1106</v>
      </c>
      <c r="B662" s="8">
        <v>12</v>
      </c>
      <c r="C662" s="8" t="s">
        <v>35</v>
      </c>
      <c r="D662" s="8" t="s">
        <v>36</v>
      </c>
      <c r="E662" s="34" t="s">
        <v>1107</v>
      </c>
      <c r="F662" s="8">
        <v>296</v>
      </c>
      <c r="G662" s="8">
        <v>111.89</v>
      </c>
      <c r="H662" s="10">
        <v>25.26</v>
      </c>
      <c r="I662" s="21">
        <f t="shared" si="50"/>
        <v>94.025210084033617</v>
      </c>
      <c r="J662" s="21">
        <f t="shared" si="51"/>
        <v>74.769599999999997</v>
      </c>
      <c r="K662" s="21">
        <f t="shared" si="52"/>
        <v>19.25561008403362</v>
      </c>
      <c r="L662" s="8">
        <f t="shared" si="53"/>
        <v>6.5052736770383852</v>
      </c>
      <c r="M662" s="30" t="str">
        <f t="shared" si="54"/>
        <v>October</v>
      </c>
    </row>
    <row r="663" spans="1:13">
      <c r="A663" s="9" t="s">
        <v>1108</v>
      </c>
      <c r="B663" s="8">
        <v>24</v>
      </c>
      <c r="C663" s="8" t="s">
        <v>35</v>
      </c>
      <c r="D663" s="8" t="s">
        <v>36</v>
      </c>
      <c r="E663" s="37">
        <v>45394</v>
      </c>
      <c r="F663" s="8">
        <v>267</v>
      </c>
      <c r="G663" s="8">
        <v>102.18</v>
      </c>
      <c r="H663" s="10">
        <v>0.24</v>
      </c>
      <c r="I663" s="21">
        <f t="shared" si="50"/>
        <v>85.86554621848741</v>
      </c>
      <c r="J663" s="21">
        <f t="shared" si="51"/>
        <v>0.64080000000000004</v>
      </c>
      <c r="K663" s="21">
        <f t="shared" si="52"/>
        <v>85.224746218487411</v>
      </c>
      <c r="L663" s="8">
        <f t="shared" si="53"/>
        <v>31.919380606175064</v>
      </c>
      <c r="M663" s="30" t="str">
        <f t="shared" si="54"/>
        <v>November</v>
      </c>
    </row>
    <row r="664" spans="1:13">
      <c r="A664" s="9" t="s">
        <v>1110</v>
      </c>
      <c r="B664" s="8">
        <v>24</v>
      </c>
      <c r="C664" s="8" t="s">
        <v>39</v>
      </c>
      <c r="D664" s="8" t="s">
        <v>46</v>
      </c>
      <c r="E664" s="34" t="s">
        <v>1111</v>
      </c>
      <c r="F664" s="8">
        <v>158</v>
      </c>
      <c r="G664" s="8">
        <v>65.08</v>
      </c>
      <c r="H664" s="10">
        <v>29.49</v>
      </c>
      <c r="I664" s="21">
        <f t="shared" si="50"/>
        <v>54.689075630252098</v>
      </c>
      <c r="J664" s="21">
        <f t="shared" si="51"/>
        <v>46.594200000000001</v>
      </c>
      <c r="K664" s="21">
        <f t="shared" si="52"/>
        <v>8.0948756302520977</v>
      </c>
      <c r="L664" s="8">
        <f t="shared" si="53"/>
        <v>5.1233390064886697</v>
      </c>
      <c r="M664" s="30" t="str">
        <f t="shared" si="54"/>
        <v>July</v>
      </c>
    </row>
    <row r="665" spans="1:13">
      <c r="A665" s="9" t="s">
        <v>1112</v>
      </c>
      <c r="B665" s="8">
        <v>12</v>
      </c>
      <c r="C665" s="8" t="s">
        <v>35</v>
      </c>
      <c r="D665" s="8" t="s">
        <v>46</v>
      </c>
      <c r="E665" s="34" t="s">
        <v>458</v>
      </c>
      <c r="F665" s="8">
        <v>241</v>
      </c>
      <c r="G665" s="8">
        <v>94.03</v>
      </c>
      <c r="H665" s="10">
        <v>23.02</v>
      </c>
      <c r="I665" s="21">
        <f t="shared" si="50"/>
        <v>79.016806722689083</v>
      </c>
      <c r="J665" s="21">
        <f t="shared" si="51"/>
        <v>55.478199999999994</v>
      </c>
      <c r="K665" s="21">
        <f t="shared" si="52"/>
        <v>23.538606722689089</v>
      </c>
      <c r="L665" s="8">
        <f t="shared" si="53"/>
        <v>9.7670567314062602</v>
      </c>
      <c r="M665" s="30" t="str">
        <f t="shared" si="54"/>
        <v>October</v>
      </c>
    </row>
    <row r="666" spans="1:13">
      <c r="A666" s="9" t="s">
        <v>1113</v>
      </c>
      <c r="B666" s="8">
        <v>12</v>
      </c>
      <c r="C666" s="8" t="s">
        <v>51</v>
      </c>
      <c r="D666" s="8" t="s">
        <v>46</v>
      </c>
      <c r="E666" s="34" t="s">
        <v>1114</v>
      </c>
      <c r="F666" s="8">
        <v>536</v>
      </c>
      <c r="G666" s="8">
        <v>182.88</v>
      </c>
      <c r="H666" s="10">
        <v>17.03</v>
      </c>
      <c r="I666" s="21">
        <f t="shared" si="50"/>
        <v>153.68067226890756</v>
      </c>
      <c r="J666" s="21">
        <f t="shared" si="51"/>
        <v>91.280799999999999</v>
      </c>
      <c r="K666" s="21">
        <f t="shared" si="52"/>
        <v>62.399872268907558</v>
      </c>
      <c r="L666" s="8">
        <f t="shared" si="53"/>
        <v>11.641767214348425</v>
      </c>
      <c r="M666" s="30" t="str">
        <f t="shared" si="54"/>
        <v>August</v>
      </c>
    </row>
    <row r="667" spans="1:13">
      <c r="A667" s="9" t="s">
        <v>1115</v>
      </c>
      <c r="B667" s="8">
        <v>12</v>
      </c>
      <c r="C667" s="8" t="s">
        <v>39</v>
      </c>
      <c r="D667" s="8" t="s">
        <v>36</v>
      </c>
      <c r="E667" s="34">
        <v>45748</v>
      </c>
      <c r="F667" s="8">
        <v>136</v>
      </c>
      <c r="G667" s="8">
        <v>60.69</v>
      </c>
      <c r="H667" s="10">
        <v>29.42</v>
      </c>
      <c r="I667" s="21">
        <f t="shared" si="50"/>
        <v>51</v>
      </c>
      <c r="J667" s="21">
        <f t="shared" si="51"/>
        <v>40.011200000000002</v>
      </c>
      <c r="K667" s="21">
        <f t="shared" si="52"/>
        <v>10.988799999999998</v>
      </c>
      <c r="L667" s="8">
        <f t="shared" si="53"/>
        <v>8.0799999999999983</v>
      </c>
      <c r="M667" s="30" t="str">
        <f t="shared" si="54"/>
        <v>January</v>
      </c>
    </row>
    <row r="668" spans="1:13">
      <c r="A668" s="9" t="s">
        <v>1117</v>
      </c>
      <c r="B668" s="8">
        <v>12</v>
      </c>
      <c r="C668" s="8" t="s">
        <v>51</v>
      </c>
      <c r="D668" s="8" t="s">
        <v>36</v>
      </c>
      <c r="E668" s="34">
        <v>45329</v>
      </c>
      <c r="F668" s="8">
        <v>531</v>
      </c>
      <c r="G668" s="8">
        <v>169.94</v>
      </c>
      <c r="H668" s="10">
        <v>18.57</v>
      </c>
      <c r="I668" s="21">
        <f t="shared" si="50"/>
        <v>142.80672268907563</v>
      </c>
      <c r="J668" s="21">
        <f t="shared" si="51"/>
        <v>98.606700000000004</v>
      </c>
      <c r="K668" s="21">
        <f t="shared" si="52"/>
        <v>44.200022689075624</v>
      </c>
      <c r="L668" s="8">
        <f t="shared" si="53"/>
        <v>8.3239214103720567</v>
      </c>
      <c r="M668" s="30" t="str">
        <f t="shared" si="54"/>
        <v>June</v>
      </c>
    </row>
    <row r="669" spans="1:13">
      <c r="A669" s="9" t="s">
        <v>1118</v>
      </c>
      <c r="B669" s="8">
        <v>12</v>
      </c>
      <c r="C669" s="8" t="s">
        <v>35</v>
      </c>
      <c r="D669" s="8" t="s">
        <v>56</v>
      </c>
      <c r="E669" s="34">
        <v>45423</v>
      </c>
      <c r="F669" s="8">
        <v>284</v>
      </c>
      <c r="G669" s="8">
        <v>111.54</v>
      </c>
      <c r="H669" s="10">
        <v>24.7</v>
      </c>
      <c r="I669" s="21">
        <f t="shared" si="50"/>
        <v>93.731092436974805</v>
      </c>
      <c r="J669" s="21">
        <f t="shared" si="51"/>
        <v>70.147999999999996</v>
      </c>
      <c r="K669" s="21">
        <f t="shared" si="52"/>
        <v>23.583092436974809</v>
      </c>
      <c r="L669" s="8">
        <f t="shared" si="53"/>
        <v>8.3039057876671851</v>
      </c>
      <c r="M669" s="30" t="str">
        <f t="shared" si="54"/>
        <v>December</v>
      </c>
    </row>
    <row r="670" spans="1:13">
      <c r="A670" s="9" t="s">
        <v>1119</v>
      </c>
      <c r="B670" s="8">
        <v>12</v>
      </c>
      <c r="C670" s="8" t="s">
        <v>51</v>
      </c>
      <c r="D670" s="8" t="s">
        <v>36</v>
      </c>
      <c r="E670" s="34" t="s">
        <v>1120</v>
      </c>
      <c r="F670" s="8">
        <v>412</v>
      </c>
      <c r="G670" s="8">
        <v>143.61000000000001</v>
      </c>
      <c r="H670" s="10">
        <v>19.79</v>
      </c>
      <c r="I670" s="21">
        <f t="shared" si="50"/>
        <v>120.68067226890759</v>
      </c>
      <c r="J670" s="21">
        <f t="shared" si="51"/>
        <v>81.53479999999999</v>
      </c>
      <c r="K670" s="21">
        <f t="shared" si="52"/>
        <v>39.145872268907596</v>
      </c>
      <c r="L670" s="8">
        <f t="shared" si="53"/>
        <v>9.5014253079872812</v>
      </c>
      <c r="M670" s="30" t="str">
        <f t="shared" si="54"/>
        <v>January</v>
      </c>
    </row>
    <row r="671" spans="1:13">
      <c r="A671" s="9" t="s">
        <v>1121</v>
      </c>
      <c r="B671" s="8">
        <v>12</v>
      </c>
      <c r="C671" s="8" t="s">
        <v>51</v>
      </c>
      <c r="D671" s="8" t="s">
        <v>46</v>
      </c>
      <c r="E671" s="34">
        <v>45540</v>
      </c>
      <c r="F671" s="8">
        <v>504</v>
      </c>
      <c r="G671" s="8">
        <v>170.74</v>
      </c>
      <c r="H671" s="10">
        <v>16.850000000000001</v>
      </c>
      <c r="I671" s="21">
        <f t="shared" si="50"/>
        <v>143.47899159663868</v>
      </c>
      <c r="J671" s="21">
        <f t="shared" si="51"/>
        <v>84.924000000000021</v>
      </c>
      <c r="K671" s="21">
        <f t="shared" si="52"/>
        <v>58.554991596638658</v>
      </c>
      <c r="L671" s="8">
        <f t="shared" si="53"/>
        <v>11.618053888221956</v>
      </c>
      <c r="M671" s="30" t="str">
        <f t="shared" si="54"/>
        <v>May</v>
      </c>
    </row>
    <row r="672" spans="1:13">
      <c r="A672" s="9" t="s">
        <v>1122</v>
      </c>
      <c r="B672" s="8">
        <v>12</v>
      </c>
      <c r="C672" s="8" t="s">
        <v>35</v>
      </c>
      <c r="D672" s="8" t="s">
        <v>46</v>
      </c>
      <c r="E672" s="34">
        <v>45483</v>
      </c>
      <c r="F672" s="8">
        <v>184</v>
      </c>
      <c r="G672" s="8">
        <v>73.3</v>
      </c>
      <c r="H672" s="10">
        <v>23.58</v>
      </c>
      <c r="I672" s="21">
        <f t="shared" si="50"/>
        <v>61.596638655462186</v>
      </c>
      <c r="J672" s="21">
        <f t="shared" si="51"/>
        <v>43.387199999999993</v>
      </c>
      <c r="K672" s="21">
        <f t="shared" si="52"/>
        <v>18.209438655462193</v>
      </c>
      <c r="L672" s="8">
        <f t="shared" si="53"/>
        <v>9.8964340518816272</v>
      </c>
      <c r="M672" s="30" t="str">
        <f t="shared" si="54"/>
        <v>December</v>
      </c>
    </row>
    <row r="673" spans="1:13">
      <c r="A673" s="9" t="s">
        <v>1124</v>
      </c>
      <c r="B673" s="8">
        <v>24</v>
      </c>
      <c r="C673" s="8" t="s">
        <v>35</v>
      </c>
      <c r="D673" s="8" t="s">
        <v>46</v>
      </c>
      <c r="E673" s="34" t="s">
        <v>128</v>
      </c>
      <c r="F673" s="8">
        <v>231</v>
      </c>
      <c r="G673" s="8">
        <v>92.41</v>
      </c>
      <c r="H673" s="10">
        <v>22.73</v>
      </c>
      <c r="I673" s="21">
        <f t="shared" si="50"/>
        <v>77.655462184873954</v>
      </c>
      <c r="J673" s="21">
        <f t="shared" si="51"/>
        <v>52.506300000000003</v>
      </c>
      <c r="K673" s="21">
        <f t="shared" si="52"/>
        <v>25.149162184873951</v>
      </c>
      <c r="L673" s="8">
        <f t="shared" si="53"/>
        <v>10.88708319691513</v>
      </c>
      <c r="M673" s="30" t="str">
        <f t="shared" si="54"/>
        <v>February</v>
      </c>
    </row>
    <row r="674" spans="1:13">
      <c r="A674" s="9" t="s">
        <v>1125</v>
      </c>
      <c r="B674" s="8">
        <v>12</v>
      </c>
      <c r="C674" s="8" t="s">
        <v>51</v>
      </c>
      <c r="D674" s="8" t="s">
        <v>36</v>
      </c>
      <c r="E674" s="34" t="s">
        <v>391</v>
      </c>
      <c r="F674" s="8">
        <v>496</v>
      </c>
      <c r="G674" s="8">
        <v>167.25</v>
      </c>
      <c r="H674" s="10">
        <v>17.28</v>
      </c>
      <c r="I674" s="21">
        <f t="shared" si="50"/>
        <v>140.54621848739495</v>
      </c>
      <c r="J674" s="21">
        <f t="shared" si="51"/>
        <v>85.708800000000011</v>
      </c>
      <c r="K674" s="21">
        <f t="shared" si="52"/>
        <v>54.837418487394942</v>
      </c>
      <c r="L674" s="8">
        <f t="shared" si="53"/>
        <v>11.055931146652206</v>
      </c>
      <c r="M674" s="30" t="str">
        <f t="shared" si="54"/>
        <v>February</v>
      </c>
    </row>
    <row r="675" spans="1:13">
      <c r="A675" s="9" t="s">
        <v>1126</v>
      </c>
      <c r="B675" s="8">
        <v>12</v>
      </c>
      <c r="C675" s="8" t="s">
        <v>35</v>
      </c>
      <c r="D675" s="8" t="s">
        <v>36</v>
      </c>
      <c r="E675" s="34" t="s">
        <v>1127</v>
      </c>
      <c r="F675" s="8">
        <v>275</v>
      </c>
      <c r="G675" s="8">
        <v>100.79</v>
      </c>
      <c r="H675" s="10">
        <v>25.31</v>
      </c>
      <c r="I675" s="21">
        <f t="shared" si="50"/>
        <v>84.697478991596654</v>
      </c>
      <c r="J675" s="21">
        <f t="shared" si="51"/>
        <v>69.602500000000006</v>
      </c>
      <c r="K675" s="21">
        <f t="shared" si="52"/>
        <v>15.094978991596648</v>
      </c>
      <c r="L675" s="8">
        <f t="shared" si="53"/>
        <v>5.4890832696715082</v>
      </c>
      <c r="M675" s="30" t="str">
        <f t="shared" si="54"/>
        <v>October</v>
      </c>
    </row>
    <row r="676" spans="1:13">
      <c r="A676" s="9" t="s">
        <v>1128</v>
      </c>
      <c r="B676" s="8">
        <v>12</v>
      </c>
      <c r="C676" s="8" t="s">
        <v>39</v>
      </c>
      <c r="D676" s="8" t="s">
        <v>46</v>
      </c>
      <c r="E676" s="34">
        <v>45540</v>
      </c>
      <c r="F676" s="8">
        <v>163</v>
      </c>
      <c r="G676" s="8">
        <v>66.180000000000007</v>
      </c>
      <c r="H676" s="10">
        <v>28.17</v>
      </c>
      <c r="I676" s="21">
        <f t="shared" si="50"/>
        <v>55.613445378151269</v>
      </c>
      <c r="J676" s="21">
        <f t="shared" si="51"/>
        <v>45.917099999999998</v>
      </c>
      <c r="K676" s="21">
        <f t="shared" si="52"/>
        <v>9.6963453781512712</v>
      </c>
      <c r="L676" s="8">
        <f t="shared" si="53"/>
        <v>5.9486781461050739</v>
      </c>
      <c r="M676" s="30" t="str">
        <f t="shared" si="54"/>
        <v>May</v>
      </c>
    </row>
    <row r="677" spans="1:13">
      <c r="A677" s="9" t="s">
        <v>1129</v>
      </c>
      <c r="B677" s="8">
        <v>24</v>
      </c>
      <c r="C677" s="8" t="s">
        <v>35</v>
      </c>
      <c r="D677" s="8" t="s">
        <v>56</v>
      </c>
      <c r="E677" s="34" t="s">
        <v>1130</v>
      </c>
      <c r="F677" s="8">
        <v>267</v>
      </c>
      <c r="G677" s="8">
        <v>105.6</v>
      </c>
      <c r="H677" s="10">
        <v>25.68</v>
      </c>
      <c r="I677" s="21">
        <f t="shared" si="50"/>
        <v>88.739495798319325</v>
      </c>
      <c r="J677" s="21">
        <f t="shared" si="51"/>
        <v>68.565599999999989</v>
      </c>
      <c r="K677" s="21">
        <f t="shared" si="52"/>
        <v>20.173895798319336</v>
      </c>
      <c r="L677" s="8">
        <f t="shared" si="53"/>
        <v>7.555766216599002</v>
      </c>
      <c r="M677" s="30" t="str">
        <f t="shared" si="54"/>
        <v>May</v>
      </c>
    </row>
    <row r="678" spans="1:13">
      <c r="A678" s="9" t="s">
        <v>1131</v>
      </c>
      <c r="B678" s="8">
        <v>12</v>
      </c>
      <c r="C678" s="8" t="s">
        <v>51</v>
      </c>
      <c r="D678" s="8" t="s">
        <v>56</v>
      </c>
      <c r="E678" s="37">
        <v>45397</v>
      </c>
      <c r="F678" s="8">
        <v>581</v>
      </c>
      <c r="G678" s="8">
        <v>181.57</v>
      </c>
      <c r="H678" s="10">
        <v>17.34</v>
      </c>
      <c r="I678" s="21">
        <f t="shared" si="50"/>
        <v>152.57983193277312</v>
      </c>
      <c r="J678" s="21">
        <f t="shared" si="51"/>
        <v>100.74539999999999</v>
      </c>
      <c r="K678" s="21">
        <f t="shared" si="52"/>
        <v>51.834431932773128</v>
      </c>
      <c r="L678" s="8">
        <f t="shared" si="53"/>
        <v>8.9215889729385758</v>
      </c>
      <c r="M678" s="30" t="str">
        <f t="shared" si="54"/>
        <v>February</v>
      </c>
    </row>
    <row r="679" spans="1:13">
      <c r="A679" s="9" t="s">
        <v>1133</v>
      </c>
      <c r="B679" s="8">
        <v>12</v>
      </c>
      <c r="C679" s="8" t="s">
        <v>51</v>
      </c>
      <c r="D679" s="8" t="s">
        <v>36</v>
      </c>
      <c r="E679" s="34" t="s">
        <v>1134</v>
      </c>
      <c r="F679" s="8">
        <v>502</v>
      </c>
      <c r="G679" s="8">
        <v>176.41</v>
      </c>
      <c r="H679" s="10">
        <v>20.9</v>
      </c>
      <c r="I679" s="21">
        <f t="shared" si="50"/>
        <v>148.24369747899161</v>
      </c>
      <c r="J679" s="21">
        <f t="shared" si="51"/>
        <v>104.91799999999999</v>
      </c>
      <c r="K679" s="21">
        <f t="shared" si="52"/>
        <v>43.325697478991614</v>
      </c>
      <c r="L679" s="8">
        <f t="shared" si="53"/>
        <v>8.630617027687574</v>
      </c>
      <c r="M679" s="30" t="str">
        <f t="shared" si="54"/>
        <v>January</v>
      </c>
    </row>
    <row r="680" spans="1:13">
      <c r="A680" s="9" t="s">
        <v>1135</v>
      </c>
      <c r="B680" s="8">
        <v>24</v>
      </c>
      <c r="C680" s="8" t="s">
        <v>51</v>
      </c>
      <c r="D680" s="8" t="s">
        <v>36</v>
      </c>
      <c r="E680" s="34" t="s">
        <v>535</v>
      </c>
      <c r="F680" s="8">
        <v>545</v>
      </c>
      <c r="G680" s="8">
        <v>188.46</v>
      </c>
      <c r="H680" s="10">
        <v>19.29</v>
      </c>
      <c r="I680" s="21">
        <f t="shared" si="50"/>
        <v>158.36974789915968</v>
      </c>
      <c r="J680" s="21">
        <f t="shared" si="51"/>
        <v>105.1305</v>
      </c>
      <c r="K680" s="21">
        <f t="shared" si="52"/>
        <v>53.239247899159679</v>
      </c>
      <c r="L680" s="8">
        <f t="shared" si="53"/>
        <v>9.7686693392953536</v>
      </c>
      <c r="M680" s="30" t="str">
        <f t="shared" si="54"/>
        <v>October</v>
      </c>
    </row>
    <row r="681" spans="1:13">
      <c r="A681" s="9" t="s">
        <v>1136</v>
      </c>
      <c r="B681" s="8">
        <v>24</v>
      </c>
      <c r="C681" s="8" t="s">
        <v>35</v>
      </c>
      <c r="D681" s="8" t="s">
        <v>56</v>
      </c>
      <c r="E681" s="34" t="s">
        <v>1137</v>
      </c>
      <c r="F681" s="8">
        <v>179</v>
      </c>
      <c r="G681" s="8">
        <v>72.44</v>
      </c>
      <c r="H681" s="10">
        <v>22.93</v>
      </c>
      <c r="I681" s="21">
        <f t="shared" si="50"/>
        <v>60.873949579831937</v>
      </c>
      <c r="J681" s="21">
        <f t="shared" si="51"/>
        <v>41.044700000000006</v>
      </c>
      <c r="K681" s="21">
        <f t="shared" si="52"/>
        <v>19.829249579831931</v>
      </c>
      <c r="L681" s="8">
        <f t="shared" si="53"/>
        <v>11.077793061358621</v>
      </c>
      <c r="M681" s="30" t="str">
        <f t="shared" si="54"/>
        <v>April</v>
      </c>
    </row>
    <row r="682" spans="1:13">
      <c r="A682" s="9" t="s">
        <v>1138</v>
      </c>
      <c r="B682" s="8">
        <v>24</v>
      </c>
      <c r="C682" s="8" t="s">
        <v>51</v>
      </c>
      <c r="D682" s="8" t="s">
        <v>46</v>
      </c>
      <c r="E682" s="34">
        <v>45782</v>
      </c>
      <c r="F682" s="8">
        <v>418</v>
      </c>
      <c r="G682" s="8">
        <v>141.77000000000001</v>
      </c>
      <c r="H682" s="10">
        <v>21.01</v>
      </c>
      <c r="I682" s="21">
        <f t="shared" si="50"/>
        <v>119.13445378151262</v>
      </c>
      <c r="J682" s="21">
        <f t="shared" si="51"/>
        <v>87.821799999999996</v>
      </c>
      <c r="K682" s="21">
        <f t="shared" si="52"/>
        <v>31.312653781512623</v>
      </c>
      <c r="L682" s="8">
        <f t="shared" si="53"/>
        <v>7.4910654979695277</v>
      </c>
      <c r="M682" s="30" t="str">
        <f t="shared" si="54"/>
        <v>November</v>
      </c>
    </row>
    <row r="683" spans="1:13">
      <c r="A683" s="9" t="s">
        <v>1140</v>
      </c>
      <c r="B683" s="8">
        <v>12</v>
      </c>
      <c r="C683" s="8" t="s">
        <v>39</v>
      </c>
      <c r="D683" s="8" t="s">
        <v>56</v>
      </c>
      <c r="E683" s="34" t="s">
        <v>1141</v>
      </c>
      <c r="F683" s="8">
        <v>113</v>
      </c>
      <c r="G683" s="8">
        <v>49.72</v>
      </c>
      <c r="H683" s="10">
        <v>30.93</v>
      </c>
      <c r="I683" s="21">
        <f t="shared" si="50"/>
        <v>41.781512605042018</v>
      </c>
      <c r="J683" s="21">
        <f t="shared" si="51"/>
        <v>34.950900000000004</v>
      </c>
      <c r="K683" s="21">
        <f t="shared" si="52"/>
        <v>6.8306126050420133</v>
      </c>
      <c r="L683" s="8">
        <f t="shared" si="53"/>
        <v>6.0447899159663834</v>
      </c>
      <c r="M683" s="30" t="str">
        <f t="shared" si="54"/>
        <v>March</v>
      </c>
    </row>
    <row r="684" spans="1:13">
      <c r="A684" s="9" t="s">
        <v>1142</v>
      </c>
      <c r="B684" s="8">
        <v>12</v>
      </c>
      <c r="C684" s="8" t="s">
        <v>35</v>
      </c>
      <c r="D684" s="8" t="s">
        <v>36</v>
      </c>
      <c r="E684" s="34" t="s">
        <v>88</v>
      </c>
      <c r="F684" s="8">
        <v>245</v>
      </c>
      <c r="G684" s="8">
        <v>97.3</v>
      </c>
      <c r="H684" s="10">
        <v>25.83</v>
      </c>
      <c r="I684" s="21">
        <f t="shared" si="50"/>
        <v>81.764705882352942</v>
      </c>
      <c r="J684" s="21">
        <f t="shared" si="51"/>
        <v>63.283499999999997</v>
      </c>
      <c r="K684" s="21">
        <f t="shared" si="52"/>
        <v>18.481205882352945</v>
      </c>
      <c r="L684" s="8">
        <f t="shared" si="53"/>
        <v>7.5433493397358955</v>
      </c>
      <c r="M684" s="30" t="str">
        <f t="shared" si="54"/>
        <v>December</v>
      </c>
    </row>
    <row r="685" spans="1:13">
      <c r="A685" s="9" t="s">
        <v>1143</v>
      </c>
      <c r="B685" s="8">
        <v>24</v>
      </c>
      <c r="C685" s="8" t="s">
        <v>39</v>
      </c>
      <c r="D685" s="8" t="s">
        <v>46</v>
      </c>
      <c r="E685" s="34">
        <v>45480</v>
      </c>
      <c r="F685" s="8">
        <v>87</v>
      </c>
      <c r="G685" s="8">
        <v>42.82</v>
      </c>
      <c r="H685" s="10">
        <v>28.88</v>
      </c>
      <c r="I685" s="21">
        <f t="shared" si="50"/>
        <v>35.983193277310924</v>
      </c>
      <c r="J685" s="21">
        <f t="shared" si="51"/>
        <v>25.125599999999999</v>
      </c>
      <c r="K685" s="21">
        <f t="shared" si="52"/>
        <v>10.857593277310926</v>
      </c>
      <c r="L685" s="8">
        <f t="shared" si="53"/>
        <v>12.479992272771179</v>
      </c>
      <c r="M685" s="30" t="str">
        <f t="shared" si="54"/>
        <v>September</v>
      </c>
    </row>
    <row r="686" spans="1:13">
      <c r="A686" s="9" t="s">
        <v>1145</v>
      </c>
      <c r="B686" s="8">
        <v>24</v>
      </c>
      <c r="C686" s="8" t="s">
        <v>39</v>
      </c>
      <c r="D686" s="8" t="s">
        <v>46</v>
      </c>
      <c r="E686" s="34" t="s">
        <v>572</v>
      </c>
      <c r="F686" s="8">
        <v>95</v>
      </c>
      <c r="G686" s="8">
        <v>47.03</v>
      </c>
      <c r="H686" s="10">
        <v>31.54</v>
      </c>
      <c r="I686" s="21">
        <f t="shared" si="50"/>
        <v>39.52100840336135</v>
      </c>
      <c r="J686" s="21">
        <f t="shared" si="51"/>
        <v>29.962999999999997</v>
      </c>
      <c r="K686" s="21">
        <f t="shared" si="52"/>
        <v>9.5580084033613524</v>
      </c>
      <c r="L686" s="8">
        <f t="shared" si="53"/>
        <v>10.061061477222475</v>
      </c>
      <c r="M686" s="30" t="str">
        <f t="shared" si="54"/>
        <v>February</v>
      </c>
    </row>
    <row r="687" spans="1:13">
      <c r="A687" s="9" t="s">
        <v>1146</v>
      </c>
      <c r="B687" s="8">
        <v>24</v>
      </c>
      <c r="C687" s="8" t="s">
        <v>35</v>
      </c>
      <c r="D687" s="8" t="s">
        <v>46</v>
      </c>
      <c r="E687" s="34" t="s">
        <v>936</v>
      </c>
      <c r="F687" s="8">
        <v>213</v>
      </c>
      <c r="G687" s="8">
        <v>85.65</v>
      </c>
      <c r="H687" s="10">
        <v>25.74</v>
      </c>
      <c r="I687" s="21">
        <f t="shared" si="50"/>
        <v>71.974789915966397</v>
      </c>
      <c r="J687" s="21">
        <f t="shared" si="51"/>
        <v>54.8262</v>
      </c>
      <c r="K687" s="21">
        <f t="shared" si="52"/>
        <v>17.148589915966397</v>
      </c>
      <c r="L687" s="8">
        <f t="shared" si="53"/>
        <v>8.0509811812048824</v>
      </c>
      <c r="M687" s="30" t="str">
        <f t="shared" si="54"/>
        <v>September</v>
      </c>
    </row>
    <row r="688" spans="1:13">
      <c r="A688" s="9" t="s">
        <v>1147</v>
      </c>
      <c r="B688" s="8">
        <v>24</v>
      </c>
      <c r="C688" s="8" t="s">
        <v>35</v>
      </c>
      <c r="D688" s="8" t="s">
        <v>36</v>
      </c>
      <c r="E688" s="34">
        <v>45752</v>
      </c>
      <c r="F688" s="8">
        <v>328</v>
      </c>
      <c r="G688" s="8">
        <v>117.71</v>
      </c>
      <c r="H688" s="10">
        <v>27.67</v>
      </c>
      <c r="I688" s="21">
        <f t="shared" si="50"/>
        <v>98.915966386554615</v>
      </c>
      <c r="J688" s="21">
        <f t="shared" si="51"/>
        <v>90.757599999999996</v>
      </c>
      <c r="K688" s="21">
        <f t="shared" si="52"/>
        <v>8.1583663865546185</v>
      </c>
      <c r="L688" s="8">
        <f t="shared" si="53"/>
        <v>2.4873068251690911</v>
      </c>
      <c r="M688" s="30" t="str">
        <f t="shared" si="54"/>
        <v>May</v>
      </c>
    </row>
    <row r="689" spans="1:13">
      <c r="A689" s="9" t="s">
        <v>1149</v>
      </c>
      <c r="B689" s="8">
        <v>12</v>
      </c>
      <c r="C689" s="8" t="s">
        <v>35</v>
      </c>
      <c r="D689" s="8" t="s">
        <v>36</v>
      </c>
      <c r="E689" s="34" t="s">
        <v>1150</v>
      </c>
      <c r="F689" s="8">
        <v>222</v>
      </c>
      <c r="G689" s="8">
        <v>82.76</v>
      </c>
      <c r="H689" s="10">
        <v>24.54</v>
      </c>
      <c r="I689" s="21">
        <f t="shared" si="50"/>
        <v>69.546218487394967</v>
      </c>
      <c r="J689" s="21">
        <f t="shared" si="51"/>
        <v>54.4788</v>
      </c>
      <c r="K689" s="21">
        <f t="shared" si="52"/>
        <v>15.067418487394967</v>
      </c>
      <c r="L689" s="8">
        <f t="shared" si="53"/>
        <v>6.7871254447725073</v>
      </c>
      <c r="M689" s="30" t="str">
        <f t="shared" si="54"/>
        <v>April</v>
      </c>
    </row>
    <row r="690" spans="1:13">
      <c r="A690" s="9" t="s">
        <v>1151</v>
      </c>
      <c r="B690" s="8">
        <v>24</v>
      </c>
      <c r="C690" s="8" t="s">
        <v>35</v>
      </c>
      <c r="D690" s="8" t="s">
        <v>46</v>
      </c>
      <c r="E690" s="34">
        <v>45476</v>
      </c>
      <c r="F690" s="8">
        <v>247</v>
      </c>
      <c r="G690" s="8">
        <v>96.58</v>
      </c>
      <c r="H690" s="10">
        <v>24.52</v>
      </c>
      <c r="I690" s="21">
        <f t="shared" si="50"/>
        <v>81.159663865546221</v>
      </c>
      <c r="J690" s="21">
        <f t="shared" si="51"/>
        <v>60.564399999999999</v>
      </c>
      <c r="K690" s="21">
        <f t="shared" si="52"/>
        <v>20.595263865546222</v>
      </c>
      <c r="L690" s="8">
        <f t="shared" si="53"/>
        <v>8.3381635083183081</v>
      </c>
      <c r="M690" s="30" t="str">
        <f t="shared" si="54"/>
        <v>May</v>
      </c>
    </row>
    <row r="691" spans="1:13">
      <c r="A691" s="9" t="s">
        <v>1153</v>
      </c>
      <c r="B691" s="8">
        <v>12</v>
      </c>
      <c r="C691" s="8" t="s">
        <v>35</v>
      </c>
      <c r="D691" s="8" t="s">
        <v>36</v>
      </c>
      <c r="E691" s="34" t="s">
        <v>179</v>
      </c>
      <c r="F691" s="8">
        <v>200</v>
      </c>
      <c r="G691" s="8">
        <v>83.78</v>
      </c>
      <c r="H691" s="10">
        <v>23.61</v>
      </c>
      <c r="I691" s="21">
        <f t="shared" si="50"/>
        <v>70.403361344537814</v>
      </c>
      <c r="J691" s="21">
        <f t="shared" si="51"/>
        <v>47.22</v>
      </c>
      <c r="K691" s="21">
        <f t="shared" si="52"/>
        <v>23.183361344537815</v>
      </c>
      <c r="L691" s="8">
        <f t="shared" si="53"/>
        <v>11.591680672268907</v>
      </c>
      <c r="M691" s="30" t="str">
        <f t="shared" si="54"/>
        <v>February</v>
      </c>
    </row>
    <row r="692" spans="1:13">
      <c r="A692" s="9" t="s">
        <v>1154</v>
      </c>
      <c r="B692" s="8">
        <v>12</v>
      </c>
      <c r="C692" s="8" t="s">
        <v>39</v>
      </c>
      <c r="D692" s="8" t="s">
        <v>36</v>
      </c>
      <c r="E692" s="34" t="s">
        <v>1155</v>
      </c>
      <c r="F692" s="8">
        <v>134</v>
      </c>
      <c r="G692" s="8">
        <v>56.79</v>
      </c>
      <c r="H692" s="10">
        <v>33.01</v>
      </c>
      <c r="I692" s="21">
        <f t="shared" si="50"/>
        <v>47.722689075630257</v>
      </c>
      <c r="J692" s="21">
        <f t="shared" si="51"/>
        <v>44.233400000000003</v>
      </c>
      <c r="K692" s="21">
        <f t="shared" si="52"/>
        <v>3.4892890756302535</v>
      </c>
      <c r="L692" s="8">
        <f t="shared" si="53"/>
        <v>2.6039470713658606</v>
      </c>
      <c r="M692" s="30" t="str">
        <f t="shared" si="54"/>
        <v>May</v>
      </c>
    </row>
    <row r="693" spans="1:13">
      <c r="A693" s="9" t="s">
        <v>1156</v>
      </c>
      <c r="B693" s="8">
        <v>12</v>
      </c>
      <c r="C693" s="8" t="s">
        <v>35</v>
      </c>
      <c r="D693" s="8" t="s">
        <v>56</v>
      </c>
      <c r="E693" s="34" t="s">
        <v>522</v>
      </c>
      <c r="F693" s="8">
        <v>214</v>
      </c>
      <c r="G693" s="8">
        <v>83.18</v>
      </c>
      <c r="H693" s="10">
        <v>24.13</v>
      </c>
      <c r="I693" s="21">
        <f t="shared" si="50"/>
        <v>69.899159663865561</v>
      </c>
      <c r="J693" s="21">
        <f t="shared" si="51"/>
        <v>51.638199999999998</v>
      </c>
      <c r="K693" s="21">
        <f t="shared" si="52"/>
        <v>18.260959663865563</v>
      </c>
      <c r="L693" s="8">
        <f t="shared" si="53"/>
        <v>8.5331587214325051</v>
      </c>
      <c r="M693" s="30" t="str">
        <f t="shared" si="54"/>
        <v>March</v>
      </c>
    </row>
    <row r="694" spans="1:13">
      <c r="A694" s="9" t="s">
        <v>1157</v>
      </c>
      <c r="B694" s="8">
        <v>12</v>
      </c>
      <c r="C694" s="8" t="s">
        <v>39</v>
      </c>
      <c r="D694" s="8" t="s">
        <v>36</v>
      </c>
      <c r="E694" s="34" t="s">
        <v>1158</v>
      </c>
      <c r="F694" s="8">
        <v>100</v>
      </c>
      <c r="G694" s="8">
        <v>46.91</v>
      </c>
      <c r="H694" s="10">
        <v>30.71</v>
      </c>
      <c r="I694" s="21">
        <f t="shared" si="50"/>
        <v>39.420168067226889</v>
      </c>
      <c r="J694" s="21">
        <f t="shared" si="51"/>
        <v>30.71</v>
      </c>
      <c r="K694" s="21">
        <f t="shared" si="52"/>
        <v>8.7101680672268884</v>
      </c>
      <c r="L694" s="8">
        <f t="shared" si="53"/>
        <v>8.7101680672268884</v>
      </c>
      <c r="M694" s="30" t="str">
        <f t="shared" si="54"/>
        <v>February</v>
      </c>
    </row>
    <row r="695" spans="1:13">
      <c r="A695" s="9" t="s">
        <v>1159</v>
      </c>
      <c r="B695" s="8">
        <v>12</v>
      </c>
      <c r="C695" s="8" t="s">
        <v>39</v>
      </c>
      <c r="D695" s="8" t="s">
        <v>56</v>
      </c>
      <c r="E695" s="34">
        <v>45388</v>
      </c>
      <c r="F695" s="8">
        <v>126</v>
      </c>
      <c r="G695" s="8">
        <v>55.29</v>
      </c>
      <c r="H695" s="10">
        <v>31.71</v>
      </c>
      <c r="I695" s="21">
        <f t="shared" si="50"/>
        <v>46.462184873949582</v>
      </c>
      <c r="J695" s="21">
        <f t="shared" si="51"/>
        <v>39.954599999999999</v>
      </c>
      <c r="K695" s="21">
        <f t="shared" si="52"/>
        <v>6.5075848739495825</v>
      </c>
      <c r="L695" s="8">
        <f t="shared" si="53"/>
        <v>5.1647498999599861</v>
      </c>
      <c r="M695" s="30" t="str">
        <f t="shared" si="54"/>
        <v>May</v>
      </c>
    </row>
    <row r="696" spans="1:13">
      <c r="A696" s="9" t="s">
        <v>1161</v>
      </c>
      <c r="B696" s="8">
        <v>12</v>
      </c>
      <c r="C696" s="8" t="s">
        <v>35</v>
      </c>
      <c r="D696" s="8" t="s">
        <v>36</v>
      </c>
      <c r="E696" s="34">
        <v>45297</v>
      </c>
      <c r="F696" s="8">
        <v>168</v>
      </c>
      <c r="G696" s="8">
        <v>67.37</v>
      </c>
      <c r="H696" s="10">
        <v>26.93</v>
      </c>
      <c r="I696" s="21">
        <f t="shared" si="50"/>
        <v>56.613445378151269</v>
      </c>
      <c r="J696" s="21">
        <f t="shared" si="51"/>
        <v>45.242399999999996</v>
      </c>
      <c r="K696" s="21">
        <f t="shared" si="52"/>
        <v>11.371045378151273</v>
      </c>
      <c r="L696" s="8">
        <f t="shared" si="53"/>
        <v>6.7684793917567099</v>
      </c>
      <c r="M696" s="30" t="str">
        <f t="shared" si="54"/>
        <v>February</v>
      </c>
    </row>
    <row r="697" spans="1:13">
      <c r="A697" s="9" t="s">
        <v>1162</v>
      </c>
      <c r="B697" s="8">
        <v>24</v>
      </c>
      <c r="C697" s="8" t="s">
        <v>35</v>
      </c>
      <c r="D697" s="8" t="s">
        <v>46</v>
      </c>
      <c r="E697" s="34">
        <v>45484</v>
      </c>
      <c r="F697" s="8">
        <v>168</v>
      </c>
      <c r="G697" s="8">
        <v>70.48</v>
      </c>
      <c r="H697" s="10">
        <v>25.3</v>
      </c>
      <c r="I697" s="21">
        <f t="shared" si="50"/>
        <v>59.226890756302524</v>
      </c>
      <c r="J697" s="21">
        <f t="shared" si="51"/>
        <v>42.504000000000005</v>
      </c>
      <c r="K697" s="21">
        <f t="shared" si="52"/>
        <v>16.722890756302519</v>
      </c>
      <c r="L697" s="8">
        <f t="shared" si="53"/>
        <v>9.9541016406562619</v>
      </c>
      <c r="M697" s="30" t="str">
        <f t="shared" si="54"/>
        <v>January</v>
      </c>
    </row>
    <row r="698" spans="1:13">
      <c r="A698" s="9" t="s">
        <v>1163</v>
      </c>
      <c r="B698" s="8">
        <v>12</v>
      </c>
      <c r="C698" s="8" t="s">
        <v>35</v>
      </c>
      <c r="D698" s="8" t="s">
        <v>56</v>
      </c>
      <c r="E698" s="37">
        <v>45379</v>
      </c>
      <c r="F698" s="8">
        <v>203</v>
      </c>
      <c r="G698" s="8">
        <v>80.099999999999994</v>
      </c>
      <c r="H698" s="10">
        <v>22.59</v>
      </c>
      <c r="I698" s="21">
        <f t="shared" si="50"/>
        <v>67.310924369747895</v>
      </c>
      <c r="J698" s="21">
        <f t="shared" si="51"/>
        <v>45.857699999999994</v>
      </c>
      <c r="K698" s="21">
        <f t="shared" si="52"/>
        <v>21.4532243697479</v>
      </c>
      <c r="L698" s="8">
        <f t="shared" si="53"/>
        <v>10.568090822535911</v>
      </c>
      <c r="M698" s="30" t="str">
        <f t="shared" si="54"/>
        <v>August</v>
      </c>
    </row>
    <row r="699" spans="1:13">
      <c r="A699" s="9" t="s">
        <v>1165</v>
      </c>
      <c r="B699" s="8">
        <v>24</v>
      </c>
      <c r="C699" s="8" t="s">
        <v>35</v>
      </c>
      <c r="D699" s="8" t="s">
        <v>36</v>
      </c>
      <c r="E699" s="34">
        <v>45605</v>
      </c>
      <c r="F699" s="8">
        <v>173</v>
      </c>
      <c r="G699" s="8">
        <v>72.5</v>
      </c>
      <c r="H699" s="10">
        <v>25.33</v>
      </c>
      <c r="I699" s="21">
        <f t="shared" si="50"/>
        <v>60.924369747899163</v>
      </c>
      <c r="J699" s="21">
        <f t="shared" si="51"/>
        <v>43.820900000000002</v>
      </c>
      <c r="K699" s="21">
        <f t="shared" si="52"/>
        <v>17.103469747899162</v>
      </c>
      <c r="L699" s="8">
        <f t="shared" si="53"/>
        <v>9.8863986982076071</v>
      </c>
      <c r="M699" s="30" t="str">
        <f t="shared" si="54"/>
        <v>June</v>
      </c>
    </row>
    <row r="700" spans="1:13">
      <c r="A700" s="9" t="s">
        <v>1166</v>
      </c>
      <c r="B700" s="8">
        <v>12</v>
      </c>
      <c r="C700" s="8" t="s">
        <v>35</v>
      </c>
      <c r="D700" s="8" t="s">
        <v>36</v>
      </c>
      <c r="E700" s="34">
        <v>45296</v>
      </c>
      <c r="F700" s="8">
        <v>185</v>
      </c>
      <c r="G700" s="8">
        <v>71.47</v>
      </c>
      <c r="H700" s="10">
        <v>24.16</v>
      </c>
      <c r="I700" s="21">
        <f t="shared" si="50"/>
        <v>60.058823529411768</v>
      </c>
      <c r="J700" s="21">
        <f t="shared" si="51"/>
        <v>44.696000000000005</v>
      </c>
      <c r="K700" s="21">
        <f t="shared" si="52"/>
        <v>15.362823529411763</v>
      </c>
      <c r="L700" s="8">
        <f t="shared" si="53"/>
        <v>8.3042289348171696</v>
      </c>
      <c r="M700" s="30" t="str">
        <f t="shared" si="54"/>
        <v>January</v>
      </c>
    </row>
    <row r="701" spans="1:13">
      <c r="A701" s="9" t="s">
        <v>1168</v>
      </c>
      <c r="B701" s="8">
        <v>12</v>
      </c>
      <c r="C701" s="8" t="s">
        <v>51</v>
      </c>
      <c r="D701" s="8" t="s">
        <v>36</v>
      </c>
      <c r="E701" s="34">
        <v>45691</v>
      </c>
      <c r="F701" s="8">
        <v>446</v>
      </c>
      <c r="G701" s="8">
        <v>158.28</v>
      </c>
      <c r="H701" s="10">
        <v>20.72</v>
      </c>
      <c r="I701" s="21">
        <f t="shared" si="50"/>
        <v>133.00840336134453</v>
      </c>
      <c r="J701" s="21">
        <f t="shared" si="51"/>
        <v>92.411199999999994</v>
      </c>
      <c r="K701" s="21">
        <f t="shared" si="52"/>
        <v>40.59720336134454</v>
      </c>
      <c r="L701" s="8">
        <f t="shared" si="53"/>
        <v>9.1025119644270269</v>
      </c>
      <c r="M701" s="30" t="str">
        <f t="shared" si="54"/>
        <v>August</v>
      </c>
    </row>
    <row r="702" spans="1:13">
      <c r="A702" s="9" t="s">
        <v>1170</v>
      </c>
      <c r="B702" s="8">
        <v>12</v>
      </c>
      <c r="C702" s="8" t="s">
        <v>35</v>
      </c>
      <c r="D702" s="8" t="s">
        <v>36</v>
      </c>
      <c r="E702" s="34" t="s">
        <v>1171</v>
      </c>
      <c r="F702" s="8">
        <v>300</v>
      </c>
      <c r="G702" s="8">
        <v>109.33</v>
      </c>
      <c r="H702" s="10">
        <v>23.73</v>
      </c>
      <c r="I702" s="21">
        <f t="shared" si="50"/>
        <v>91.87394957983193</v>
      </c>
      <c r="J702" s="21">
        <f t="shared" si="51"/>
        <v>71.19</v>
      </c>
      <c r="K702" s="21">
        <f t="shared" si="52"/>
        <v>20.683949579831932</v>
      </c>
      <c r="L702" s="8">
        <f t="shared" si="53"/>
        <v>6.8946498599439767</v>
      </c>
      <c r="M702" s="30" t="str">
        <f t="shared" si="54"/>
        <v>August</v>
      </c>
    </row>
    <row r="703" spans="1:13">
      <c r="A703" s="9" t="s">
        <v>1172</v>
      </c>
      <c r="B703" s="8">
        <v>12</v>
      </c>
      <c r="C703" s="8" t="s">
        <v>35</v>
      </c>
      <c r="D703" s="8" t="s">
        <v>46</v>
      </c>
      <c r="E703" s="34" t="s">
        <v>496</v>
      </c>
      <c r="F703" s="8">
        <v>262</v>
      </c>
      <c r="G703" s="8">
        <v>93.07</v>
      </c>
      <c r="H703" s="10">
        <v>23.52</v>
      </c>
      <c r="I703" s="21">
        <f t="shared" si="50"/>
        <v>78.210084033613441</v>
      </c>
      <c r="J703" s="21">
        <f t="shared" si="51"/>
        <v>61.622399999999999</v>
      </c>
      <c r="K703" s="21">
        <f t="shared" si="52"/>
        <v>16.587684033613442</v>
      </c>
      <c r="L703" s="8">
        <f t="shared" si="53"/>
        <v>6.3311771120662002</v>
      </c>
      <c r="M703" s="30" t="str">
        <f t="shared" si="54"/>
        <v>June</v>
      </c>
    </row>
    <row r="704" spans="1:13">
      <c r="A704" s="9" t="s">
        <v>1173</v>
      </c>
      <c r="B704" s="8">
        <v>12</v>
      </c>
      <c r="C704" s="8" t="s">
        <v>39</v>
      </c>
      <c r="D704" s="8" t="s">
        <v>56</v>
      </c>
      <c r="E704" s="34" t="s">
        <v>100</v>
      </c>
      <c r="F704" s="8">
        <v>126</v>
      </c>
      <c r="G704" s="8">
        <v>55.63</v>
      </c>
      <c r="H704" s="10">
        <v>31.66</v>
      </c>
      <c r="I704" s="21">
        <f t="shared" si="50"/>
        <v>46.747899159663866</v>
      </c>
      <c r="J704" s="21">
        <f t="shared" si="51"/>
        <v>39.891599999999997</v>
      </c>
      <c r="K704" s="21">
        <f t="shared" si="52"/>
        <v>6.8562991596638696</v>
      </c>
      <c r="L704" s="8">
        <f t="shared" si="53"/>
        <v>5.4415072695745001</v>
      </c>
      <c r="M704" s="30" t="str">
        <f t="shared" si="54"/>
        <v>January</v>
      </c>
    </row>
    <row r="705" spans="1:13">
      <c r="A705" s="9" t="s">
        <v>1174</v>
      </c>
      <c r="B705" s="8">
        <v>12</v>
      </c>
      <c r="C705" s="8" t="s">
        <v>39</v>
      </c>
      <c r="D705" s="8" t="s">
        <v>36</v>
      </c>
      <c r="E705" s="34">
        <v>45812</v>
      </c>
      <c r="F705" s="8">
        <v>108</v>
      </c>
      <c r="G705" s="8">
        <v>50.04</v>
      </c>
      <c r="H705" s="10">
        <v>29</v>
      </c>
      <c r="I705" s="21">
        <f t="shared" si="50"/>
        <v>42.050420168067227</v>
      </c>
      <c r="J705" s="21">
        <f t="shared" si="51"/>
        <v>31.32</v>
      </c>
      <c r="K705" s="21">
        <f t="shared" si="52"/>
        <v>10.730420168067226</v>
      </c>
      <c r="L705" s="8">
        <f t="shared" si="53"/>
        <v>9.935574229691877</v>
      </c>
      <c r="M705" s="30" t="str">
        <f t="shared" si="54"/>
        <v>January</v>
      </c>
    </row>
    <row r="706" spans="1:13">
      <c r="A706" s="9" t="s">
        <v>1175</v>
      </c>
      <c r="B706" s="8">
        <v>12</v>
      </c>
      <c r="C706" s="8" t="s">
        <v>35</v>
      </c>
      <c r="D706" s="8" t="s">
        <v>36</v>
      </c>
      <c r="E706" s="34" t="s">
        <v>420</v>
      </c>
      <c r="F706" s="8">
        <v>322</v>
      </c>
      <c r="G706" s="8">
        <v>117.23</v>
      </c>
      <c r="H706" s="10">
        <v>25.38</v>
      </c>
      <c r="I706" s="21">
        <f t="shared" ref="I706:I769" si="55">G706/1.19</f>
        <v>98.512605042016816</v>
      </c>
      <c r="J706" s="21">
        <f t="shared" ref="J706:J769" si="56">F706*H706/100</f>
        <v>81.72359999999999</v>
      </c>
      <c r="K706" s="21">
        <f t="shared" ref="K706:K769" si="57">I706-J706</f>
        <v>16.789005042016825</v>
      </c>
      <c r="L706" s="8">
        <f t="shared" ref="L706:L769" si="58">IF(F706=0,"",K706/F706*100)</f>
        <v>5.2139767211232373</v>
      </c>
      <c r="M706" s="30" t="str">
        <f t="shared" ref="M706:M769" si="59">TEXT(DATE(RIGHT(E706,4),MID(E706,4,2),LEFT(E706,2)),"mmmm")</f>
        <v>March</v>
      </c>
    </row>
    <row r="707" spans="1:13">
      <c r="A707" s="9" t="s">
        <v>1176</v>
      </c>
      <c r="B707" s="8">
        <v>24</v>
      </c>
      <c r="C707" s="8" t="s">
        <v>35</v>
      </c>
      <c r="D707" s="8" t="s">
        <v>36</v>
      </c>
      <c r="E707" s="34" t="s">
        <v>1177</v>
      </c>
      <c r="F707" s="8">
        <v>233</v>
      </c>
      <c r="G707" s="8">
        <v>88.74</v>
      </c>
      <c r="H707" s="10">
        <v>23.94</v>
      </c>
      <c r="I707" s="21">
        <f t="shared" si="55"/>
        <v>74.571428571428569</v>
      </c>
      <c r="J707" s="21">
        <f t="shared" si="56"/>
        <v>55.780200000000008</v>
      </c>
      <c r="K707" s="21">
        <f t="shared" si="57"/>
        <v>18.791228571428562</v>
      </c>
      <c r="L707" s="8">
        <f t="shared" si="58"/>
        <v>8.0649049662783518</v>
      </c>
      <c r="M707" s="30" t="str">
        <f t="shared" si="59"/>
        <v>October</v>
      </c>
    </row>
    <row r="708" spans="1:13">
      <c r="A708" s="9" t="s">
        <v>1178</v>
      </c>
      <c r="B708" s="8">
        <v>12</v>
      </c>
      <c r="C708" s="8" t="s">
        <v>35</v>
      </c>
      <c r="D708" s="8" t="s">
        <v>46</v>
      </c>
      <c r="E708" s="37">
        <v>45731</v>
      </c>
      <c r="F708" s="8">
        <v>182</v>
      </c>
      <c r="G708" s="8">
        <v>74.260000000000005</v>
      </c>
      <c r="H708" s="10">
        <v>24.06</v>
      </c>
      <c r="I708" s="21">
        <f t="shared" si="55"/>
        <v>62.403361344537821</v>
      </c>
      <c r="J708" s="21">
        <f t="shared" si="56"/>
        <v>43.789200000000001</v>
      </c>
      <c r="K708" s="21">
        <f t="shared" si="57"/>
        <v>18.61416134453782</v>
      </c>
      <c r="L708" s="8">
        <f t="shared" si="58"/>
        <v>10.227561178317483</v>
      </c>
      <c r="M708" s="30" t="str">
        <f t="shared" si="59"/>
        <v>August</v>
      </c>
    </row>
    <row r="709" spans="1:13">
      <c r="A709" s="9" t="s">
        <v>1180</v>
      </c>
      <c r="B709" s="8">
        <v>24</v>
      </c>
      <c r="C709" s="8" t="s">
        <v>35</v>
      </c>
      <c r="D709" s="8" t="s">
        <v>36</v>
      </c>
      <c r="E709" s="34">
        <v>45515</v>
      </c>
      <c r="F709" s="8">
        <v>269</v>
      </c>
      <c r="G709" s="8">
        <v>99.5</v>
      </c>
      <c r="H709" s="10">
        <v>23.23</v>
      </c>
      <c r="I709" s="21">
        <f t="shared" si="55"/>
        <v>83.613445378151269</v>
      </c>
      <c r="J709" s="21">
        <f t="shared" si="56"/>
        <v>62.488700000000001</v>
      </c>
      <c r="K709" s="21">
        <f t="shared" si="57"/>
        <v>21.124745378151268</v>
      </c>
      <c r="L709" s="8">
        <f t="shared" si="58"/>
        <v>7.8530651963387612</v>
      </c>
      <c r="M709" s="30" t="str">
        <f t="shared" si="59"/>
        <v>April</v>
      </c>
    </row>
    <row r="710" spans="1:13">
      <c r="A710" s="9" t="s">
        <v>1181</v>
      </c>
      <c r="B710" s="8">
        <v>12</v>
      </c>
      <c r="C710" s="8" t="s">
        <v>35</v>
      </c>
      <c r="D710" s="8" t="s">
        <v>46</v>
      </c>
      <c r="E710" s="34">
        <v>45325</v>
      </c>
      <c r="F710" s="8">
        <v>186</v>
      </c>
      <c r="G710" s="8">
        <v>74.81</v>
      </c>
      <c r="H710" s="10">
        <v>24.29</v>
      </c>
      <c r="I710" s="21">
        <f t="shared" si="55"/>
        <v>62.865546218487403</v>
      </c>
      <c r="J710" s="21">
        <f t="shared" si="56"/>
        <v>45.179399999999994</v>
      </c>
      <c r="K710" s="21">
        <f t="shared" si="57"/>
        <v>17.686146218487409</v>
      </c>
      <c r="L710" s="8">
        <f t="shared" si="58"/>
        <v>9.5086807626276393</v>
      </c>
      <c r="M710" s="30" t="str">
        <f t="shared" si="59"/>
        <v>February</v>
      </c>
    </row>
    <row r="711" spans="1:13">
      <c r="A711" s="9" t="s">
        <v>1183</v>
      </c>
      <c r="B711" s="8">
        <v>24</v>
      </c>
      <c r="C711" s="8" t="s">
        <v>51</v>
      </c>
      <c r="D711" s="8" t="s">
        <v>46</v>
      </c>
      <c r="E711" s="34">
        <v>45600</v>
      </c>
      <c r="F711" s="8">
        <v>448</v>
      </c>
      <c r="G711" s="8">
        <v>155.51</v>
      </c>
      <c r="H711" s="10">
        <v>18.13</v>
      </c>
      <c r="I711" s="21">
        <f t="shared" si="55"/>
        <v>130.68067226890756</v>
      </c>
      <c r="J711" s="21">
        <f t="shared" si="56"/>
        <v>81.222399999999993</v>
      </c>
      <c r="K711" s="21">
        <f t="shared" si="57"/>
        <v>49.458272268907564</v>
      </c>
      <c r="L711" s="8">
        <f t="shared" si="58"/>
        <v>11.039792917166867</v>
      </c>
      <c r="M711" s="30" t="str">
        <f t="shared" si="59"/>
        <v>January</v>
      </c>
    </row>
    <row r="712" spans="1:13">
      <c r="A712" s="9" t="s">
        <v>1185</v>
      </c>
      <c r="B712" s="8">
        <v>24</v>
      </c>
      <c r="C712" s="8" t="s">
        <v>51</v>
      </c>
      <c r="D712" s="8" t="s">
        <v>46</v>
      </c>
      <c r="E712" s="34" t="s">
        <v>1186</v>
      </c>
      <c r="F712" s="8">
        <v>502</v>
      </c>
      <c r="G712" s="8">
        <v>167.18</v>
      </c>
      <c r="H712" s="10">
        <v>16.7</v>
      </c>
      <c r="I712" s="21">
        <f t="shared" si="55"/>
        <v>140.48739495798321</v>
      </c>
      <c r="J712" s="21">
        <f t="shared" si="56"/>
        <v>83.834000000000003</v>
      </c>
      <c r="K712" s="21">
        <f t="shared" si="57"/>
        <v>56.65339495798321</v>
      </c>
      <c r="L712" s="8">
        <f t="shared" si="58"/>
        <v>11.285536844219763</v>
      </c>
      <c r="M712" s="30" t="str">
        <f t="shared" si="59"/>
        <v>July</v>
      </c>
    </row>
    <row r="713" spans="1:13">
      <c r="A713" s="9" t="s">
        <v>1187</v>
      </c>
      <c r="B713" s="8">
        <v>24</v>
      </c>
      <c r="C713" s="8" t="s">
        <v>35</v>
      </c>
      <c r="D713" s="8" t="s">
        <v>36</v>
      </c>
      <c r="E713" s="34">
        <v>45390</v>
      </c>
      <c r="F713" s="8">
        <v>312</v>
      </c>
      <c r="G713" s="8">
        <v>119.3</v>
      </c>
      <c r="H713" s="10">
        <v>23.09</v>
      </c>
      <c r="I713" s="21">
        <f t="shared" si="55"/>
        <v>100.25210084033614</v>
      </c>
      <c r="J713" s="21">
        <f t="shared" si="56"/>
        <v>72.040800000000004</v>
      </c>
      <c r="K713" s="21">
        <f t="shared" si="57"/>
        <v>28.211300840336136</v>
      </c>
      <c r="L713" s="8">
        <f t="shared" si="58"/>
        <v>9.0420836026718376</v>
      </c>
      <c r="M713" s="30" t="str">
        <f t="shared" si="59"/>
        <v>July</v>
      </c>
    </row>
    <row r="714" spans="1:13">
      <c r="A714" s="9" t="s">
        <v>1188</v>
      </c>
      <c r="B714" s="8">
        <v>12</v>
      </c>
      <c r="C714" s="8" t="s">
        <v>51</v>
      </c>
      <c r="D714" s="8" t="s">
        <v>46</v>
      </c>
      <c r="E714" s="37">
        <v>45562</v>
      </c>
      <c r="F714" s="8">
        <v>498</v>
      </c>
      <c r="G714" s="8">
        <v>163.34</v>
      </c>
      <c r="H714" s="10">
        <v>16.53</v>
      </c>
      <c r="I714" s="21">
        <f t="shared" si="55"/>
        <v>137.26050420168067</v>
      </c>
      <c r="J714" s="21">
        <f t="shared" si="56"/>
        <v>82.319400000000002</v>
      </c>
      <c r="K714" s="21">
        <f t="shared" si="57"/>
        <v>54.941104201680673</v>
      </c>
      <c r="L714" s="8">
        <f t="shared" si="58"/>
        <v>11.032350241301341</v>
      </c>
      <c r="M714" s="30" t="str">
        <f t="shared" si="59"/>
        <v>March</v>
      </c>
    </row>
    <row r="715" spans="1:13">
      <c r="A715" s="9" t="s">
        <v>1190</v>
      </c>
      <c r="B715" s="8">
        <v>12</v>
      </c>
      <c r="C715" s="8" t="s">
        <v>39</v>
      </c>
      <c r="D715" s="8" t="s">
        <v>36</v>
      </c>
      <c r="E715" s="34" t="s">
        <v>493</v>
      </c>
      <c r="F715" s="8">
        <v>142</v>
      </c>
      <c r="G715" s="8">
        <v>64.02</v>
      </c>
      <c r="H715" s="10">
        <v>31.91</v>
      </c>
      <c r="I715" s="21">
        <f t="shared" si="55"/>
        <v>53.798319327731093</v>
      </c>
      <c r="J715" s="21">
        <f t="shared" si="56"/>
        <v>45.312200000000004</v>
      </c>
      <c r="K715" s="21">
        <f t="shared" si="57"/>
        <v>8.4861193277310889</v>
      </c>
      <c r="L715" s="8">
        <f t="shared" si="58"/>
        <v>5.9761403716416117</v>
      </c>
      <c r="M715" s="30" t="str">
        <f t="shared" si="59"/>
        <v>March</v>
      </c>
    </row>
    <row r="716" spans="1:13">
      <c r="A716" s="9" t="s">
        <v>1191</v>
      </c>
      <c r="B716" s="8">
        <v>12</v>
      </c>
      <c r="C716" s="8" t="s">
        <v>39</v>
      </c>
      <c r="D716" s="8" t="s">
        <v>36</v>
      </c>
      <c r="E716" s="34">
        <v>45541</v>
      </c>
      <c r="F716" s="8">
        <v>166</v>
      </c>
      <c r="G716" s="8">
        <v>68.510000000000005</v>
      </c>
      <c r="H716" s="10">
        <v>33.86</v>
      </c>
      <c r="I716" s="21">
        <f t="shared" si="55"/>
        <v>57.571428571428577</v>
      </c>
      <c r="J716" s="21">
        <f t="shared" si="56"/>
        <v>56.207599999999999</v>
      </c>
      <c r="K716" s="21">
        <f t="shared" si="57"/>
        <v>1.3638285714285772</v>
      </c>
      <c r="L716" s="8">
        <f t="shared" si="58"/>
        <v>0.82158347676420318</v>
      </c>
      <c r="M716" s="30" t="str">
        <f t="shared" si="59"/>
        <v>June</v>
      </c>
    </row>
    <row r="717" spans="1:13">
      <c r="A717" s="9" t="s">
        <v>1193</v>
      </c>
      <c r="B717" s="8">
        <v>24</v>
      </c>
      <c r="C717" s="8" t="s">
        <v>39</v>
      </c>
      <c r="D717" s="8" t="s">
        <v>56</v>
      </c>
      <c r="E717" s="34">
        <v>45331</v>
      </c>
      <c r="F717" s="8">
        <v>94</v>
      </c>
      <c r="G717" s="8">
        <v>45.6</v>
      </c>
      <c r="H717" s="10">
        <v>29.58</v>
      </c>
      <c r="I717" s="21">
        <f t="shared" si="55"/>
        <v>38.319327731092443</v>
      </c>
      <c r="J717" s="21">
        <f t="shared" si="56"/>
        <v>27.805199999999999</v>
      </c>
      <c r="K717" s="21">
        <f t="shared" si="57"/>
        <v>10.514127731092444</v>
      </c>
      <c r="L717" s="8">
        <f t="shared" si="58"/>
        <v>11.185242267119619</v>
      </c>
      <c r="M717" s="30" t="str">
        <f t="shared" si="59"/>
        <v>August</v>
      </c>
    </row>
    <row r="718" spans="1:13">
      <c r="A718" s="9" t="s">
        <v>1194</v>
      </c>
      <c r="B718" s="8">
        <v>24</v>
      </c>
      <c r="C718" s="8" t="s">
        <v>35</v>
      </c>
      <c r="D718" s="8" t="s">
        <v>46</v>
      </c>
      <c r="E718" s="34" t="s">
        <v>1195</v>
      </c>
      <c r="F718" s="8">
        <v>213</v>
      </c>
      <c r="G718" s="8">
        <v>86.2</v>
      </c>
      <c r="H718" s="10">
        <v>26.91</v>
      </c>
      <c r="I718" s="21">
        <f t="shared" si="55"/>
        <v>72.436974789915979</v>
      </c>
      <c r="J718" s="21">
        <f t="shared" si="56"/>
        <v>57.318300000000001</v>
      </c>
      <c r="K718" s="21">
        <f t="shared" si="57"/>
        <v>15.118674789915978</v>
      </c>
      <c r="L718" s="8">
        <f t="shared" si="58"/>
        <v>7.0979693849370795</v>
      </c>
      <c r="M718" s="30" t="str">
        <f t="shared" si="59"/>
        <v>June</v>
      </c>
    </row>
    <row r="719" spans="1:13">
      <c r="A719" s="9" t="s">
        <v>1196</v>
      </c>
      <c r="B719" s="8">
        <v>24</v>
      </c>
      <c r="C719" s="8" t="s">
        <v>51</v>
      </c>
      <c r="D719" s="8" t="s">
        <v>36</v>
      </c>
      <c r="E719" s="34" t="s">
        <v>1197</v>
      </c>
      <c r="F719" s="8">
        <v>465</v>
      </c>
      <c r="G719" s="8">
        <v>167.99</v>
      </c>
      <c r="H719" s="10">
        <v>18.23</v>
      </c>
      <c r="I719" s="21">
        <f t="shared" si="55"/>
        <v>141.16806722689077</v>
      </c>
      <c r="J719" s="21">
        <f t="shared" si="56"/>
        <v>84.769500000000008</v>
      </c>
      <c r="K719" s="21">
        <f t="shared" si="57"/>
        <v>56.398567226890762</v>
      </c>
      <c r="L719" s="8">
        <f t="shared" si="58"/>
        <v>12.128724134815219</v>
      </c>
      <c r="M719" s="30" t="str">
        <f t="shared" si="59"/>
        <v>March</v>
      </c>
    </row>
    <row r="720" spans="1:13">
      <c r="A720" s="9" t="s">
        <v>1198</v>
      </c>
      <c r="B720" s="8">
        <v>12</v>
      </c>
      <c r="C720" s="8" t="s">
        <v>39</v>
      </c>
      <c r="D720" s="8" t="s">
        <v>36</v>
      </c>
      <c r="E720" s="34">
        <v>45541</v>
      </c>
      <c r="F720" s="8">
        <v>118</v>
      </c>
      <c r="G720" s="8">
        <v>51.36</v>
      </c>
      <c r="H720" s="10">
        <v>32.68</v>
      </c>
      <c r="I720" s="21">
        <f t="shared" si="55"/>
        <v>43.159663865546221</v>
      </c>
      <c r="J720" s="21">
        <f t="shared" si="56"/>
        <v>38.562399999999997</v>
      </c>
      <c r="K720" s="21">
        <f t="shared" si="57"/>
        <v>4.5972638655462248</v>
      </c>
      <c r="L720" s="8">
        <f t="shared" si="58"/>
        <v>3.8959863267340888</v>
      </c>
      <c r="M720" s="30" t="str">
        <f t="shared" si="59"/>
        <v>June</v>
      </c>
    </row>
    <row r="721" spans="1:13">
      <c r="A721" s="9" t="s">
        <v>1199</v>
      </c>
      <c r="B721" s="8">
        <v>24</v>
      </c>
      <c r="C721" s="8" t="s">
        <v>51</v>
      </c>
      <c r="D721" s="8" t="s">
        <v>36</v>
      </c>
      <c r="E721" s="34">
        <v>45352</v>
      </c>
      <c r="F721" s="8">
        <v>470</v>
      </c>
      <c r="G721" s="8">
        <v>167.95</v>
      </c>
      <c r="H721" s="10">
        <v>20.53</v>
      </c>
      <c r="I721" s="21">
        <f t="shared" si="55"/>
        <v>141.1344537815126</v>
      </c>
      <c r="J721" s="21">
        <f t="shared" si="56"/>
        <v>96.491</v>
      </c>
      <c r="K721" s="21">
        <f t="shared" si="57"/>
        <v>44.643453781512605</v>
      </c>
      <c r="L721" s="8">
        <f t="shared" si="58"/>
        <v>9.4986071875558729</v>
      </c>
      <c r="M721" s="30" t="str">
        <f t="shared" si="59"/>
        <v>May</v>
      </c>
    </row>
    <row r="722" spans="1:13">
      <c r="A722" s="9" t="s">
        <v>1200</v>
      </c>
      <c r="B722" s="8">
        <v>24</v>
      </c>
      <c r="C722" s="8" t="s">
        <v>39</v>
      </c>
      <c r="D722" s="8" t="s">
        <v>36</v>
      </c>
      <c r="E722" s="34" t="s">
        <v>1201</v>
      </c>
      <c r="F722" s="8">
        <v>159</v>
      </c>
      <c r="G722" s="8">
        <v>68.510000000000005</v>
      </c>
      <c r="H722" s="10">
        <v>31.79</v>
      </c>
      <c r="I722" s="21">
        <f t="shared" si="55"/>
        <v>57.571428571428577</v>
      </c>
      <c r="J722" s="21">
        <f t="shared" si="56"/>
        <v>50.546099999999996</v>
      </c>
      <c r="K722" s="21">
        <f t="shared" si="57"/>
        <v>7.0253285714285809</v>
      </c>
      <c r="L722" s="8">
        <f t="shared" si="58"/>
        <v>4.4184456424079119</v>
      </c>
      <c r="M722" s="30" t="str">
        <f t="shared" si="59"/>
        <v>February</v>
      </c>
    </row>
    <row r="723" spans="1:13">
      <c r="A723" s="9" t="s">
        <v>1202</v>
      </c>
      <c r="B723" s="8">
        <v>12</v>
      </c>
      <c r="C723" s="8" t="s">
        <v>51</v>
      </c>
      <c r="D723" s="8" t="s">
        <v>36</v>
      </c>
      <c r="E723" s="34">
        <v>45812</v>
      </c>
      <c r="F723" s="8">
        <v>572</v>
      </c>
      <c r="G723" s="8">
        <v>179.98</v>
      </c>
      <c r="H723" s="10">
        <v>18.5</v>
      </c>
      <c r="I723" s="21">
        <f t="shared" si="55"/>
        <v>151.24369747899161</v>
      </c>
      <c r="J723" s="21">
        <f t="shared" si="56"/>
        <v>105.82</v>
      </c>
      <c r="K723" s="21">
        <f t="shared" si="57"/>
        <v>45.423697478991613</v>
      </c>
      <c r="L723" s="8">
        <f t="shared" si="58"/>
        <v>7.9412058529705618</v>
      </c>
      <c r="M723" s="30" t="str">
        <f t="shared" si="59"/>
        <v>January</v>
      </c>
    </row>
    <row r="724" spans="1:13">
      <c r="A724" s="9" t="s">
        <v>1203</v>
      </c>
      <c r="B724" s="8">
        <v>12</v>
      </c>
      <c r="C724" s="8" t="s">
        <v>35</v>
      </c>
      <c r="D724" s="8" t="s">
        <v>36</v>
      </c>
      <c r="E724" s="34" t="s">
        <v>646</v>
      </c>
      <c r="F724" s="8">
        <v>268</v>
      </c>
      <c r="G724" s="8">
        <v>99.03</v>
      </c>
      <c r="H724" s="10">
        <v>25.13</v>
      </c>
      <c r="I724" s="21">
        <f t="shared" si="55"/>
        <v>83.21848739495799</v>
      </c>
      <c r="J724" s="21">
        <f t="shared" si="56"/>
        <v>67.348399999999998</v>
      </c>
      <c r="K724" s="21">
        <f t="shared" si="57"/>
        <v>15.870087394957991</v>
      </c>
      <c r="L724" s="8">
        <f t="shared" si="58"/>
        <v>5.9216744011037283</v>
      </c>
      <c r="M724" s="30" t="str">
        <f t="shared" si="59"/>
        <v>April</v>
      </c>
    </row>
    <row r="725" spans="1:13">
      <c r="A725" s="9" t="s">
        <v>1204</v>
      </c>
      <c r="B725" s="8">
        <v>24</v>
      </c>
      <c r="C725" s="8" t="s">
        <v>39</v>
      </c>
      <c r="D725" s="8" t="s">
        <v>36</v>
      </c>
      <c r="E725" s="34" t="s">
        <v>1205</v>
      </c>
      <c r="F725" s="8">
        <v>109</v>
      </c>
      <c r="G725" s="8">
        <v>49.65</v>
      </c>
      <c r="H725" s="10">
        <v>29.06</v>
      </c>
      <c r="I725" s="21">
        <f t="shared" si="55"/>
        <v>41.72268907563025</v>
      </c>
      <c r="J725" s="21">
        <f t="shared" si="56"/>
        <v>31.6754</v>
      </c>
      <c r="K725" s="21">
        <f t="shared" si="57"/>
        <v>10.04728907563025</v>
      </c>
      <c r="L725" s="8">
        <f t="shared" si="58"/>
        <v>9.2176963996607792</v>
      </c>
      <c r="M725" s="30" t="str">
        <f t="shared" si="59"/>
        <v>October</v>
      </c>
    </row>
    <row r="726" spans="1:13">
      <c r="A726" s="9" t="s">
        <v>1206</v>
      </c>
      <c r="B726" s="8">
        <v>24</v>
      </c>
      <c r="C726" s="8" t="s">
        <v>35</v>
      </c>
      <c r="D726" s="8" t="s">
        <v>46</v>
      </c>
      <c r="E726" s="34">
        <v>45353</v>
      </c>
      <c r="F726" s="8">
        <v>304</v>
      </c>
      <c r="G726" s="8">
        <v>111.99</v>
      </c>
      <c r="H726" s="10">
        <v>25.96</v>
      </c>
      <c r="I726" s="21">
        <f t="shared" si="55"/>
        <v>94.109243697478988</v>
      </c>
      <c r="J726" s="21">
        <f t="shared" si="56"/>
        <v>78.918400000000005</v>
      </c>
      <c r="K726" s="21">
        <f t="shared" si="57"/>
        <v>15.190843697478982</v>
      </c>
      <c r="L726" s="8">
        <f t="shared" si="58"/>
        <v>4.9969880583812447</v>
      </c>
      <c r="M726" s="30" t="str">
        <f t="shared" si="59"/>
        <v>June</v>
      </c>
    </row>
    <row r="727" spans="1:13">
      <c r="A727" s="9" t="s">
        <v>1208</v>
      </c>
      <c r="B727" s="8">
        <v>24</v>
      </c>
      <c r="C727" s="8" t="s">
        <v>39</v>
      </c>
      <c r="D727" s="8" t="s">
        <v>46</v>
      </c>
      <c r="E727" s="34" t="s">
        <v>1209</v>
      </c>
      <c r="F727" s="8">
        <v>163</v>
      </c>
      <c r="G727" s="8">
        <v>64.06</v>
      </c>
      <c r="H727" s="10">
        <v>28.1</v>
      </c>
      <c r="I727" s="21">
        <f t="shared" si="55"/>
        <v>53.831932773109251</v>
      </c>
      <c r="J727" s="21">
        <f t="shared" si="56"/>
        <v>45.803000000000004</v>
      </c>
      <c r="K727" s="21">
        <f t="shared" si="57"/>
        <v>8.028932773109247</v>
      </c>
      <c r="L727" s="8">
        <f t="shared" si="58"/>
        <v>4.9257256276743853</v>
      </c>
      <c r="M727" s="30" t="str">
        <f t="shared" si="59"/>
        <v>August</v>
      </c>
    </row>
    <row r="728" spans="1:13">
      <c r="A728" s="9" t="s">
        <v>1210</v>
      </c>
      <c r="B728" s="8">
        <v>12</v>
      </c>
      <c r="C728" s="8" t="s">
        <v>39</v>
      </c>
      <c r="D728" s="8" t="s">
        <v>46</v>
      </c>
      <c r="E728" s="34" t="s">
        <v>1211</v>
      </c>
      <c r="F728" s="8">
        <v>152</v>
      </c>
      <c r="G728" s="8">
        <v>68.19</v>
      </c>
      <c r="H728" s="10">
        <v>30.41</v>
      </c>
      <c r="I728" s="21">
        <f t="shared" si="55"/>
        <v>57.30252100840336</v>
      </c>
      <c r="J728" s="21">
        <f t="shared" si="56"/>
        <v>46.223199999999999</v>
      </c>
      <c r="K728" s="21">
        <f t="shared" si="57"/>
        <v>11.079321008403362</v>
      </c>
      <c r="L728" s="8">
        <f t="shared" si="58"/>
        <v>7.2890269792127382</v>
      </c>
      <c r="M728" s="30" t="str">
        <f t="shared" si="59"/>
        <v>October</v>
      </c>
    </row>
    <row r="729" spans="1:13">
      <c r="A729" s="9" t="s">
        <v>1212</v>
      </c>
      <c r="B729" s="8">
        <v>24</v>
      </c>
      <c r="C729" s="8" t="s">
        <v>39</v>
      </c>
      <c r="D729" s="8" t="s">
        <v>36</v>
      </c>
      <c r="E729" s="37">
        <v>45581</v>
      </c>
      <c r="F729" s="8">
        <v>83</v>
      </c>
      <c r="G729" s="8">
        <v>40.1</v>
      </c>
      <c r="H729" s="10">
        <v>30.64</v>
      </c>
      <c r="I729" s="21">
        <f t="shared" si="55"/>
        <v>33.69747899159664</v>
      </c>
      <c r="J729" s="21">
        <f t="shared" si="56"/>
        <v>25.4312</v>
      </c>
      <c r="K729" s="21">
        <f t="shared" si="57"/>
        <v>8.2662789915966393</v>
      </c>
      <c r="L729" s="8">
        <f t="shared" si="58"/>
        <v>9.9593722790320953</v>
      </c>
      <c r="M729" s="30" t="str">
        <f t="shared" si="59"/>
        <v>October</v>
      </c>
    </row>
    <row r="730" spans="1:13">
      <c r="A730" s="9" t="s">
        <v>1214</v>
      </c>
      <c r="B730" s="8">
        <v>12</v>
      </c>
      <c r="C730" s="8" t="s">
        <v>51</v>
      </c>
      <c r="D730" s="8" t="s">
        <v>56</v>
      </c>
      <c r="E730" s="34">
        <v>45904</v>
      </c>
      <c r="F730" s="8">
        <v>546</v>
      </c>
      <c r="G730" s="8">
        <v>185.14</v>
      </c>
      <c r="H730" s="10">
        <v>19.940000000000001</v>
      </c>
      <c r="I730" s="21">
        <f t="shared" si="55"/>
        <v>155.57983193277312</v>
      </c>
      <c r="J730" s="21">
        <f t="shared" si="56"/>
        <v>108.87240000000001</v>
      </c>
      <c r="K730" s="21">
        <f t="shared" si="57"/>
        <v>46.707431932773105</v>
      </c>
      <c r="L730" s="8">
        <f t="shared" si="58"/>
        <v>8.5544747129621062</v>
      </c>
      <c r="M730" s="30" t="str">
        <f t="shared" si="59"/>
        <v>May</v>
      </c>
    </row>
    <row r="731" spans="1:13">
      <c r="A731" s="9" t="s">
        <v>1215</v>
      </c>
      <c r="B731" s="8">
        <v>12</v>
      </c>
      <c r="C731" s="8" t="s">
        <v>35</v>
      </c>
      <c r="D731" s="8" t="s">
        <v>56</v>
      </c>
      <c r="E731" s="34" t="s">
        <v>347</v>
      </c>
      <c r="F731" s="8">
        <v>176</v>
      </c>
      <c r="G731" s="8">
        <v>67.3</v>
      </c>
      <c r="H731" s="10">
        <v>22.48</v>
      </c>
      <c r="I731" s="21">
        <f t="shared" si="55"/>
        <v>56.554621848739494</v>
      </c>
      <c r="J731" s="21">
        <f t="shared" si="56"/>
        <v>39.564799999999998</v>
      </c>
      <c r="K731" s="21">
        <f t="shared" si="57"/>
        <v>16.989821848739496</v>
      </c>
      <c r="L731" s="8">
        <f t="shared" si="58"/>
        <v>9.6533078686019866</v>
      </c>
      <c r="M731" s="30" t="str">
        <f t="shared" si="59"/>
        <v>March</v>
      </c>
    </row>
    <row r="732" spans="1:13">
      <c r="A732" s="9" t="s">
        <v>1216</v>
      </c>
      <c r="B732" s="8">
        <v>12</v>
      </c>
      <c r="C732" s="8" t="s">
        <v>39</v>
      </c>
      <c r="D732" s="8" t="s">
        <v>56</v>
      </c>
      <c r="E732" s="34" t="s">
        <v>1217</v>
      </c>
      <c r="F732" s="8">
        <v>105</v>
      </c>
      <c r="G732" s="8">
        <v>47.42</v>
      </c>
      <c r="H732" s="10">
        <v>31.75</v>
      </c>
      <c r="I732" s="21">
        <f t="shared" si="55"/>
        <v>39.84873949579832</v>
      </c>
      <c r="J732" s="21">
        <f t="shared" si="56"/>
        <v>33.337499999999999</v>
      </c>
      <c r="K732" s="21">
        <f t="shared" si="57"/>
        <v>6.5112394957983213</v>
      </c>
      <c r="L732" s="8">
        <f t="shared" si="58"/>
        <v>6.2011804721888772</v>
      </c>
      <c r="M732" s="30" t="str">
        <f t="shared" si="59"/>
        <v>August</v>
      </c>
    </row>
    <row r="733" spans="1:13">
      <c r="A733" s="9" t="s">
        <v>1218</v>
      </c>
      <c r="B733" s="8">
        <v>24</v>
      </c>
      <c r="C733" s="8" t="s">
        <v>35</v>
      </c>
      <c r="D733" s="8" t="s">
        <v>56</v>
      </c>
      <c r="E733" s="34" t="s">
        <v>108</v>
      </c>
      <c r="F733" s="8">
        <v>177</v>
      </c>
      <c r="G733" s="8">
        <v>67.41</v>
      </c>
      <c r="H733" s="10">
        <v>22.72</v>
      </c>
      <c r="I733" s="21">
        <f t="shared" si="55"/>
        <v>56.647058823529413</v>
      </c>
      <c r="J733" s="21">
        <f t="shared" si="56"/>
        <v>40.214399999999998</v>
      </c>
      <c r="K733" s="21">
        <f t="shared" si="57"/>
        <v>16.432658823529415</v>
      </c>
      <c r="L733" s="8">
        <f t="shared" si="58"/>
        <v>9.2839880358923246</v>
      </c>
      <c r="M733" s="30" t="str">
        <f t="shared" si="59"/>
        <v>September</v>
      </c>
    </row>
    <row r="734" spans="1:13">
      <c r="A734" s="9" t="s">
        <v>1219</v>
      </c>
      <c r="B734" s="8">
        <v>24</v>
      </c>
      <c r="C734" s="8" t="s">
        <v>35</v>
      </c>
      <c r="D734" s="8" t="s">
        <v>56</v>
      </c>
      <c r="E734" s="34" t="s">
        <v>1220</v>
      </c>
      <c r="F734" s="8">
        <v>267</v>
      </c>
      <c r="G734" s="8">
        <v>105.57</v>
      </c>
      <c r="H734" s="10">
        <v>24.49</v>
      </c>
      <c r="I734" s="21">
        <f t="shared" si="55"/>
        <v>88.714285714285708</v>
      </c>
      <c r="J734" s="21">
        <f t="shared" si="56"/>
        <v>65.388300000000001</v>
      </c>
      <c r="K734" s="21">
        <f t="shared" si="57"/>
        <v>23.325985714285707</v>
      </c>
      <c r="L734" s="8">
        <f t="shared" si="58"/>
        <v>8.7363242375601899</v>
      </c>
      <c r="M734" s="30" t="str">
        <f t="shared" si="59"/>
        <v>July</v>
      </c>
    </row>
    <row r="735" spans="1:13">
      <c r="A735" s="9" t="s">
        <v>1221</v>
      </c>
      <c r="B735" s="8">
        <v>12</v>
      </c>
      <c r="C735" s="8" t="s">
        <v>39</v>
      </c>
      <c r="D735" s="8" t="s">
        <v>36</v>
      </c>
      <c r="E735" s="34">
        <v>45964</v>
      </c>
      <c r="F735" s="8">
        <v>141</v>
      </c>
      <c r="G735" s="8">
        <v>64.86</v>
      </c>
      <c r="H735" s="10">
        <v>28.89</v>
      </c>
      <c r="I735" s="21">
        <f t="shared" si="55"/>
        <v>54.504201680672274</v>
      </c>
      <c r="J735" s="21">
        <f t="shared" si="56"/>
        <v>40.734900000000003</v>
      </c>
      <c r="K735" s="21">
        <f t="shared" si="57"/>
        <v>13.769301680672271</v>
      </c>
      <c r="L735" s="8">
        <f t="shared" si="58"/>
        <v>9.7654621848739502</v>
      </c>
      <c r="M735" s="30" t="str">
        <f t="shared" si="59"/>
        <v>May</v>
      </c>
    </row>
    <row r="736" spans="1:13">
      <c r="A736" s="9" t="s">
        <v>1222</v>
      </c>
      <c r="B736" s="8">
        <v>12</v>
      </c>
      <c r="C736" s="8" t="s">
        <v>35</v>
      </c>
      <c r="D736" s="8" t="s">
        <v>36</v>
      </c>
      <c r="E736" s="37">
        <v>45409</v>
      </c>
      <c r="F736" s="8">
        <v>186</v>
      </c>
      <c r="G736" s="8">
        <v>71.8</v>
      </c>
      <c r="H736" s="10">
        <v>23.23</v>
      </c>
      <c r="I736" s="21">
        <f t="shared" si="55"/>
        <v>60.336134453781511</v>
      </c>
      <c r="J736" s="21">
        <f t="shared" si="56"/>
        <v>43.207799999999999</v>
      </c>
      <c r="K736" s="21">
        <f t="shared" si="57"/>
        <v>17.128334453781513</v>
      </c>
      <c r="L736" s="8">
        <f t="shared" si="58"/>
        <v>9.2087819643986624</v>
      </c>
      <c r="M736" s="30" t="str">
        <f t="shared" si="59"/>
        <v>October</v>
      </c>
    </row>
    <row r="737" spans="1:13">
      <c r="A737" s="9" t="s">
        <v>1224</v>
      </c>
      <c r="B737" s="8">
        <v>24</v>
      </c>
      <c r="C737" s="8" t="s">
        <v>39</v>
      </c>
      <c r="D737" s="8" t="s">
        <v>46</v>
      </c>
      <c r="E737" s="37">
        <v>45522</v>
      </c>
      <c r="F737" s="8">
        <v>115</v>
      </c>
      <c r="G737" s="8">
        <v>48.9</v>
      </c>
      <c r="H737" s="10">
        <v>30.19</v>
      </c>
      <c r="I737" s="21">
        <f t="shared" si="55"/>
        <v>41.092436974789919</v>
      </c>
      <c r="J737" s="21">
        <f t="shared" si="56"/>
        <v>34.718500000000006</v>
      </c>
      <c r="K737" s="21">
        <f t="shared" si="57"/>
        <v>6.3739369747899133</v>
      </c>
      <c r="L737" s="8">
        <f t="shared" si="58"/>
        <v>5.5425538911216643</v>
      </c>
      <c r="M737" s="30" t="str">
        <f t="shared" si="59"/>
        <v>November</v>
      </c>
    </row>
    <row r="738" spans="1:13">
      <c r="A738" s="9" t="s">
        <v>1226</v>
      </c>
      <c r="B738" s="8">
        <v>12</v>
      </c>
      <c r="C738" s="8" t="s">
        <v>39</v>
      </c>
      <c r="D738" s="8" t="s">
        <v>46</v>
      </c>
      <c r="E738" s="34">
        <v>45297</v>
      </c>
      <c r="F738" s="8">
        <v>121</v>
      </c>
      <c r="G738" s="8">
        <v>52.85</v>
      </c>
      <c r="H738" s="10">
        <v>31.67</v>
      </c>
      <c r="I738" s="21">
        <f t="shared" si="55"/>
        <v>44.411764705882355</v>
      </c>
      <c r="J738" s="21">
        <f t="shared" si="56"/>
        <v>38.320700000000002</v>
      </c>
      <c r="K738" s="21">
        <f t="shared" si="57"/>
        <v>6.0910647058823528</v>
      </c>
      <c r="L738" s="8">
        <f t="shared" si="58"/>
        <v>5.0339377734564899</v>
      </c>
      <c r="M738" s="30" t="str">
        <f t="shared" si="59"/>
        <v>February</v>
      </c>
    </row>
    <row r="739" spans="1:13">
      <c r="A739" s="9" t="s">
        <v>1227</v>
      </c>
      <c r="B739" s="8">
        <v>24</v>
      </c>
      <c r="C739" s="8" t="s">
        <v>35</v>
      </c>
      <c r="D739" s="8" t="s">
        <v>46</v>
      </c>
      <c r="E739" s="34" t="s">
        <v>1228</v>
      </c>
      <c r="F739" s="8">
        <v>228</v>
      </c>
      <c r="G739" s="8">
        <v>89.9</v>
      </c>
      <c r="H739" s="10">
        <v>22.64</v>
      </c>
      <c r="I739" s="21">
        <f t="shared" si="55"/>
        <v>75.546218487394967</v>
      </c>
      <c r="J739" s="21">
        <f t="shared" si="56"/>
        <v>51.619199999999999</v>
      </c>
      <c r="K739" s="21">
        <f t="shared" si="57"/>
        <v>23.927018487394967</v>
      </c>
      <c r="L739" s="8">
        <f t="shared" si="58"/>
        <v>10.494306354120599</v>
      </c>
      <c r="M739" s="30" t="str">
        <f t="shared" si="59"/>
        <v>September</v>
      </c>
    </row>
    <row r="740" spans="1:13">
      <c r="A740" s="9" t="s">
        <v>1229</v>
      </c>
      <c r="B740" s="8">
        <v>12</v>
      </c>
      <c r="C740" s="8" t="s">
        <v>39</v>
      </c>
      <c r="D740" s="8" t="s">
        <v>36</v>
      </c>
      <c r="E740" s="34" t="s">
        <v>1230</v>
      </c>
      <c r="F740" s="8">
        <v>93</v>
      </c>
      <c r="G740" s="8">
        <v>44.33</v>
      </c>
      <c r="H740" s="10">
        <v>28.68</v>
      </c>
      <c r="I740" s="21">
        <f t="shared" si="55"/>
        <v>37.252100840336134</v>
      </c>
      <c r="J740" s="21">
        <f t="shared" si="56"/>
        <v>26.672399999999996</v>
      </c>
      <c r="K740" s="21">
        <f t="shared" si="57"/>
        <v>10.579700840336137</v>
      </c>
      <c r="L740" s="8">
        <f t="shared" si="58"/>
        <v>11.376022408963589</v>
      </c>
      <c r="M740" s="30" t="str">
        <f t="shared" si="59"/>
        <v>May</v>
      </c>
    </row>
    <row r="741" spans="1:13">
      <c r="A741" s="9" t="s">
        <v>1231</v>
      </c>
      <c r="B741" s="8">
        <v>12</v>
      </c>
      <c r="C741" s="8" t="s">
        <v>35</v>
      </c>
      <c r="D741" s="8" t="s">
        <v>36</v>
      </c>
      <c r="E741" s="34" t="s">
        <v>155</v>
      </c>
      <c r="F741" s="8">
        <v>236</v>
      </c>
      <c r="G741" s="8">
        <v>91.56</v>
      </c>
      <c r="H741" s="10">
        <v>23.67</v>
      </c>
      <c r="I741" s="21">
        <f t="shared" si="55"/>
        <v>76.941176470588246</v>
      </c>
      <c r="J741" s="21">
        <f t="shared" si="56"/>
        <v>55.861200000000011</v>
      </c>
      <c r="K741" s="21">
        <f t="shared" si="57"/>
        <v>21.079976470588235</v>
      </c>
      <c r="L741" s="8">
        <f t="shared" si="58"/>
        <v>8.9321934197407771</v>
      </c>
      <c r="M741" s="30" t="str">
        <f t="shared" si="59"/>
        <v>March</v>
      </c>
    </row>
    <row r="742" spans="1:13">
      <c r="A742" s="9" t="s">
        <v>1232</v>
      </c>
      <c r="B742" s="8">
        <v>12</v>
      </c>
      <c r="C742" s="8" t="s">
        <v>35</v>
      </c>
      <c r="D742" s="8" t="s">
        <v>36</v>
      </c>
      <c r="E742" s="37">
        <v>45353</v>
      </c>
      <c r="F742" s="8">
        <v>292</v>
      </c>
      <c r="G742" s="8">
        <v>109.52</v>
      </c>
      <c r="H742" s="10">
        <v>25.03</v>
      </c>
      <c r="I742" s="21">
        <f t="shared" si="55"/>
        <v>92.033613445378151</v>
      </c>
      <c r="J742" s="21">
        <f t="shared" si="56"/>
        <v>73.087600000000009</v>
      </c>
      <c r="K742" s="21">
        <f t="shared" si="57"/>
        <v>18.946013445378142</v>
      </c>
      <c r="L742" s="8">
        <f t="shared" si="58"/>
        <v>6.4883607689651166</v>
      </c>
      <c r="M742" s="30" t="str">
        <f t="shared" si="59"/>
        <v>June</v>
      </c>
    </row>
    <row r="743" spans="1:13">
      <c r="A743" s="9" t="s">
        <v>1234</v>
      </c>
      <c r="B743" s="8">
        <v>12</v>
      </c>
      <c r="C743" s="8" t="s">
        <v>39</v>
      </c>
      <c r="D743" s="8" t="s">
        <v>56</v>
      </c>
      <c r="E743" s="34" t="s">
        <v>310</v>
      </c>
      <c r="F743" s="8">
        <v>46313</v>
      </c>
      <c r="G743" s="8">
        <v>42.62</v>
      </c>
      <c r="H743" s="10">
        <v>29.59</v>
      </c>
      <c r="I743" s="21">
        <f t="shared" si="55"/>
        <v>35.815126050420169</v>
      </c>
      <c r="J743" s="21">
        <f t="shared" si="56"/>
        <v>13704.0167</v>
      </c>
      <c r="K743" s="21">
        <f t="shared" si="57"/>
        <v>-13668.20157394958</v>
      </c>
      <c r="L743" s="8">
        <f t="shared" si="58"/>
        <v>-29.512667229394729</v>
      </c>
      <c r="M743" s="30" t="str">
        <f t="shared" si="59"/>
        <v>June</v>
      </c>
    </row>
    <row r="744" spans="1:13">
      <c r="A744" s="9" t="s">
        <v>1235</v>
      </c>
      <c r="B744" s="8">
        <v>24</v>
      </c>
      <c r="C744" s="8" t="s">
        <v>35</v>
      </c>
      <c r="D744" s="8" t="s">
        <v>46</v>
      </c>
      <c r="E744" s="34">
        <v>45576</v>
      </c>
      <c r="F744" s="8">
        <v>180</v>
      </c>
      <c r="G744" s="8">
        <v>71.819999999999993</v>
      </c>
      <c r="H744" s="10">
        <v>22.34</v>
      </c>
      <c r="I744" s="21">
        <f t="shared" si="55"/>
        <v>60.352941176470587</v>
      </c>
      <c r="J744" s="21">
        <f t="shared" si="56"/>
        <v>40.211999999999996</v>
      </c>
      <c r="K744" s="21">
        <f t="shared" si="57"/>
        <v>20.140941176470591</v>
      </c>
      <c r="L744" s="8">
        <f t="shared" si="58"/>
        <v>11.189411764705884</v>
      </c>
      <c r="M744" s="30" t="str">
        <f t="shared" si="59"/>
        <v>May</v>
      </c>
    </row>
    <row r="745" spans="1:13">
      <c r="A745" s="9" t="s">
        <v>1236</v>
      </c>
      <c r="B745" s="8">
        <v>12</v>
      </c>
      <c r="C745" s="8" t="s">
        <v>39</v>
      </c>
      <c r="D745" s="8" t="s">
        <v>36</v>
      </c>
      <c r="E745" s="34" t="s">
        <v>1211</v>
      </c>
      <c r="F745" s="8">
        <v>113</v>
      </c>
      <c r="G745" s="8">
        <v>55.04</v>
      </c>
      <c r="H745" s="10">
        <v>29.57</v>
      </c>
      <c r="I745" s="21">
        <f t="shared" si="55"/>
        <v>46.252100840336134</v>
      </c>
      <c r="J745" s="21">
        <f t="shared" si="56"/>
        <v>33.414099999999998</v>
      </c>
      <c r="K745" s="21">
        <f t="shared" si="57"/>
        <v>12.838000840336136</v>
      </c>
      <c r="L745" s="8">
        <f t="shared" si="58"/>
        <v>11.361062690562953</v>
      </c>
      <c r="M745" s="30" t="str">
        <f t="shared" si="59"/>
        <v>October</v>
      </c>
    </row>
    <row r="746" spans="1:13">
      <c r="A746" s="9" t="s">
        <v>1237</v>
      </c>
      <c r="B746" s="8">
        <v>12</v>
      </c>
      <c r="C746" s="8" t="s">
        <v>51</v>
      </c>
      <c r="D746" s="8" t="s">
        <v>36</v>
      </c>
      <c r="E746" s="34" t="s">
        <v>1238</v>
      </c>
      <c r="F746" s="8">
        <v>648</v>
      </c>
      <c r="G746" s="8">
        <v>206.67</v>
      </c>
      <c r="H746" s="10">
        <v>17</v>
      </c>
      <c r="I746" s="21">
        <f t="shared" si="55"/>
        <v>173.67226890756302</v>
      </c>
      <c r="J746" s="21">
        <f t="shared" si="56"/>
        <v>110.16</v>
      </c>
      <c r="K746" s="21">
        <f t="shared" si="57"/>
        <v>63.512268907563026</v>
      </c>
      <c r="L746" s="8">
        <f t="shared" si="58"/>
        <v>9.8012760659819484</v>
      </c>
      <c r="M746" s="30" t="str">
        <f t="shared" si="59"/>
        <v>March</v>
      </c>
    </row>
    <row r="747" spans="1:13">
      <c r="A747" s="9" t="s">
        <v>1239</v>
      </c>
      <c r="B747" s="8">
        <v>24</v>
      </c>
      <c r="C747" s="8" t="s">
        <v>35</v>
      </c>
      <c r="D747" s="8" t="s">
        <v>36</v>
      </c>
      <c r="E747" s="34">
        <v>45478</v>
      </c>
      <c r="F747" s="8">
        <v>278</v>
      </c>
      <c r="G747" s="8">
        <v>99.73</v>
      </c>
      <c r="H747" s="10">
        <v>22.07</v>
      </c>
      <c r="I747" s="21">
        <f t="shared" si="55"/>
        <v>83.806722689075642</v>
      </c>
      <c r="J747" s="21">
        <f t="shared" si="56"/>
        <v>61.354599999999998</v>
      </c>
      <c r="K747" s="21">
        <f t="shared" si="57"/>
        <v>22.452122689075644</v>
      </c>
      <c r="L747" s="8">
        <f t="shared" si="58"/>
        <v>8.0763031255667777</v>
      </c>
      <c r="M747" s="30" t="str">
        <f t="shared" si="59"/>
        <v>July</v>
      </c>
    </row>
    <row r="748" spans="1:13">
      <c r="A748" s="9" t="s">
        <v>1240</v>
      </c>
      <c r="B748" s="8">
        <v>12</v>
      </c>
      <c r="C748" s="8" t="s">
        <v>51</v>
      </c>
      <c r="D748" s="8" t="s">
        <v>56</v>
      </c>
      <c r="E748" s="34" t="s">
        <v>234</v>
      </c>
      <c r="F748" s="8">
        <v>560</v>
      </c>
      <c r="G748" s="8">
        <v>177.03</v>
      </c>
      <c r="H748" s="10">
        <v>19.809999999999999</v>
      </c>
      <c r="I748" s="21">
        <f t="shared" si="55"/>
        <v>148.76470588235296</v>
      </c>
      <c r="J748" s="21">
        <f t="shared" si="56"/>
        <v>110.93599999999998</v>
      </c>
      <c r="K748" s="21">
        <f t="shared" si="57"/>
        <v>37.828705882352978</v>
      </c>
      <c r="L748" s="8">
        <f t="shared" si="58"/>
        <v>6.7551260504201753</v>
      </c>
      <c r="M748" s="30" t="str">
        <f t="shared" si="59"/>
        <v>April</v>
      </c>
    </row>
    <row r="749" spans="1:13">
      <c r="A749" s="9" t="s">
        <v>1241</v>
      </c>
      <c r="B749" s="8">
        <v>12</v>
      </c>
      <c r="C749" s="8" t="s">
        <v>35</v>
      </c>
      <c r="D749" s="8" t="s">
        <v>46</v>
      </c>
      <c r="E749" s="34">
        <v>45484</v>
      </c>
      <c r="F749" s="8">
        <v>227</v>
      </c>
      <c r="G749" s="8">
        <v>81.7</v>
      </c>
      <c r="H749" s="10">
        <v>24.41</v>
      </c>
      <c r="I749" s="21">
        <f t="shared" si="55"/>
        <v>68.655462184873954</v>
      </c>
      <c r="J749" s="21">
        <f t="shared" si="56"/>
        <v>55.410699999999999</v>
      </c>
      <c r="K749" s="21">
        <f t="shared" si="57"/>
        <v>13.244762184873956</v>
      </c>
      <c r="L749" s="8">
        <f t="shared" si="58"/>
        <v>5.8346969977418306</v>
      </c>
      <c r="M749" s="30" t="str">
        <f t="shared" si="59"/>
        <v>January</v>
      </c>
    </row>
    <row r="750" spans="1:13">
      <c r="A750" s="9" t="s">
        <v>1242</v>
      </c>
      <c r="B750" s="8">
        <v>24</v>
      </c>
      <c r="C750" s="8" t="s">
        <v>39</v>
      </c>
      <c r="D750" s="8" t="s">
        <v>46</v>
      </c>
      <c r="E750" s="34" t="s">
        <v>397</v>
      </c>
      <c r="F750" s="8">
        <v>133</v>
      </c>
      <c r="G750" s="8">
        <v>56.89</v>
      </c>
      <c r="H750" s="10">
        <v>28.65</v>
      </c>
      <c r="I750" s="21">
        <f t="shared" si="55"/>
        <v>47.806722689075634</v>
      </c>
      <c r="J750" s="21">
        <f t="shared" si="56"/>
        <v>38.104500000000002</v>
      </c>
      <c r="K750" s="21">
        <f t="shared" si="57"/>
        <v>9.7022226890756329</v>
      </c>
      <c r="L750" s="8">
        <f t="shared" si="58"/>
        <v>7.2949042775004758</v>
      </c>
      <c r="M750" s="30" t="str">
        <f t="shared" si="59"/>
        <v>February</v>
      </c>
    </row>
    <row r="751" spans="1:13">
      <c r="A751" s="9" t="s">
        <v>1243</v>
      </c>
      <c r="B751" s="8">
        <v>24</v>
      </c>
      <c r="C751" s="8" t="s">
        <v>35</v>
      </c>
      <c r="D751" s="8" t="s">
        <v>36</v>
      </c>
      <c r="E751" s="34">
        <v>45422</v>
      </c>
      <c r="F751" s="8">
        <v>169</v>
      </c>
      <c r="G751" s="8">
        <v>69.2</v>
      </c>
      <c r="H751" s="10">
        <v>0.23</v>
      </c>
      <c r="I751" s="21">
        <f t="shared" si="55"/>
        <v>58.151260504201687</v>
      </c>
      <c r="J751" s="21">
        <f t="shared" si="56"/>
        <v>0.38870000000000005</v>
      </c>
      <c r="K751" s="21">
        <f t="shared" si="57"/>
        <v>57.762560504201687</v>
      </c>
      <c r="L751" s="8">
        <f t="shared" si="58"/>
        <v>34.179029884143006</v>
      </c>
      <c r="M751" s="30" t="str">
        <f t="shared" si="59"/>
        <v>November</v>
      </c>
    </row>
    <row r="752" spans="1:13">
      <c r="A752" s="9" t="s">
        <v>1244</v>
      </c>
      <c r="B752" s="8">
        <v>12</v>
      </c>
      <c r="C752" s="8" t="s">
        <v>51</v>
      </c>
      <c r="D752" s="8" t="s">
        <v>46</v>
      </c>
      <c r="E752" s="34" t="s">
        <v>256</v>
      </c>
      <c r="F752" s="8">
        <v>546</v>
      </c>
      <c r="G752" s="8">
        <v>176.42</v>
      </c>
      <c r="H752" s="10">
        <v>18.62</v>
      </c>
      <c r="I752" s="21">
        <f t="shared" si="55"/>
        <v>148.25210084033614</v>
      </c>
      <c r="J752" s="21">
        <f t="shared" si="56"/>
        <v>101.6652</v>
      </c>
      <c r="K752" s="21">
        <f t="shared" si="57"/>
        <v>46.586900840336142</v>
      </c>
      <c r="L752" s="8">
        <f t="shared" si="58"/>
        <v>8.5323994213069856</v>
      </c>
      <c r="M752" s="30" t="str">
        <f t="shared" si="59"/>
        <v>May</v>
      </c>
    </row>
    <row r="753" spans="1:13">
      <c r="A753" s="9" t="s">
        <v>1245</v>
      </c>
      <c r="B753" s="8">
        <v>24</v>
      </c>
      <c r="C753" s="8" t="s">
        <v>35</v>
      </c>
      <c r="D753" s="8" t="s">
        <v>36</v>
      </c>
      <c r="E753" s="34" t="s">
        <v>1246</v>
      </c>
      <c r="F753" s="8">
        <v>319</v>
      </c>
      <c r="G753" s="8">
        <v>118.76</v>
      </c>
      <c r="H753" s="10">
        <v>27.34</v>
      </c>
      <c r="I753" s="21">
        <f t="shared" si="55"/>
        <v>99.798319327731107</v>
      </c>
      <c r="J753" s="21">
        <f t="shared" si="56"/>
        <v>87.21459999999999</v>
      </c>
      <c r="K753" s="21">
        <f t="shared" si="57"/>
        <v>12.583719327731117</v>
      </c>
      <c r="L753" s="8">
        <f t="shared" si="58"/>
        <v>3.9447396011696294</v>
      </c>
      <c r="M753" s="30" t="str">
        <f t="shared" si="59"/>
        <v>May</v>
      </c>
    </row>
    <row r="754" spans="1:13">
      <c r="A754" s="9" t="s">
        <v>1247</v>
      </c>
      <c r="B754" s="8">
        <v>24</v>
      </c>
      <c r="C754" s="8" t="s">
        <v>51</v>
      </c>
      <c r="D754" s="8" t="s">
        <v>46</v>
      </c>
      <c r="E754" s="34" t="s">
        <v>539</v>
      </c>
      <c r="F754" s="8">
        <v>538</v>
      </c>
      <c r="G754" s="8">
        <v>186.93</v>
      </c>
      <c r="H754" s="10">
        <v>21.37</v>
      </c>
      <c r="I754" s="21">
        <f t="shared" si="55"/>
        <v>157.0840336134454</v>
      </c>
      <c r="J754" s="21">
        <f t="shared" si="56"/>
        <v>114.97060000000002</v>
      </c>
      <c r="K754" s="21">
        <f t="shared" si="57"/>
        <v>42.11343361344538</v>
      </c>
      <c r="L754" s="8">
        <f t="shared" si="58"/>
        <v>7.8277757645809256</v>
      </c>
      <c r="M754" s="30" t="str">
        <f t="shared" si="59"/>
        <v>March</v>
      </c>
    </row>
    <row r="755" spans="1:13">
      <c r="A755" s="9" t="s">
        <v>1248</v>
      </c>
      <c r="B755" s="8">
        <v>12</v>
      </c>
      <c r="C755" s="8" t="s">
        <v>51</v>
      </c>
      <c r="D755" s="8" t="s">
        <v>36</v>
      </c>
      <c r="E755" s="34" t="s">
        <v>478</v>
      </c>
      <c r="F755" s="8">
        <v>625</v>
      </c>
      <c r="G755" s="8">
        <v>205.96</v>
      </c>
      <c r="H755" s="10">
        <v>17.18</v>
      </c>
      <c r="I755" s="21">
        <f t="shared" si="55"/>
        <v>173.07563025210086</v>
      </c>
      <c r="J755" s="21">
        <f t="shared" si="56"/>
        <v>107.375</v>
      </c>
      <c r="K755" s="21">
        <f t="shared" si="57"/>
        <v>65.700630252100865</v>
      </c>
      <c r="L755" s="8">
        <f t="shared" si="58"/>
        <v>10.512100840336139</v>
      </c>
      <c r="M755" s="30" t="str">
        <f t="shared" si="59"/>
        <v>March</v>
      </c>
    </row>
    <row r="756" spans="1:13">
      <c r="A756" s="9" t="s">
        <v>1249</v>
      </c>
      <c r="B756" s="8">
        <v>12</v>
      </c>
      <c r="C756" s="8" t="s">
        <v>39</v>
      </c>
      <c r="D756" s="8" t="s">
        <v>36</v>
      </c>
      <c r="E756" s="34">
        <v>45567</v>
      </c>
      <c r="F756" s="8">
        <v>144</v>
      </c>
      <c r="G756" s="8">
        <v>65.819999999999993</v>
      </c>
      <c r="H756" s="10">
        <v>28.93</v>
      </c>
      <c r="I756" s="21">
        <f t="shared" si="55"/>
        <v>55.310924369747895</v>
      </c>
      <c r="J756" s="21">
        <f t="shared" si="56"/>
        <v>41.659199999999998</v>
      </c>
      <c r="K756" s="21">
        <f t="shared" si="57"/>
        <v>13.651724369747896</v>
      </c>
      <c r="L756" s="8">
        <f t="shared" si="58"/>
        <v>9.4803641456582621</v>
      </c>
      <c r="M756" s="30" t="str">
        <f t="shared" si="59"/>
        <v>August</v>
      </c>
    </row>
    <row r="757" spans="1:13">
      <c r="A757" s="9" t="s">
        <v>1250</v>
      </c>
      <c r="B757" s="8">
        <v>24</v>
      </c>
      <c r="C757" s="8" t="s">
        <v>39</v>
      </c>
      <c r="D757" s="8" t="s">
        <v>46</v>
      </c>
      <c r="E757" s="34" t="s">
        <v>1251</v>
      </c>
      <c r="F757" s="8">
        <v>93</v>
      </c>
      <c r="G757" s="8">
        <v>46.8</v>
      </c>
      <c r="H757" s="10">
        <v>31.47</v>
      </c>
      <c r="I757" s="21">
        <f t="shared" si="55"/>
        <v>39.327731092436977</v>
      </c>
      <c r="J757" s="21">
        <f t="shared" si="56"/>
        <v>29.267099999999999</v>
      </c>
      <c r="K757" s="21">
        <f t="shared" si="57"/>
        <v>10.060631092436978</v>
      </c>
      <c r="L757" s="8">
        <f t="shared" si="58"/>
        <v>10.817882895093526</v>
      </c>
      <c r="M757" s="30" t="str">
        <f t="shared" si="59"/>
        <v>March</v>
      </c>
    </row>
    <row r="758" spans="1:13">
      <c r="A758" s="9" t="s">
        <v>1252</v>
      </c>
      <c r="B758" s="8">
        <v>24</v>
      </c>
      <c r="C758" s="8" t="s">
        <v>35</v>
      </c>
      <c r="D758" s="8" t="s">
        <v>56</v>
      </c>
      <c r="E758" s="34" t="s">
        <v>1020</v>
      </c>
      <c r="F758" s="8">
        <v>317</v>
      </c>
      <c r="G758" s="8">
        <v>111.96</v>
      </c>
      <c r="H758" s="10">
        <v>25.71</v>
      </c>
      <c r="I758" s="21">
        <f t="shared" si="55"/>
        <v>94.084033613445371</v>
      </c>
      <c r="J758" s="21">
        <f t="shared" si="56"/>
        <v>81.500700000000009</v>
      </c>
      <c r="K758" s="21">
        <f t="shared" si="57"/>
        <v>12.583333613445362</v>
      </c>
      <c r="L758" s="8">
        <f t="shared" si="58"/>
        <v>3.9695058717493259</v>
      </c>
      <c r="M758" s="30" t="str">
        <f t="shared" si="59"/>
        <v>November</v>
      </c>
    </row>
    <row r="759" spans="1:13">
      <c r="A759" s="9" t="s">
        <v>1253</v>
      </c>
      <c r="B759" s="8">
        <v>12</v>
      </c>
      <c r="C759" s="8" t="s">
        <v>35</v>
      </c>
      <c r="D759" s="8" t="s">
        <v>36</v>
      </c>
      <c r="E759" s="34" t="s">
        <v>1254</v>
      </c>
      <c r="F759" s="8">
        <v>178</v>
      </c>
      <c r="G759" s="8">
        <v>74.09</v>
      </c>
      <c r="H759" s="10">
        <v>23.68</v>
      </c>
      <c r="I759" s="21">
        <f t="shared" si="55"/>
        <v>62.260504201680675</v>
      </c>
      <c r="J759" s="21">
        <f t="shared" si="56"/>
        <v>42.150399999999998</v>
      </c>
      <c r="K759" s="21">
        <f t="shared" si="57"/>
        <v>20.110104201680677</v>
      </c>
      <c r="L759" s="8">
        <f t="shared" si="58"/>
        <v>11.297811349258808</v>
      </c>
      <c r="M759" s="30" t="str">
        <f t="shared" si="59"/>
        <v>September</v>
      </c>
    </row>
    <row r="760" spans="1:13">
      <c r="A760" s="9" t="s">
        <v>1255</v>
      </c>
      <c r="B760" s="8">
        <v>24</v>
      </c>
      <c r="C760" s="8" t="s">
        <v>51</v>
      </c>
      <c r="D760" s="8" t="s">
        <v>56</v>
      </c>
      <c r="E760" s="34" t="s">
        <v>976</v>
      </c>
      <c r="F760" s="8">
        <v>511</v>
      </c>
      <c r="G760" s="8">
        <v>171.34</v>
      </c>
      <c r="H760" s="10">
        <v>16.75</v>
      </c>
      <c r="I760" s="21">
        <f t="shared" si="55"/>
        <v>143.98319327731093</v>
      </c>
      <c r="J760" s="21">
        <f t="shared" si="56"/>
        <v>85.592500000000001</v>
      </c>
      <c r="K760" s="21">
        <f t="shared" si="57"/>
        <v>58.39069327731093</v>
      </c>
      <c r="L760" s="8">
        <f t="shared" si="58"/>
        <v>11.426750152115641</v>
      </c>
      <c r="M760" s="30" t="str">
        <f t="shared" si="59"/>
        <v>January</v>
      </c>
    </row>
    <row r="761" spans="1:13">
      <c r="A761" s="9" t="s">
        <v>1256</v>
      </c>
      <c r="B761" s="8">
        <v>24</v>
      </c>
      <c r="C761" s="8" t="s">
        <v>51</v>
      </c>
      <c r="D761" s="8" t="s">
        <v>36</v>
      </c>
      <c r="E761" s="34">
        <v>45355</v>
      </c>
      <c r="F761" s="8">
        <v>380</v>
      </c>
      <c r="G761" s="8">
        <v>139.21</v>
      </c>
      <c r="H761" s="10">
        <v>16.7</v>
      </c>
      <c r="I761" s="21">
        <f t="shared" si="55"/>
        <v>116.98319327731093</v>
      </c>
      <c r="J761" s="21">
        <f t="shared" si="56"/>
        <v>63.46</v>
      </c>
      <c r="K761" s="21">
        <f t="shared" si="57"/>
        <v>53.523193277310931</v>
      </c>
      <c r="L761" s="8">
        <f t="shared" si="58"/>
        <v>14.085050862450247</v>
      </c>
      <c r="M761" s="30" t="str">
        <f t="shared" si="59"/>
        <v>August</v>
      </c>
    </row>
    <row r="762" spans="1:13">
      <c r="A762" s="9" t="s">
        <v>1257</v>
      </c>
      <c r="B762" s="8">
        <v>12</v>
      </c>
      <c r="C762" s="8" t="s">
        <v>35</v>
      </c>
      <c r="D762" s="8" t="s">
        <v>36</v>
      </c>
      <c r="E762" s="37">
        <v>45526</v>
      </c>
      <c r="F762" s="8">
        <v>169</v>
      </c>
      <c r="G762" s="8">
        <v>67.319999999999993</v>
      </c>
      <c r="H762" s="10">
        <v>24.3</v>
      </c>
      <c r="I762" s="21">
        <f t="shared" si="55"/>
        <v>56.571428571428569</v>
      </c>
      <c r="J762" s="21">
        <f t="shared" si="56"/>
        <v>41.067</v>
      </c>
      <c r="K762" s="21">
        <f t="shared" si="57"/>
        <v>15.504428571428569</v>
      </c>
      <c r="L762" s="8">
        <f t="shared" si="58"/>
        <v>9.1742180896027037</v>
      </c>
      <c r="M762" s="30" t="str">
        <f t="shared" si="59"/>
        <v>March</v>
      </c>
    </row>
    <row r="763" spans="1:13">
      <c r="A763" s="9" t="s">
        <v>1259</v>
      </c>
      <c r="B763" s="8">
        <v>12</v>
      </c>
      <c r="C763" s="8" t="s">
        <v>39</v>
      </c>
      <c r="D763" s="8" t="s">
        <v>36</v>
      </c>
      <c r="E763" s="34" t="s">
        <v>340</v>
      </c>
      <c r="F763" s="8">
        <v>118</v>
      </c>
      <c r="G763" s="8">
        <v>57.93</v>
      </c>
      <c r="H763" s="10">
        <v>29.57</v>
      </c>
      <c r="I763" s="21">
        <f t="shared" si="55"/>
        <v>48.680672268907564</v>
      </c>
      <c r="J763" s="21">
        <f t="shared" si="56"/>
        <v>34.892600000000002</v>
      </c>
      <c r="K763" s="21">
        <f t="shared" si="57"/>
        <v>13.788072268907563</v>
      </c>
      <c r="L763" s="8">
        <f t="shared" si="58"/>
        <v>11.684807007548782</v>
      </c>
      <c r="M763" s="30" t="str">
        <f t="shared" si="59"/>
        <v>January</v>
      </c>
    </row>
    <row r="764" spans="1:13">
      <c r="A764" s="9" t="s">
        <v>1260</v>
      </c>
      <c r="B764" s="8">
        <v>12</v>
      </c>
      <c r="C764" s="8" t="s">
        <v>51</v>
      </c>
      <c r="D764" s="8" t="s">
        <v>36</v>
      </c>
      <c r="E764" s="34">
        <v>45332</v>
      </c>
      <c r="F764" s="8">
        <v>432</v>
      </c>
      <c r="G764" s="8">
        <v>148.18</v>
      </c>
      <c r="H764" s="10">
        <v>16.64</v>
      </c>
      <c r="I764" s="21">
        <f t="shared" si="55"/>
        <v>124.52100840336135</v>
      </c>
      <c r="J764" s="21">
        <f t="shared" si="56"/>
        <v>71.884799999999998</v>
      </c>
      <c r="K764" s="21">
        <f t="shared" si="57"/>
        <v>52.636208403361351</v>
      </c>
      <c r="L764" s="8">
        <f t="shared" si="58"/>
        <v>12.184307500778091</v>
      </c>
      <c r="M764" s="30" t="str">
        <f t="shared" si="59"/>
        <v>September</v>
      </c>
    </row>
    <row r="765" spans="1:13">
      <c r="A765" s="9" t="s">
        <v>1262</v>
      </c>
      <c r="B765" s="8">
        <v>24</v>
      </c>
      <c r="C765" s="8" t="s">
        <v>39</v>
      </c>
      <c r="D765" s="8" t="s">
        <v>36</v>
      </c>
      <c r="E765" s="34">
        <v>45598</v>
      </c>
      <c r="F765" s="8">
        <v>124</v>
      </c>
      <c r="G765" s="8">
        <v>53.21</v>
      </c>
      <c r="H765" s="10">
        <v>30.33</v>
      </c>
      <c r="I765" s="21">
        <f t="shared" si="55"/>
        <v>44.714285714285715</v>
      </c>
      <c r="J765" s="21">
        <f t="shared" si="56"/>
        <v>37.609199999999994</v>
      </c>
      <c r="K765" s="21">
        <f t="shared" si="57"/>
        <v>7.1050857142857211</v>
      </c>
      <c r="L765" s="8">
        <f t="shared" si="58"/>
        <v>5.7299078341013878</v>
      </c>
      <c r="M765" s="30" t="str">
        <f t="shared" si="59"/>
        <v>March</v>
      </c>
    </row>
    <row r="766" spans="1:13">
      <c r="A766" s="9" t="s">
        <v>1263</v>
      </c>
      <c r="B766" s="8">
        <v>12</v>
      </c>
      <c r="C766" s="8" t="s">
        <v>51</v>
      </c>
      <c r="D766" s="8" t="s">
        <v>36</v>
      </c>
      <c r="E766" s="34" t="s">
        <v>1264</v>
      </c>
      <c r="F766" s="8">
        <v>526</v>
      </c>
      <c r="G766" s="8">
        <v>177.38</v>
      </c>
      <c r="H766" s="10">
        <v>18.559999999999999</v>
      </c>
      <c r="I766" s="21">
        <f t="shared" si="55"/>
        <v>149.05882352941177</v>
      </c>
      <c r="J766" s="21">
        <f t="shared" si="56"/>
        <v>97.625599999999991</v>
      </c>
      <c r="K766" s="21">
        <f t="shared" si="57"/>
        <v>51.433223529411777</v>
      </c>
      <c r="L766" s="8">
        <f t="shared" si="58"/>
        <v>9.7781793782151674</v>
      </c>
      <c r="M766" s="30" t="str">
        <f t="shared" si="59"/>
        <v>June</v>
      </c>
    </row>
    <row r="767" spans="1:13">
      <c r="A767" s="9" t="s">
        <v>1265</v>
      </c>
      <c r="B767" s="8">
        <v>24</v>
      </c>
      <c r="C767" s="8" t="s">
        <v>35</v>
      </c>
      <c r="D767" s="8" t="s">
        <v>36</v>
      </c>
      <c r="E767" s="34" t="s">
        <v>646</v>
      </c>
      <c r="F767" s="8">
        <v>174</v>
      </c>
      <c r="G767" s="8">
        <v>71.819999999999993</v>
      </c>
      <c r="H767" s="10">
        <v>25.15</v>
      </c>
      <c r="I767" s="21">
        <f t="shared" si="55"/>
        <v>60.352941176470587</v>
      </c>
      <c r="J767" s="21">
        <f t="shared" si="56"/>
        <v>43.760999999999996</v>
      </c>
      <c r="K767" s="21">
        <f t="shared" si="57"/>
        <v>16.591941176470591</v>
      </c>
      <c r="L767" s="8">
        <f t="shared" si="58"/>
        <v>9.5355983772819499</v>
      </c>
      <c r="M767" s="30" t="str">
        <f t="shared" si="59"/>
        <v>April</v>
      </c>
    </row>
    <row r="768" spans="1:13">
      <c r="A768" s="9" t="s">
        <v>1266</v>
      </c>
      <c r="B768" s="8">
        <v>24</v>
      </c>
      <c r="C768" s="8" t="s">
        <v>35</v>
      </c>
      <c r="D768" s="8" t="s">
        <v>56</v>
      </c>
      <c r="E768" s="37">
        <v>45823</v>
      </c>
      <c r="F768" s="8">
        <v>187</v>
      </c>
      <c r="G768" s="8">
        <v>78.78</v>
      </c>
      <c r="H768" s="10">
        <v>23.23</v>
      </c>
      <c r="I768" s="21">
        <f t="shared" si="55"/>
        <v>66.201680672268907</v>
      </c>
      <c r="J768" s="21">
        <f t="shared" si="56"/>
        <v>43.440100000000001</v>
      </c>
      <c r="K768" s="21">
        <f t="shared" si="57"/>
        <v>22.761580672268906</v>
      </c>
      <c r="L768" s="8">
        <f t="shared" si="58"/>
        <v>12.171968273940591</v>
      </c>
      <c r="M768" s="30" t="str">
        <f t="shared" si="59"/>
        <v>December</v>
      </c>
    </row>
    <row r="769" spans="1:13">
      <c r="A769" s="9" t="s">
        <v>1268</v>
      </c>
      <c r="B769" s="8">
        <v>24</v>
      </c>
      <c r="C769" s="8" t="s">
        <v>39</v>
      </c>
      <c r="D769" s="8" t="s">
        <v>36</v>
      </c>
      <c r="E769" s="37">
        <v>45744</v>
      </c>
      <c r="F769" s="8">
        <v>130</v>
      </c>
      <c r="G769" s="8">
        <v>56.7</v>
      </c>
      <c r="H769" s="10">
        <v>28.16</v>
      </c>
      <c r="I769" s="21">
        <f t="shared" si="55"/>
        <v>47.647058823529413</v>
      </c>
      <c r="J769" s="21">
        <f t="shared" si="56"/>
        <v>36.608000000000004</v>
      </c>
      <c r="K769" s="21">
        <f t="shared" si="57"/>
        <v>11.039058823529409</v>
      </c>
      <c r="L769" s="8">
        <f t="shared" si="58"/>
        <v>8.4915837104072374</v>
      </c>
      <c r="M769" s="30" t="str">
        <f t="shared" si="59"/>
        <v>September</v>
      </c>
    </row>
    <row r="770" spans="1:13">
      <c r="A770" s="9" t="s">
        <v>1270</v>
      </c>
      <c r="B770" s="8">
        <v>12</v>
      </c>
      <c r="C770" s="8" t="s">
        <v>35</v>
      </c>
      <c r="D770" s="8" t="s">
        <v>46</v>
      </c>
      <c r="E770" s="34">
        <v>45606</v>
      </c>
      <c r="F770" s="8">
        <v>224</v>
      </c>
      <c r="G770" s="8">
        <v>89.8</v>
      </c>
      <c r="H770" s="10">
        <v>24.35</v>
      </c>
      <c r="I770" s="21">
        <f t="shared" ref="I770:I801" si="60">G770/1.19</f>
        <v>75.462184873949582</v>
      </c>
      <c r="J770" s="21">
        <f t="shared" ref="J770:J801" si="61">F770*H770/100</f>
        <v>54.544000000000004</v>
      </c>
      <c r="K770" s="21">
        <f t="shared" ref="K770:K801" si="62">I770-J770</f>
        <v>20.918184873949578</v>
      </c>
      <c r="L770" s="8">
        <f t="shared" ref="L770:L801" si="63">IF(F770=0,"",K770/F770*100)</f>
        <v>9.3384753901560611</v>
      </c>
      <c r="M770" s="30" t="str">
        <f t="shared" ref="M770:M801" si="64">TEXT(DATE(RIGHT(E770,4),MID(E770,4,2),LEFT(E770,2)),"mmmm")</f>
        <v>July</v>
      </c>
    </row>
    <row r="771" spans="1:13">
      <c r="A771" s="9" t="s">
        <v>1271</v>
      </c>
      <c r="B771" s="8">
        <v>24</v>
      </c>
      <c r="C771" s="8" t="s">
        <v>35</v>
      </c>
      <c r="D771" s="8" t="s">
        <v>36</v>
      </c>
      <c r="E771" s="34">
        <v>45389</v>
      </c>
      <c r="F771" s="8">
        <v>288</v>
      </c>
      <c r="G771" s="8">
        <v>110.26</v>
      </c>
      <c r="H771" s="10">
        <v>23.59</v>
      </c>
      <c r="I771" s="21">
        <f t="shared" si="60"/>
        <v>92.655462184873954</v>
      </c>
      <c r="J771" s="21">
        <f t="shared" si="61"/>
        <v>67.9392</v>
      </c>
      <c r="K771" s="21">
        <f t="shared" si="62"/>
        <v>24.716262184873955</v>
      </c>
      <c r="L771" s="8">
        <f t="shared" si="63"/>
        <v>8.5820354808590125</v>
      </c>
      <c r="M771" s="30" t="str">
        <f t="shared" si="64"/>
        <v>June</v>
      </c>
    </row>
    <row r="772" spans="1:13">
      <c r="A772" s="9" t="s">
        <v>1273</v>
      </c>
      <c r="B772" s="8">
        <v>12</v>
      </c>
      <c r="C772" s="8" t="s">
        <v>35</v>
      </c>
      <c r="D772" s="8" t="s">
        <v>46</v>
      </c>
      <c r="E772" s="34" t="s">
        <v>691</v>
      </c>
      <c r="F772" s="8">
        <v>275</v>
      </c>
      <c r="G772" s="8">
        <v>101.04</v>
      </c>
      <c r="H772" s="10">
        <v>25.9</v>
      </c>
      <c r="I772" s="21">
        <f t="shared" si="60"/>
        <v>84.907563025210095</v>
      </c>
      <c r="J772" s="21">
        <f t="shared" si="61"/>
        <v>71.224999999999994</v>
      </c>
      <c r="K772" s="21">
        <f t="shared" si="62"/>
        <v>13.682563025210101</v>
      </c>
      <c r="L772" s="8">
        <f t="shared" si="63"/>
        <v>4.9754774637127639</v>
      </c>
      <c r="M772" s="30" t="str">
        <f t="shared" si="64"/>
        <v>March</v>
      </c>
    </row>
    <row r="773" spans="1:13">
      <c r="A773" s="9" t="s">
        <v>1274</v>
      </c>
      <c r="B773" s="8">
        <v>24</v>
      </c>
      <c r="C773" s="8" t="s">
        <v>39</v>
      </c>
      <c r="D773" s="8" t="s">
        <v>36</v>
      </c>
      <c r="E773" s="34" t="s">
        <v>1155</v>
      </c>
      <c r="F773" s="8">
        <v>154</v>
      </c>
      <c r="G773" s="8">
        <v>63.36</v>
      </c>
      <c r="H773" s="10">
        <v>32.18</v>
      </c>
      <c r="I773" s="21">
        <f t="shared" si="60"/>
        <v>53.243697478991599</v>
      </c>
      <c r="J773" s="21">
        <f t="shared" si="61"/>
        <v>49.557200000000002</v>
      </c>
      <c r="K773" s="21">
        <f t="shared" si="62"/>
        <v>3.6864974789915976</v>
      </c>
      <c r="L773" s="8">
        <f t="shared" si="63"/>
        <v>2.3938295318127261</v>
      </c>
      <c r="M773" s="30" t="str">
        <f t="shared" si="64"/>
        <v>May</v>
      </c>
    </row>
    <row r="774" spans="1:13">
      <c r="A774" s="9" t="s">
        <v>1275</v>
      </c>
      <c r="B774" s="8">
        <v>12</v>
      </c>
      <c r="C774" s="8" t="s">
        <v>35</v>
      </c>
      <c r="D774" s="8" t="s">
        <v>36</v>
      </c>
      <c r="E774" s="34">
        <v>45355</v>
      </c>
      <c r="F774" s="8">
        <v>282</v>
      </c>
      <c r="G774" s="8">
        <v>104.71</v>
      </c>
      <c r="H774" s="10">
        <v>23.1</v>
      </c>
      <c r="I774" s="21">
        <f t="shared" si="60"/>
        <v>87.991596638655466</v>
      </c>
      <c r="J774" s="21">
        <f t="shared" si="61"/>
        <v>65.14200000000001</v>
      </c>
      <c r="K774" s="21">
        <f t="shared" si="62"/>
        <v>22.849596638655456</v>
      </c>
      <c r="L774" s="8">
        <f t="shared" si="63"/>
        <v>8.1026938434948423</v>
      </c>
      <c r="M774" s="30" t="str">
        <f t="shared" si="64"/>
        <v>August</v>
      </c>
    </row>
    <row r="775" spans="1:13">
      <c r="A775" s="9" t="s">
        <v>1276</v>
      </c>
      <c r="B775" s="8">
        <v>12</v>
      </c>
      <c r="C775" s="8" t="s">
        <v>51</v>
      </c>
      <c r="D775" s="8" t="s">
        <v>36</v>
      </c>
      <c r="E775" s="34" t="s">
        <v>646</v>
      </c>
      <c r="F775" s="8">
        <v>477</v>
      </c>
      <c r="G775" s="8">
        <v>165.51</v>
      </c>
      <c r="H775" s="10">
        <v>20.05</v>
      </c>
      <c r="I775" s="21">
        <f t="shared" si="60"/>
        <v>139.08403361344537</v>
      </c>
      <c r="J775" s="21">
        <f t="shared" si="61"/>
        <v>95.638500000000008</v>
      </c>
      <c r="K775" s="21">
        <f t="shared" si="62"/>
        <v>43.445533613445363</v>
      </c>
      <c r="L775" s="8">
        <f t="shared" si="63"/>
        <v>9.1080783256698865</v>
      </c>
      <c r="M775" s="30" t="str">
        <f t="shared" si="64"/>
        <v>April</v>
      </c>
    </row>
    <row r="776" spans="1:13">
      <c r="A776" s="9" t="s">
        <v>1277</v>
      </c>
      <c r="B776" s="8">
        <v>24</v>
      </c>
      <c r="C776" s="8" t="s">
        <v>39</v>
      </c>
      <c r="D776" s="8" t="s">
        <v>36</v>
      </c>
      <c r="E776" s="34" t="s">
        <v>1278</v>
      </c>
      <c r="F776" s="8">
        <v>140</v>
      </c>
      <c r="G776" s="8">
        <v>60.76</v>
      </c>
      <c r="H776" s="10">
        <v>29.09</v>
      </c>
      <c r="I776" s="21">
        <f t="shared" si="60"/>
        <v>51.058823529411768</v>
      </c>
      <c r="J776" s="21">
        <f t="shared" si="61"/>
        <v>40.725999999999999</v>
      </c>
      <c r="K776" s="21">
        <f t="shared" si="62"/>
        <v>10.332823529411769</v>
      </c>
      <c r="L776" s="8">
        <f t="shared" si="63"/>
        <v>7.3805882352941206</v>
      </c>
      <c r="M776" s="30" t="str">
        <f t="shared" si="64"/>
        <v>December</v>
      </c>
    </row>
    <row r="777" spans="1:13">
      <c r="A777" s="9" t="s">
        <v>1279</v>
      </c>
      <c r="B777" s="8">
        <v>12</v>
      </c>
      <c r="C777" s="8" t="s">
        <v>39</v>
      </c>
      <c r="D777" s="8" t="s">
        <v>36</v>
      </c>
      <c r="E777" s="34" t="s">
        <v>1201</v>
      </c>
      <c r="F777" s="8">
        <v>106</v>
      </c>
      <c r="G777" s="8">
        <v>48.61</v>
      </c>
      <c r="H777" s="10">
        <v>31.62</v>
      </c>
      <c r="I777" s="21">
        <f t="shared" si="60"/>
        <v>40.84873949579832</v>
      </c>
      <c r="J777" s="21">
        <f t="shared" si="61"/>
        <v>33.517200000000003</v>
      </c>
      <c r="K777" s="21">
        <f t="shared" si="62"/>
        <v>7.3315394957983173</v>
      </c>
      <c r="L777" s="8">
        <f t="shared" si="63"/>
        <v>6.9165466941493561</v>
      </c>
      <c r="M777" s="30" t="str">
        <f t="shared" si="64"/>
        <v>February</v>
      </c>
    </row>
    <row r="778" spans="1:13">
      <c r="A778" s="9" t="s">
        <v>1280</v>
      </c>
      <c r="B778" s="8">
        <v>12</v>
      </c>
      <c r="C778" s="8" t="s">
        <v>39</v>
      </c>
      <c r="D778" s="8" t="s">
        <v>46</v>
      </c>
      <c r="E778" s="34">
        <v>45485</v>
      </c>
      <c r="F778" s="8">
        <v>109</v>
      </c>
      <c r="G778" s="8">
        <v>48.83</v>
      </c>
      <c r="H778" s="10">
        <v>29.5</v>
      </c>
      <c r="I778" s="21">
        <f t="shared" si="60"/>
        <v>41.033613445378151</v>
      </c>
      <c r="J778" s="21">
        <f t="shared" si="61"/>
        <v>32.155000000000001</v>
      </c>
      <c r="K778" s="21">
        <f t="shared" si="62"/>
        <v>8.87861344537815</v>
      </c>
      <c r="L778" s="8">
        <f t="shared" si="63"/>
        <v>8.1455169223652764</v>
      </c>
      <c r="M778" s="30" t="str">
        <f t="shared" si="64"/>
        <v>February</v>
      </c>
    </row>
    <row r="779" spans="1:13">
      <c r="A779" s="9" t="s">
        <v>1281</v>
      </c>
      <c r="B779" s="8">
        <v>24</v>
      </c>
      <c r="C779" s="8" t="s">
        <v>35</v>
      </c>
      <c r="D779" s="8" t="s">
        <v>56</v>
      </c>
      <c r="E779" s="34" t="s">
        <v>1282</v>
      </c>
      <c r="F779" s="8">
        <v>298</v>
      </c>
      <c r="G779" s="8">
        <v>113.21</v>
      </c>
      <c r="H779" s="10">
        <v>24.2</v>
      </c>
      <c r="I779" s="21">
        <f t="shared" si="60"/>
        <v>95.134453781512605</v>
      </c>
      <c r="J779" s="21">
        <f t="shared" si="61"/>
        <v>72.116</v>
      </c>
      <c r="K779" s="21">
        <f t="shared" si="62"/>
        <v>23.018453781512605</v>
      </c>
      <c r="L779" s="8">
        <f t="shared" si="63"/>
        <v>7.7243133495008749</v>
      </c>
      <c r="M779" s="30" t="str">
        <f t="shared" si="64"/>
        <v>November</v>
      </c>
    </row>
    <row r="780" spans="1:13">
      <c r="A780" s="9" t="s">
        <v>1283</v>
      </c>
      <c r="B780" s="8">
        <v>24</v>
      </c>
      <c r="C780" s="8" t="s">
        <v>35</v>
      </c>
      <c r="D780" s="8" t="s">
        <v>56</v>
      </c>
      <c r="E780" s="34" t="s">
        <v>1284</v>
      </c>
      <c r="F780" s="8">
        <v>241</v>
      </c>
      <c r="G780" s="8">
        <v>93.39</v>
      </c>
      <c r="H780" s="10">
        <v>22.2</v>
      </c>
      <c r="I780" s="21">
        <f t="shared" si="60"/>
        <v>78.478991596638664</v>
      </c>
      <c r="J780" s="21">
        <f t="shared" si="61"/>
        <v>53.501999999999995</v>
      </c>
      <c r="K780" s="21">
        <f t="shared" si="62"/>
        <v>24.976991596638669</v>
      </c>
      <c r="L780" s="8">
        <f t="shared" si="63"/>
        <v>10.363896928065838</v>
      </c>
      <c r="M780" s="30" t="str">
        <f t="shared" si="64"/>
        <v>April</v>
      </c>
    </row>
    <row r="781" spans="1:13">
      <c r="A781" s="9" t="s">
        <v>1285</v>
      </c>
      <c r="B781" s="8">
        <v>24</v>
      </c>
      <c r="C781" s="8" t="s">
        <v>35</v>
      </c>
      <c r="D781" s="8" t="s">
        <v>46</v>
      </c>
      <c r="E781" s="34" t="s">
        <v>1286</v>
      </c>
      <c r="F781" s="8">
        <v>300</v>
      </c>
      <c r="G781" s="8">
        <v>110.34</v>
      </c>
      <c r="H781" s="10">
        <v>25.7</v>
      </c>
      <c r="I781" s="21">
        <f t="shared" si="60"/>
        <v>92.722689075630257</v>
      </c>
      <c r="J781" s="21">
        <f t="shared" si="61"/>
        <v>77.099999999999994</v>
      </c>
      <c r="K781" s="21">
        <f t="shared" si="62"/>
        <v>15.622689075630262</v>
      </c>
      <c r="L781" s="8">
        <f t="shared" si="63"/>
        <v>5.2075630252100868</v>
      </c>
      <c r="M781" s="30" t="str">
        <f t="shared" si="64"/>
        <v>June</v>
      </c>
    </row>
    <row r="782" spans="1:13">
      <c r="A782" s="9" t="s">
        <v>1287</v>
      </c>
      <c r="B782" s="8">
        <v>24</v>
      </c>
      <c r="C782" s="8" t="s">
        <v>39</v>
      </c>
      <c r="D782" s="8" t="s">
        <v>36</v>
      </c>
      <c r="E782" s="34">
        <v>45363</v>
      </c>
      <c r="F782" s="8">
        <v>152</v>
      </c>
      <c r="G782" s="8">
        <v>60.75</v>
      </c>
      <c r="H782" s="10">
        <v>31.33</v>
      </c>
      <c r="I782" s="21">
        <f t="shared" si="60"/>
        <v>51.050420168067227</v>
      </c>
      <c r="J782" s="21">
        <f t="shared" si="61"/>
        <v>47.621600000000001</v>
      </c>
      <c r="K782" s="21">
        <f t="shared" si="62"/>
        <v>3.4288201680672259</v>
      </c>
      <c r="L782" s="8">
        <f t="shared" si="63"/>
        <v>2.2558027421494908</v>
      </c>
      <c r="M782" s="30" t="str">
        <f t="shared" si="64"/>
        <v>April</v>
      </c>
    </row>
    <row r="783" spans="1:13">
      <c r="A783" s="9" t="s">
        <v>1289</v>
      </c>
      <c r="B783" s="8">
        <v>12</v>
      </c>
      <c r="C783" s="8" t="s">
        <v>35</v>
      </c>
      <c r="D783" s="8" t="s">
        <v>36</v>
      </c>
      <c r="E783" s="34" t="s">
        <v>635</v>
      </c>
      <c r="F783" s="8">
        <v>309</v>
      </c>
      <c r="G783" s="8">
        <v>110.88</v>
      </c>
      <c r="H783" s="10">
        <v>25.22</v>
      </c>
      <c r="I783" s="21">
        <f t="shared" si="60"/>
        <v>93.17647058823529</v>
      </c>
      <c r="J783" s="21">
        <f t="shared" si="61"/>
        <v>77.9298</v>
      </c>
      <c r="K783" s="21">
        <f t="shared" si="62"/>
        <v>15.24667058823529</v>
      </c>
      <c r="L783" s="8">
        <f t="shared" si="63"/>
        <v>4.9341976013706441</v>
      </c>
      <c r="M783" s="30" t="str">
        <f t="shared" si="64"/>
        <v>February</v>
      </c>
    </row>
    <row r="784" spans="1:13">
      <c r="A784" s="9" t="s">
        <v>1290</v>
      </c>
      <c r="B784" s="8">
        <v>12</v>
      </c>
      <c r="C784" s="8" t="s">
        <v>35</v>
      </c>
      <c r="D784" s="8" t="s">
        <v>36</v>
      </c>
      <c r="E784" s="34" t="s">
        <v>1291</v>
      </c>
      <c r="F784" s="8">
        <v>319</v>
      </c>
      <c r="G784" s="8">
        <v>120.46</v>
      </c>
      <c r="H784" s="10">
        <v>24.9</v>
      </c>
      <c r="I784" s="21">
        <f t="shared" si="60"/>
        <v>101.22689075630252</v>
      </c>
      <c r="J784" s="21">
        <f t="shared" si="61"/>
        <v>79.430999999999997</v>
      </c>
      <c r="K784" s="21">
        <f t="shared" si="62"/>
        <v>21.795890756302526</v>
      </c>
      <c r="L784" s="8">
        <f t="shared" si="63"/>
        <v>6.832567635204553</v>
      </c>
      <c r="M784" s="30" t="str">
        <f t="shared" si="64"/>
        <v>May</v>
      </c>
    </row>
    <row r="785" spans="1:13">
      <c r="A785" s="9" t="s">
        <v>1292</v>
      </c>
      <c r="B785" s="8">
        <v>12</v>
      </c>
      <c r="C785" s="8" t="s">
        <v>35</v>
      </c>
      <c r="D785" s="8" t="s">
        <v>36</v>
      </c>
      <c r="E785" s="34" t="s">
        <v>1211</v>
      </c>
      <c r="F785" s="8">
        <v>238</v>
      </c>
      <c r="G785" s="8">
        <v>90.54</v>
      </c>
      <c r="H785" s="10">
        <v>22.9</v>
      </c>
      <c r="I785" s="21">
        <f t="shared" si="60"/>
        <v>76.084033613445385</v>
      </c>
      <c r="J785" s="21">
        <f t="shared" si="61"/>
        <v>54.501999999999995</v>
      </c>
      <c r="K785" s="21">
        <f t="shared" si="62"/>
        <v>21.58203361344539</v>
      </c>
      <c r="L785" s="8">
        <f t="shared" si="63"/>
        <v>9.0680813501871391</v>
      </c>
      <c r="M785" s="30" t="str">
        <f t="shared" si="64"/>
        <v>October</v>
      </c>
    </row>
    <row r="786" spans="1:13">
      <c r="A786" s="9" t="s">
        <v>1293</v>
      </c>
      <c r="B786" s="8">
        <v>12</v>
      </c>
      <c r="C786" s="8" t="s">
        <v>51</v>
      </c>
      <c r="D786" s="8" t="s">
        <v>36</v>
      </c>
      <c r="E786" s="34" t="s">
        <v>179</v>
      </c>
      <c r="F786" s="8">
        <v>440</v>
      </c>
      <c r="G786" s="8">
        <v>146.38</v>
      </c>
      <c r="H786" s="10">
        <v>20.59</v>
      </c>
      <c r="I786" s="21">
        <f t="shared" si="60"/>
        <v>123.00840336134453</v>
      </c>
      <c r="J786" s="21">
        <f t="shared" si="61"/>
        <v>90.596000000000004</v>
      </c>
      <c r="K786" s="21">
        <f t="shared" si="62"/>
        <v>32.412403361344531</v>
      </c>
      <c r="L786" s="8">
        <f t="shared" si="63"/>
        <v>7.3664553093964846</v>
      </c>
      <c r="M786" s="30" t="str">
        <f t="shared" si="64"/>
        <v>February</v>
      </c>
    </row>
    <row r="787" spans="1:13">
      <c r="A787" s="9" t="s">
        <v>1294</v>
      </c>
      <c r="B787" s="8">
        <v>24</v>
      </c>
      <c r="C787" s="8" t="s">
        <v>39</v>
      </c>
      <c r="D787" s="8" t="s">
        <v>36</v>
      </c>
      <c r="E787" s="34">
        <v>45475</v>
      </c>
      <c r="F787" s="8">
        <v>132</v>
      </c>
      <c r="G787" s="8">
        <v>55.5</v>
      </c>
      <c r="H787" s="10">
        <v>31.72</v>
      </c>
      <c r="I787" s="21">
        <f t="shared" si="60"/>
        <v>46.638655462184879</v>
      </c>
      <c r="J787" s="21">
        <f t="shared" si="61"/>
        <v>41.870399999999997</v>
      </c>
      <c r="K787" s="21">
        <f t="shared" si="62"/>
        <v>4.7682554621848823</v>
      </c>
      <c r="L787" s="8">
        <f t="shared" si="63"/>
        <v>3.6123147440794563</v>
      </c>
      <c r="M787" s="30" t="str">
        <f t="shared" si="64"/>
        <v>April</v>
      </c>
    </row>
    <row r="788" spans="1:13">
      <c r="A788" s="9" t="s">
        <v>1296</v>
      </c>
      <c r="B788" s="8">
        <v>24</v>
      </c>
      <c r="C788" s="8" t="s">
        <v>35</v>
      </c>
      <c r="D788" s="8" t="s">
        <v>36</v>
      </c>
      <c r="E788" s="34">
        <v>45934</v>
      </c>
      <c r="F788" s="8">
        <v>229</v>
      </c>
      <c r="G788" s="8">
        <v>92.16</v>
      </c>
      <c r="H788" s="10">
        <v>22.38</v>
      </c>
      <c r="I788" s="21">
        <f t="shared" si="60"/>
        <v>77.445378151260499</v>
      </c>
      <c r="J788" s="21">
        <f t="shared" si="61"/>
        <v>51.250199999999992</v>
      </c>
      <c r="K788" s="21">
        <f t="shared" si="62"/>
        <v>26.195178151260507</v>
      </c>
      <c r="L788" s="8">
        <f t="shared" si="63"/>
        <v>11.438942424131225</v>
      </c>
      <c r="M788" s="30" t="str">
        <f t="shared" si="64"/>
        <v>November</v>
      </c>
    </row>
    <row r="789" spans="1:13">
      <c r="A789" s="9" t="s">
        <v>1297</v>
      </c>
      <c r="B789" s="8">
        <v>12</v>
      </c>
      <c r="C789" s="8" t="s">
        <v>35</v>
      </c>
      <c r="D789" s="8" t="s">
        <v>36</v>
      </c>
      <c r="E789" s="34" t="s">
        <v>1298</v>
      </c>
      <c r="F789" s="8">
        <v>267</v>
      </c>
      <c r="G789" s="8">
        <v>104.53</v>
      </c>
      <c r="H789" s="10">
        <v>23.8</v>
      </c>
      <c r="I789" s="21">
        <f t="shared" si="60"/>
        <v>87.840336134453793</v>
      </c>
      <c r="J789" s="21">
        <f t="shared" si="61"/>
        <v>63.546000000000006</v>
      </c>
      <c r="K789" s="21">
        <f t="shared" si="62"/>
        <v>24.294336134453786</v>
      </c>
      <c r="L789" s="8">
        <f t="shared" si="63"/>
        <v>9.0990022975482354</v>
      </c>
      <c r="M789" s="30" t="str">
        <f t="shared" si="64"/>
        <v>March</v>
      </c>
    </row>
    <row r="790" spans="1:13">
      <c r="A790" s="9" t="s">
        <v>1299</v>
      </c>
      <c r="B790" s="8">
        <v>12</v>
      </c>
      <c r="C790" s="8" t="s">
        <v>35</v>
      </c>
      <c r="D790" s="8" t="s">
        <v>56</v>
      </c>
      <c r="E790" s="34" t="s">
        <v>1300</v>
      </c>
      <c r="F790" s="8">
        <v>284</v>
      </c>
      <c r="G790" s="8">
        <v>108.53</v>
      </c>
      <c r="H790" s="10">
        <v>23.35</v>
      </c>
      <c r="I790" s="21">
        <f t="shared" si="60"/>
        <v>91.201680672268907</v>
      </c>
      <c r="J790" s="21">
        <f t="shared" si="61"/>
        <v>66.314000000000007</v>
      </c>
      <c r="K790" s="21">
        <f t="shared" si="62"/>
        <v>24.8876806722689</v>
      </c>
      <c r="L790" s="8">
        <f t="shared" si="63"/>
        <v>8.7632678423482044</v>
      </c>
      <c r="M790" s="30" t="str">
        <f t="shared" si="64"/>
        <v>November</v>
      </c>
    </row>
    <row r="791" spans="1:13">
      <c r="A791" s="9" t="s">
        <v>1301</v>
      </c>
      <c r="B791" s="8">
        <v>24</v>
      </c>
      <c r="C791" s="8" t="s">
        <v>35</v>
      </c>
      <c r="D791" s="8" t="s">
        <v>46</v>
      </c>
      <c r="E791" s="34" t="s">
        <v>936</v>
      </c>
      <c r="F791" s="8">
        <v>281</v>
      </c>
      <c r="G791" s="8">
        <v>106.26</v>
      </c>
      <c r="H791" s="10">
        <v>25.48</v>
      </c>
      <c r="I791" s="21">
        <f t="shared" si="60"/>
        <v>89.294117647058826</v>
      </c>
      <c r="J791" s="21">
        <f t="shared" si="61"/>
        <v>71.598799999999997</v>
      </c>
      <c r="K791" s="21">
        <f t="shared" si="62"/>
        <v>17.695317647058829</v>
      </c>
      <c r="L791" s="8">
        <f t="shared" si="63"/>
        <v>6.2972660665689784</v>
      </c>
      <c r="M791" s="30" t="str">
        <f t="shared" si="64"/>
        <v>September</v>
      </c>
    </row>
    <row r="792" spans="1:13">
      <c r="A792" s="9" t="s">
        <v>1302</v>
      </c>
      <c r="B792" s="8">
        <v>12</v>
      </c>
      <c r="C792" s="8" t="s">
        <v>35</v>
      </c>
      <c r="D792" s="8" t="s">
        <v>36</v>
      </c>
      <c r="E792" s="34" t="s">
        <v>279</v>
      </c>
      <c r="F792" s="8">
        <v>229</v>
      </c>
      <c r="G792" s="8">
        <v>84.16</v>
      </c>
      <c r="H792" s="10">
        <v>22.33</v>
      </c>
      <c r="I792" s="21">
        <f t="shared" si="60"/>
        <v>70.722689075630257</v>
      </c>
      <c r="J792" s="21">
        <f t="shared" si="61"/>
        <v>51.1357</v>
      </c>
      <c r="K792" s="21">
        <f t="shared" si="62"/>
        <v>19.586989075630257</v>
      </c>
      <c r="L792" s="8">
        <f t="shared" si="63"/>
        <v>8.5532703387031681</v>
      </c>
      <c r="M792" s="30" t="str">
        <f t="shared" si="64"/>
        <v>November</v>
      </c>
    </row>
    <row r="793" spans="1:13">
      <c r="A793" s="9" t="s">
        <v>1303</v>
      </c>
      <c r="B793" s="8">
        <v>24</v>
      </c>
      <c r="C793" s="8" t="s">
        <v>51</v>
      </c>
      <c r="D793" s="8" t="s">
        <v>56</v>
      </c>
      <c r="E793" s="34" t="s">
        <v>553</v>
      </c>
      <c r="F793" s="8">
        <v>389</v>
      </c>
      <c r="G793" s="8">
        <v>140.88999999999999</v>
      </c>
      <c r="H793" s="10">
        <v>17.559999999999999</v>
      </c>
      <c r="I793" s="21">
        <f t="shared" si="60"/>
        <v>118.39495798319327</v>
      </c>
      <c r="J793" s="21">
        <f t="shared" si="61"/>
        <v>68.308399999999992</v>
      </c>
      <c r="K793" s="21">
        <f t="shared" si="62"/>
        <v>50.086557983193273</v>
      </c>
      <c r="L793" s="8">
        <f t="shared" si="63"/>
        <v>12.875721846579246</v>
      </c>
      <c r="M793" s="30" t="str">
        <f t="shared" si="64"/>
        <v>April</v>
      </c>
    </row>
    <row r="794" spans="1:13">
      <c r="A794" s="9" t="s">
        <v>1304</v>
      </c>
      <c r="B794" s="8">
        <v>12</v>
      </c>
      <c r="C794" s="8" t="s">
        <v>39</v>
      </c>
      <c r="D794" s="8" t="s">
        <v>56</v>
      </c>
      <c r="E794" s="34" t="s">
        <v>486</v>
      </c>
      <c r="F794" s="8">
        <v>119</v>
      </c>
      <c r="G794" s="8">
        <v>49.8</v>
      </c>
      <c r="H794" s="10">
        <v>31.01</v>
      </c>
      <c r="I794" s="21">
        <f t="shared" si="60"/>
        <v>41.84873949579832</v>
      </c>
      <c r="J794" s="21">
        <f t="shared" si="61"/>
        <v>36.901899999999998</v>
      </c>
      <c r="K794" s="21">
        <f t="shared" si="62"/>
        <v>4.9468394957983222</v>
      </c>
      <c r="L794" s="8">
        <f t="shared" si="63"/>
        <v>4.1570079796624553</v>
      </c>
      <c r="M794" s="30" t="str">
        <f t="shared" si="64"/>
        <v>February</v>
      </c>
    </row>
    <row r="795" spans="1:13">
      <c r="A795" s="9" t="s">
        <v>1305</v>
      </c>
      <c r="B795" s="8">
        <v>24</v>
      </c>
      <c r="C795" s="8" t="s">
        <v>39</v>
      </c>
      <c r="D795" s="8" t="s">
        <v>36</v>
      </c>
      <c r="E795" s="34">
        <v>45936</v>
      </c>
      <c r="F795" s="8">
        <v>95</v>
      </c>
      <c r="G795" s="8">
        <v>46.81</v>
      </c>
      <c r="H795" s="10">
        <v>28.21</v>
      </c>
      <c r="I795" s="21">
        <f t="shared" si="60"/>
        <v>39.336134453781519</v>
      </c>
      <c r="J795" s="21">
        <f t="shared" si="61"/>
        <v>26.799500000000002</v>
      </c>
      <c r="K795" s="21">
        <f t="shared" si="62"/>
        <v>12.536634453781517</v>
      </c>
      <c r="L795" s="8">
        <f t="shared" si="63"/>
        <v>13.196457319770015</v>
      </c>
      <c r="M795" s="30" t="str">
        <f t="shared" si="64"/>
        <v>January</v>
      </c>
    </row>
    <row r="796" spans="1:13">
      <c r="A796" s="9" t="s">
        <v>1306</v>
      </c>
      <c r="B796" s="8">
        <v>12</v>
      </c>
      <c r="C796" s="8" t="s">
        <v>35</v>
      </c>
      <c r="D796" s="8" t="s">
        <v>36</v>
      </c>
      <c r="E796" s="34">
        <v>45323</v>
      </c>
      <c r="F796" s="8">
        <v>315</v>
      </c>
      <c r="G796" s="8">
        <v>113.84</v>
      </c>
      <c r="H796" s="10">
        <v>23.97</v>
      </c>
      <c r="I796" s="21">
        <f t="shared" si="60"/>
        <v>95.663865546218489</v>
      </c>
      <c r="J796" s="21">
        <f t="shared" si="61"/>
        <v>75.505499999999998</v>
      </c>
      <c r="K796" s="21">
        <f t="shared" si="62"/>
        <v>20.158365546218491</v>
      </c>
      <c r="L796" s="8">
        <f t="shared" si="63"/>
        <v>6.3994811257836473</v>
      </c>
      <c r="M796" s="30" t="str">
        <f t="shared" si="64"/>
        <v>December</v>
      </c>
    </row>
    <row r="797" spans="1:13">
      <c r="A797" s="9" t="s">
        <v>1307</v>
      </c>
      <c r="B797" s="8">
        <v>24</v>
      </c>
      <c r="C797" s="8" t="s">
        <v>35</v>
      </c>
      <c r="D797" s="8" t="s">
        <v>36</v>
      </c>
      <c r="E797" s="34" t="s">
        <v>162</v>
      </c>
      <c r="F797" s="8">
        <v>224</v>
      </c>
      <c r="G797" s="8">
        <v>86.46</v>
      </c>
      <c r="H797" s="10">
        <v>23.77</v>
      </c>
      <c r="I797" s="21">
        <f t="shared" si="60"/>
        <v>72.655462184873954</v>
      </c>
      <c r="J797" s="21">
        <f t="shared" si="61"/>
        <v>53.244799999999998</v>
      </c>
      <c r="K797" s="21">
        <f t="shared" si="62"/>
        <v>19.410662184873956</v>
      </c>
      <c r="L797" s="8">
        <f t="shared" si="63"/>
        <v>8.6654741896758729</v>
      </c>
      <c r="M797" s="30" t="str">
        <f t="shared" si="64"/>
        <v>April</v>
      </c>
    </row>
    <row r="798" spans="1:13">
      <c r="A798" s="9" t="s">
        <v>1308</v>
      </c>
      <c r="B798" s="8">
        <v>24</v>
      </c>
      <c r="C798" s="8" t="s">
        <v>39</v>
      </c>
      <c r="D798" s="8" t="s">
        <v>56</v>
      </c>
      <c r="E798" s="34" t="s">
        <v>1309</v>
      </c>
      <c r="F798" s="8">
        <v>96</v>
      </c>
      <c r="G798" s="8">
        <v>43.76</v>
      </c>
      <c r="H798" s="10">
        <v>29.34</v>
      </c>
      <c r="I798" s="21">
        <f t="shared" si="60"/>
        <v>36.773109243697476</v>
      </c>
      <c r="J798" s="21">
        <f t="shared" si="61"/>
        <v>28.166399999999999</v>
      </c>
      <c r="K798" s="21">
        <f t="shared" si="62"/>
        <v>8.6067092436974768</v>
      </c>
      <c r="L798" s="8">
        <f t="shared" si="63"/>
        <v>8.9653221288515379</v>
      </c>
      <c r="M798" s="30" t="str">
        <f t="shared" si="64"/>
        <v>February</v>
      </c>
    </row>
    <row r="799" spans="1:13">
      <c r="A799" s="9" t="s">
        <v>1310</v>
      </c>
      <c r="B799" s="8">
        <v>24</v>
      </c>
      <c r="C799" s="8" t="s">
        <v>39</v>
      </c>
      <c r="D799" s="8" t="s">
        <v>56</v>
      </c>
      <c r="E799" s="37">
        <v>45347</v>
      </c>
      <c r="F799" s="8">
        <v>85</v>
      </c>
      <c r="G799" s="8">
        <v>43.5</v>
      </c>
      <c r="H799" s="10">
        <v>29.58</v>
      </c>
      <c r="I799" s="21">
        <f t="shared" si="60"/>
        <v>36.554621848739501</v>
      </c>
      <c r="J799" s="21">
        <f t="shared" si="61"/>
        <v>25.142999999999997</v>
      </c>
      <c r="K799" s="21">
        <f t="shared" si="62"/>
        <v>11.411621848739504</v>
      </c>
      <c r="L799" s="8">
        <f t="shared" si="63"/>
        <v>13.425437469105297</v>
      </c>
      <c r="M799" s="30" t="str">
        <f t="shared" si="64"/>
        <v>December</v>
      </c>
    </row>
    <row r="800" spans="1:13">
      <c r="A800" s="9" t="s">
        <v>1312</v>
      </c>
      <c r="B800" s="8">
        <v>24</v>
      </c>
      <c r="C800" s="8" t="s">
        <v>39</v>
      </c>
      <c r="D800" s="8" t="s">
        <v>36</v>
      </c>
      <c r="E800" s="34">
        <v>45603</v>
      </c>
      <c r="F800" s="8">
        <v>137</v>
      </c>
      <c r="G800" s="8">
        <v>58.99</v>
      </c>
      <c r="H800" s="10">
        <v>30.12</v>
      </c>
      <c r="I800" s="21">
        <f t="shared" si="60"/>
        <v>49.571428571428577</v>
      </c>
      <c r="J800" s="21">
        <f t="shared" si="61"/>
        <v>41.264400000000002</v>
      </c>
      <c r="K800" s="21">
        <f t="shared" si="62"/>
        <v>8.3070285714285745</v>
      </c>
      <c r="L800" s="8">
        <f t="shared" si="63"/>
        <v>6.0635245046923902</v>
      </c>
      <c r="M800" s="30" t="str">
        <f t="shared" si="64"/>
        <v>April</v>
      </c>
    </row>
    <row r="801" spans="1:13">
      <c r="A801" s="14" t="s">
        <v>1314</v>
      </c>
      <c r="B801" s="15">
        <v>24</v>
      </c>
      <c r="C801" s="15" t="s">
        <v>51</v>
      </c>
      <c r="D801" s="15" t="s">
        <v>36</v>
      </c>
      <c r="E801" s="35" t="s">
        <v>803</v>
      </c>
      <c r="F801" s="15">
        <v>546</v>
      </c>
      <c r="G801" s="15">
        <v>187.61</v>
      </c>
      <c r="H801" s="16">
        <v>17.309999999999999</v>
      </c>
      <c r="I801" s="22">
        <f t="shared" si="60"/>
        <v>157.65546218487395</v>
      </c>
      <c r="J801" s="22">
        <f t="shared" si="61"/>
        <v>94.512599999999978</v>
      </c>
      <c r="K801" s="22">
        <f t="shared" si="62"/>
        <v>63.142862184873977</v>
      </c>
      <c r="L801" s="15">
        <f t="shared" si="63"/>
        <v>11.564626773786442</v>
      </c>
      <c r="M801" s="31" t="str">
        <f t="shared" si="64"/>
        <v>June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_rels/item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.xml"/></Relationships>
</file>

<file path=customXml/_rels/item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6.xml"/></Relationships>
</file>

<file path=customXml/_rels/item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7.xml"/></Relationships>
</file>

<file path=customXml/_rels/item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8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��
</file>

<file path=customXml/item3.xml>��
</file>

<file path=customXml/item4.xml><?xml version="1.0" encoding="utf-8"?>
<ct:contentTypeSchema xmlns:ct="http://schemas.microsoft.com/office/2006/metadata/contentType" xmlns:ma="http://schemas.microsoft.com/office/2006/metadata/properties/metaAttributes" ct:_="" ma:_="" ma:contentTypeName="Dokument" ma:contentTypeID="0x010100F88FC1E8DB6D8D48A5F76D52A0C436EA" ma:contentTypeVersion="15" ma:contentTypeDescription="Ein neues Dokument erstellen." ma:contentTypeScope="" ma:versionID="5fd49a84d820dd75e9a7d6f52589cab5">
  <xsd:schema xmlns:xsd="http://www.w3.org/2001/XMLSchema" xmlns:xs="http://www.w3.org/2001/XMLSchema" xmlns:p="http://schemas.microsoft.com/office/2006/metadata/properties" xmlns:ns2="7e94f98d-deac-40d2-b2b1-ecbd1de2ab85" xmlns:ns3="27ccf2c8-d09b-4400-9a21-26f8e8596457" targetNamespace="http://schemas.microsoft.com/office/2006/metadata/properties" ma:root="true" ma:fieldsID="98311a624083c511cbf9dfff21beeca6" ns2:_="" ns3:_="">
    <xsd:import namespace="7e94f98d-deac-40d2-b2b1-ecbd1de2ab85"/>
    <xsd:import namespace="27ccf2c8-d09b-4400-9a21-26f8e859645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Location" minOccurs="0"/>
                <xsd:element ref="ns3:SharedWithUsers" minOccurs="0"/>
                <xsd:element ref="ns3:SharedWithDetails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e94f98d-deac-40d2-b2b1-ecbd1de2ab85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Bildmarkierungen" ma:readOnly="false" ma:fieldId="{5cf76f15-5ced-4ddc-b409-7134ff3c332f}" ma:taxonomyMulti="true" ma:sspId="23442c0e-a8fd-4a15-808d-7e780c768438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Location" ma:index="19" nillable="true" ma:displayName="Location" ma:indexed="true" ma:internalName="MediaServiceLocation" ma:readOnly="true">
      <xsd:simpleType>
        <xsd:restriction base="dms:Text"/>
      </xsd:simpleType>
    </xsd:element>
    <xsd:element name="MediaLengthInSeconds" ma:index="22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7ccf2c8-d09b-4400-9a21-26f8e8596457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6036c527-fe49-4ed0-b6a3-fe2fa5b98e88}" ma:internalName="TaxCatchAll" ma:showField="CatchAllData" ma:web="27ccf2c8-d09b-4400-9a21-26f8e859645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0" nillable="true" ma:displayName="Freigegeben für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1" nillable="true" ma:displayName="Freigegeben für -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Inhaltstyp"/>
        <xsd:element ref="dc:title" minOccurs="0" maxOccurs="1" ma:index="4" ma:displayName="Titel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5.xml>��
</file>

<file path=customXml/item6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27ccf2c8-d09b-4400-9a21-26f8e8596457" xsi:nil="true"/>
    <lcf76f155ced4ddcb4097134ff3c332f xmlns="7e94f98d-deac-40d2-b2b1-ecbd1de2ab85">
      <Terms xmlns="http://schemas.microsoft.com/office/infopath/2007/PartnerControls"/>
    </lcf76f155ced4ddcb4097134ff3c332f>
  </documentManagement>
</p:properties>
</file>

<file path=customXml/item7.xml>��
</file>

<file path=customXml/item8.xml>��
</file>

<file path=customXml/itemProps1.xml><?xml version="1.0" encoding="utf-8"?>
<ds:datastoreItem xmlns:ds="http://schemas.openxmlformats.org/officeDocument/2006/customXml" ds:itemID="{FFF54BBB-086D-49CA-9BBC-1A2ED0D828EC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EC781A36-64D3-4B8E-B41E-E98A39946135}">
  <ds:schemaRefs/>
</ds:datastoreItem>
</file>

<file path=customXml/itemProps3.xml><?xml version="1.0" encoding="utf-8"?>
<ds:datastoreItem xmlns:ds="http://schemas.openxmlformats.org/officeDocument/2006/customXml" ds:itemID="{CF39013C-0E39-4EAC-B6E9-A688D6C4C026}">
  <ds:schemaRefs/>
</ds:datastoreItem>
</file>

<file path=customXml/itemProps4.xml><?xml version="1.0" encoding="utf-8"?>
<ds:datastoreItem xmlns:ds="http://schemas.openxmlformats.org/officeDocument/2006/customXml" ds:itemID="{44AE17BC-2440-4CA2-BA7B-6C428D9F2F83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7e94f98d-deac-40d2-b2b1-ecbd1de2ab85"/>
    <ds:schemaRef ds:uri="27ccf2c8-d09b-4400-9a21-26f8e8596457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5.xml><?xml version="1.0" encoding="utf-8"?>
<ds:datastoreItem xmlns:ds="http://schemas.openxmlformats.org/officeDocument/2006/customXml" ds:itemID="{9566479E-6A11-4EBB-9E14-056CE11C1A47}">
  <ds:schemaRefs/>
</ds:datastoreItem>
</file>

<file path=customXml/itemProps6.xml><?xml version="1.0" encoding="utf-8"?>
<ds:datastoreItem xmlns:ds="http://schemas.openxmlformats.org/officeDocument/2006/customXml" ds:itemID="{9A617DDD-5BC1-4D6F-A761-01B867C73061}">
  <ds:schemaRefs>
    <ds:schemaRef ds:uri="http://schemas.microsoft.com/office/2006/metadata/properties"/>
    <ds:schemaRef ds:uri="http://schemas.microsoft.com/office/infopath/2007/PartnerControls"/>
    <ds:schemaRef ds:uri="27ccf2c8-d09b-4400-9a21-26f8e8596457"/>
    <ds:schemaRef ds:uri="7e94f98d-deac-40d2-b2b1-ecbd1de2ab85"/>
  </ds:schemaRefs>
</ds:datastoreItem>
</file>

<file path=customXml/itemProps7.xml><?xml version="1.0" encoding="utf-8"?>
<ds:datastoreItem xmlns:ds="http://schemas.openxmlformats.org/officeDocument/2006/customXml" ds:itemID="{873429F9-4B9F-4A8B-9A83-77BB60D9424E}">
  <ds:schemaRefs/>
</ds:datastoreItem>
</file>

<file path=customXml/itemProps8.xml><?xml version="1.0" encoding="utf-8"?>
<ds:datastoreItem xmlns:ds="http://schemas.openxmlformats.org/officeDocument/2006/customXml" ds:itemID="{D3E933EE-1CB7-4F63-BADF-2FB8BAD23B9A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Assignment</vt:lpstr>
      <vt:lpstr>Data</vt:lpstr>
      <vt:lpstr>Q3 Pivot_1</vt:lpstr>
      <vt:lpstr>Q3 Pivot_2</vt:lpstr>
      <vt:lpstr>Q1_Prepare_Data</vt:lpstr>
      <vt:lpstr>Q2_Customer_Profitability</vt:lpstr>
      <vt:lpstr>Q3_Summary</vt:lpstr>
      <vt:lpstr>Q4_Contract_Start_Month</vt:lpstr>
      <vt:lpstr>Q5_Customer_Groups</vt:lpstr>
      <vt:lpstr>Data_Q4_Q5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>Nirmal Dahad</cp:lastModifiedBy>
  <cp:revision/>
  <dcterms:created xsi:type="dcterms:W3CDTF">2026-07-07T15:35:56Z</dcterms:created>
  <dcterms:modified xsi:type="dcterms:W3CDTF">2026-09-25T06:11:43Z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0x010100F88FC1E8DB6D8D48A5F76D52A0C436EA</vt:lpwstr>
  </property>
  <property fmtid="{D5CDD505-2E9C-101B-9397-08002B2CF9AE}" pid="3" name="MediaServiceImageTags">
    <vt:lpwstr/>
  </property>
</Properties>
</file>